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ECDD5D6F4A3E01/Documents/"/>
    </mc:Choice>
  </mc:AlternateContent>
  <xr:revisionPtr revIDLastSave="189" documentId="8_{1C0B81E8-8501-42F0-BAAA-C7717497EC6C}" xr6:coauthVersionLast="47" xr6:coauthVersionMax="47" xr10:uidLastSave="{53BD3C19-6976-4456-B129-76BF832C6BBC}"/>
  <bookViews>
    <workbookView xWindow="-108" yWindow="-108" windowWidth="23256" windowHeight="13176" xr2:uid="{D8C8BF8C-89B7-4F69-8931-A62B95FE4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2" i="1"/>
  <c r="N2" i="1"/>
  <c r="P9" i="1"/>
  <c r="P3" i="1"/>
  <c r="P4" i="1"/>
  <c r="P5" i="1"/>
  <c r="P6" i="1"/>
  <c r="P7" i="1"/>
  <c r="P8" i="1"/>
  <c r="P2" i="1"/>
  <c r="O3" i="1"/>
  <c r="O4" i="1"/>
  <c r="O5" i="1"/>
  <c r="O6" i="1"/>
  <c r="O7" i="1"/>
  <c r="O8" i="1"/>
  <c r="O9" i="1"/>
  <c r="O2" i="1"/>
  <c r="N3" i="1"/>
  <c r="N4" i="1"/>
  <c r="N5" i="1"/>
  <c r="N6" i="1"/>
  <c r="N7" i="1"/>
  <c r="N8" i="1"/>
  <c r="N9" i="1"/>
  <c r="M3" i="1"/>
  <c r="M4" i="1"/>
  <c r="M5" i="1"/>
  <c r="M6" i="1"/>
  <c r="M7" i="1"/>
  <c r="M8" i="1"/>
  <c r="M9" i="1"/>
  <c r="M2" i="1"/>
</calcChain>
</file>

<file path=xl/sharedStrings.xml><?xml version="1.0" encoding="utf-8"?>
<sst xmlns="http://schemas.openxmlformats.org/spreadsheetml/2006/main" count="35" uniqueCount="30">
  <si>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total Price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</si>
  <si>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discount amount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</si>
  <si>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 price after discount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</si>
  <si>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Tax  amount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</si>
  <si>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total bill  including shipping charge</t>
    </r>
  </si>
  <si>
    <t xml:space="preserve">Product </t>
  </si>
  <si>
    <t>Price</t>
  </si>
  <si>
    <t>Quantity</t>
  </si>
  <si>
    <t>Discount%</t>
  </si>
  <si>
    <t>Salesperson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</si>
  <si>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</si>
  <si>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</si>
  <si>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</si>
  <si>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</si>
  <si>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</si>
  <si>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</si>
  <si>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</si>
  <si>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</si>
  <si>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</si>
  <si>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</si>
  <si>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</si>
  <si>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Company Tax  18%</t>
  </si>
  <si>
    <t>Shipping Charge 20</t>
  </si>
  <si>
    <t>Total Price</t>
  </si>
  <si>
    <t>OrderID</t>
  </si>
  <si>
    <t>price after discount</t>
  </si>
  <si>
    <t>discount amount</t>
  </si>
  <si>
    <t>Tax amount</t>
  </si>
  <si>
    <t>total bill including shipping charge</t>
  </si>
  <si>
    <r>
      <rPr>
        <b/>
        <sz val="11"/>
        <color theme="1"/>
        <rFont val="Calibri"/>
        <family val="2"/>
        <scheme val="minor"/>
      </rPr>
      <t>SPANDAN KONE</t>
    </r>
    <r>
      <rPr>
        <b/>
        <sz val="11"/>
        <color rgb="FF002060"/>
        <rFont val="Calibri"/>
        <family val="2"/>
        <scheme val="minor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</si>
</sst>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70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indent="5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1" fillId="2" borderId="0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5" borderId="1" xfId="0" applyFill="1" applyBorder="1"/>
    <xf numFmtId="9" fontId="0" fillId="5" borderId="1" xfId="0" applyNumberFormat="1" applyFill="1" applyBorder="1"/>
    <xf numFmtId="0" fontId="0" fillId="5" borderId="0" xfId="0" applyFill="1"/>
    <xf numFmtId="168" fontId="0" fillId="5" borderId="0" xfId="0" applyNumberFormat="1" applyFill="1"/>
    <xf numFmtId="0" fontId="1" fillId="0" borderId="0" xfId="0" applyFont="1"/>
    <xf numFmtId="0" fontId="4" fillId="0" borderId="0" xfId="0" applyFont="1"/>
    <xf numFmtId="0" fontId="6" fillId="5" borderId="0" xfId="0" applyFont="1" applyFill="1"/>
    <xf numFmtId="170" fontId="6" fillId="5" borderId="0" xfId="0" applyNumberFormat="1" applyFont="1" applyFill="1"/>
    <xf numFmtId="0" fontId="0" fillId="0" borderId="2" xfId="0" applyBorder="1" applyAlignment="1">
      <alignment horizontal="center"/>
    </xf>
    <xf numFmtId="0" fontId="0" fillId="6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B179-F60A-4F68-AF07-59952D7C5A3C}">
  <dimension ref="A1:R15"/>
  <sheetViews>
    <sheetView tabSelected="1" topLeftCell="C1" workbookViewId="0">
      <selection activeCell="J21" sqref="J21"/>
    </sheetView>
  </sheetViews>
  <sheetFormatPr defaultRowHeight="14.4" x14ac:dyDescent="0.3"/>
  <cols>
    <col min="5" max="5" width="9" customWidth="1"/>
    <col min="10" max="10" width="9.5546875" bestFit="1" customWidth="1"/>
    <col min="11" max="11" width="10.6640625" bestFit="1" customWidth="1"/>
    <col min="12" max="12" width="16.44140625" bestFit="1" customWidth="1"/>
    <col min="13" max="13" width="9.77734375" bestFit="1" customWidth="1"/>
    <col min="14" max="14" width="15" bestFit="1" customWidth="1"/>
    <col min="15" max="15" width="17.44140625" bestFit="1" customWidth="1"/>
    <col min="16" max="16" width="11" bestFit="1" customWidth="1"/>
    <col min="17" max="17" width="30.109375" bestFit="1" customWidth="1"/>
  </cols>
  <sheetData>
    <row r="1" spans="1:18" x14ac:dyDescent="0.3">
      <c r="A1" s="1" t="s">
        <v>0</v>
      </c>
      <c r="C1" s="17"/>
      <c r="D1" s="17"/>
      <c r="E1" s="17"/>
      <c r="F1" s="4" t="s">
        <v>24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M1" s="5" t="s">
        <v>23</v>
      </c>
      <c r="N1" s="5" t="s">
        <v>26</v>
      </c>
      <c r="O1" s="5" t="s">
        <v>25</v>
      </c>
      <c r="P1" s="5" t="s">
        <v>27</v>
      </c>
      <c r="Q1" s="5" t="s">
        <v>28</v>
      </c>
    </row>
    <row r="2" spans="1:18" x14ac:dyDescent="0.3">
      <c r="A2" s="1" t="s">
        <v>1</v>
      </c>
      <c r="C2" s="17"/>
      <c r="D2" s="17"/>
      <c r="E2" s="17"/>
      <c r="F2" s="16">
        <v>1001</v>
      </c>
      <c r="G2" s="8" t="s">
        <v>10</v>
      </c>
      <c r="H2" s="8">
        <v>10</v>
      </c>
      <c r="I2" s="8">
        <v>5</v>
      </c>
      <c r="J2" s="9">
        <v>0.05</v>
      </c>
      <c r="K2" s="8" t="s">
        <v>18</v>
      </c>
      <c r="L2" s="6" t="s">
        <v>21</v>
      </c>
      <c r="M2" s="10">
        <f>H2*I2</f>
        <v>50</v>
      </c>
      <c r="N2" s="11">
        <f>(H2*I2)*J2</f>
        <v>2.5</v>
      </c>
      <c r="O2" s="14">
        <f>(H2*I2)*(1-J2)</f>
        <v>47.5</v>
      </c>
      <c r="P2" s="14">
        <f>O2*18%</f>
        <v>8.5499999999999989</v>
      </c>
      <c r="Q2" s="14">
        <f>O2+(O2*$P$2)+20</f>
        <v>473.62499999999994</v>
      </c>
      <c r="R2" s="10"/>
    </row>
    <row r="3" spans="1:18" x14ac:dyDescent="0.3">
      <c r="A3" s="1" t="s">
        <v>2</v>
      </c>
      <c r="C3" s="17"/>
      <c r="D3" s="17"/>
      <c r="E3" s="17"/>
      <c r="F3" s="16">
        <v>1002</v>
      </c>
      <c r="G3" s="8" t="s">
        <v>11</v>
      </c>
      <c r="H3" s="8">
        <v>5</v>
      </c>
      <c r="I3" s="8">
        <v>10</v>
      </c>
      <c r="J3" s="9">
        <v>0</v>
      </c>
      <c r="K3" s="8" t="s">
        <v>19</v>
      </c>
      <c r="L3" s="7" t="s">
        <v>22</v>
      </c>
      <c r="M3" s="10">
        <f t="shared" ref="M3:M9" si="0">H3*I3</f>
        <v>50</v>
      </c>
      <c r="N3" s="11">
        <f t="shared" ref="N3:N9" si="1">(H3*I3)*J3</f>
        <v>0</v>
      </c>
      <c r="O3" s="14">
        <f t="shared" ref="O3:O9" si="2">(H3*I3)*(1-J3)</f>
        <v>50</v>
      </c>
      <c r="P3" s="14">
        <f t="shared" ref="P3:P9" si="3">O3*18%</f>
        <v>9</v>
      </c>
      <c r="Q3" s="14">
        <f t="shared" ref="Q3:Q9" si="4">O3+(O3*$P$2)+20</f>
        <v>497.49999999999994</v>
      </c>
      <c r="R3" s="10"/>
    </row>
    <row r="4" spans="1:18" x14ac:dyDescent="0.3">
      <c r="A4" s="1" t="s">
        <v>3</v>
      </c>
      <c r="C4" s="17"/>
      <c r="D4" s="17"/>
      <c r="E4" s="17"/>
      <c r="F4" s="16">
        <v>1003</v>
      </c>
      <c r="G4" s="8" t="s">
        <v>12</v>
      </c>
      <c r="H4" s="8">
        <v>50</v>
      </c>
      <c r="I4" s="8">
        <v>3</v>
      </c>
      <c r="J4" s="9">
        <v>0.1</v>
      </c>
      <c r="K4" s="8" t="s">
        <v>20</v>
      </c>
      <c r="M4" s="10">
        <f t="shared" si="0"/>
        <v>150</v>
      </c>
      <c r="N4" s="11">
        <f t="shared" si="1"/>
        <v>15</v>
      </c>
      <c r="O4" s="14">
        <f t="shared" si="2"/>
        <v>135</v>
      </c>
      <c r="P4" s="14">
        <f t="shared" si="3"/>
        <v>24.3</v>
      </c>
      <c r="Q4" s="14">
        <f t="shared" si="4"/>
        <v>1309.2499999999998</v>
      </c>
      <c r="R4" s="10"/>
    </row>
    <row r="5" spans="1:18" x14ac:dyDescent="0.3">
      <c r="A5" s="1" t="s">
        <v>4</v>
      </c>
      <c r="C5" s="17"/>
      <c r="D5" s="17"/>
      <c r="E5" s="17"/>
      <c r="F5" s="16">
        <v>1004</v>
      </c>
      <c r="G5" s="8" t="s">
        <v>13</v>
      </c>
      <c r="H5" s="8">
        <v>3</v>
      </c>
      <c r="I5" s="8">
        <v>20</v>
      </c>
      <c r="J5" s="9">
        <v>0</v>
      </c>
      <c r="K5" s="8" t="s">
        <v>18</v>
      </c>
      <c r="M5" s="10">
        <f t="shared" si="0"/>
        <v>60</v>
      </c>
      <c r="N5" s="11">
        <f t="shared" si="1"/>
        <v>0</v>
      </c>
      <c r="O5" s="14">
        <f t="shared" si="2"/>
        <v>60</v>
      </c>
      <c r="P5" s="14">
        <f t="shared" si="3"/>
        <v>10.799999999999999</v>
      </c>
      <c r="Q5" s="14">
        <f t="shared" si="4"/>
        <v>592.99999999999989</v>
      </c>
      <c r="R5" s="10"/>
    </row>
    <row r="6" spans="1:18" x14ac:dyDescent="0.3">
      <c r="C6" s="17"/>
      <c r="D6" s="17"/>
      <c r="E6" s="17"/>
      <c r="F6" s="16">
        <v>1005</v>
      </c>
      <c r="G6" s="8" t="s">
        <v>14</v>
      </c>
      <c r="H6" s="8">
        <v>25</v>
      </c>
      <c r="I6" s="8">
        <v>4</v>
      </c>
      <c r="J6" s="9">
        <v>0.05</v>
      </c>
      <c r="K6" s="8" t="s">
        <v>19</v>
      </c>
      <c r="M6" s="10">
        <f t="shared" si="0"/>
        <v>100</v>
      </c>
      <c r="N6" s="11">
        <f t="shared" si="1"/>
        <v>5</v>
      </c>
      <c r="O6" s="14">
        <f t="shared" si="2"/>
        <v>95</v>
      </c>
      <c r="P6" s="14">
        <f t="shared" si="3"/>
        <v>17.099999999999998</v>
      </c>
      <c r="Q6" s="14">
        <f t="shared" si="4"/>
        <v>927.24999999999989</v>
      </c>
      <c r="R6" s="10"/>
    </row>
    <row r="7" spans="1:18" x14ac:dyDescent="0.3">
      <c r="C7" s="17"/>
      <c r="D7" s="17"/>
      <c r="E7" s="17"/>
      <c r="F7" s="16">
        <v>1006</v>
      </c>
      <c r="G7" s="8" t="s">
        <v>15</v>
      </c>
      <c r="H7" s="8">
        <v>15</v>
      </c>
      <c r="I7" s="8">
        <v>6</v>
      </c>
      <c r="J7" s="9">
        <v>0</v>
      </c>
      <c r="K7" s="8" t="s">
        <v>20</v>
      </c>
      <c r="M7" s="10">
        <f t="shared" si="0"/>
        <v>90</v>
      </c>
      <c r="N7" s="11">
        <f t="shared" si="1"/>
        <v>0</v>
      </c>
      <c r="O7" s="14">
        <f t="shared" si="2"/>
        <v>90</v>
      </c>
      <c r="P7" s="14">
        <f t="shared" si="3"/>
        <v>16.2</v>
      </c>
      <c r="Q7" s="14">
        <f t="shared" si="4"/>
        <v>879.49999999999989</v>
      </c>
      <c r="R7" s="10"/>
    </row>
    <row r="8" spans="1:18" x14ac:dyDescent="0.3">
      <c r="F8" s="2">
        <v>1007</v>
      </c>
      <c r="G8" s="8" t="s">
        <v>16</v>
      </c>
      <c r="H8" s="8">
        <v>8</v>
      </c>
      <c r="I8" s="8">
        <v>8</v>
      </c>
      <c r="J8" s="9">
        <v>0.05</v>
      </c>
      <c r="K8" s="8" t="s">
        <v>18</v>
      </c>
      <c r="M8" s="10">
        <f t="shared" si="0"/>
        <v>64</v>
      </c>
      <c r="N8" s="11">
        <f t="shared" si="1"/>
        <v>3.2</v>
      </c>
      <c r="O8" s="14">
        <f t="shared" si="2"/>
        <v>60.8</v>
      </c>
      <c r="P8" s="15">
        <f t="shared" si="3"/>
        <v>10.943999999999999</v>
      </c>
      <c r="Q8" s="14">
        <f t="shared" si="4"/>
        <v>600.63999999999987</v>
      </c>
      <c r="R8" s="10"/>
    </row>
    <row r="9" spans="1:18" x14ac:dyDescent="0.3">
      <c r="F9" s="2">
        <v>1008</v>
      </c>
      <c r="G9" s="8" t="s">
        <v>17</v>
      </c>
      <c r="H9" s="8">
        <v>40</v>
      </c>
      <c r="I9" s="8">
        <v>2</v>
      </c>
      <c r="J9" s="9">
        <v>0.1</v>
      </c>
      <c r="K9" s="8" t="s">
        <v>19</v>
      </c>
      <c r="M9" s="10">
        <f t="shared" si="0"/>
        <v>80</v>
      </c>
      <c r="N9" s="11">
        <f t="shared" si="1"/>
        <v>8</v>
      </c>
      <c r="O9" s="14">
        <f t="shared" si="2"/>
        <v>72</v>
      </c>
      <c r="P9" s="14">
        <f t="shared" si="3"/>
        <v>12.959999999999999</v>
      </c>
      <c r="Q9" s="14">
        <f t="shared" si="4"/>
        <v>707.59999999999991</v>
      </c>
      <c r="R9" s="10"/>
    </row>
    <row r="10" spans="1:18" x14ac:dyDescent="0.3">
      <c r="F10" s="3"/>
      <c r="G10" s="8"/>
      <c r="H10" s="8"/>
      <c r="I10" s="8"/>
      <c r="J10" s="8"/>
      <c r="K10" s="8"/>
      <c r="O10" s="13"/>
      <c r="P10" s="13"/>
      <c r="Q10" s="13"/>
    </row>
    <row r="11" spans="1:18" x14ac:dyDescent="0.3">
      <c r="F11" s="3"/>
      <c r="G11" s="8"/>
      <c r="H11" s="8"/>
      <c r="I11" s="8"/>
      <c r="J11" s="8"/>
      <c r="K11" s="8"/>
    </row>
    <row r="15" spans="1:18" x14ac:dyDescent="0.3">
      <c r="M15" s="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KONER</dc:creator>
  <cp:lastModifiedBy>ANUBHAV KONER</cp:lastModifiedBy>
  <dcterms:created xsi:type="dcterms:W3CDTF">2026-02-26T13:51:29Z</dcterms:created>
  <dcterms:modified xsi:type="dcterms:W3CDTF">2026-02-26T16:46:57Z</dcterms:modified>
</cp:coreProperties>
</file>