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ubh\Downloads\"/>
    </mc:Choice>
  </mc:AlternateContent>
  <xr:revisionPtr revIDLastSave="0" documentId="8_{D57445CC-003F-4BC3-9FEB-8CF5B542A1A2}" xr6:coauthVersionLast="47" xr6:coauthVersionMax="47" xr10:uidLastSave="{00000000-0000-0000-0000-000000000000}"/>
  <bookViews>
    <workbookView xWindow="-108" yWindow="-108" windowWidth="23256" windowHeight="13176" firstSheet="4" activeTab="4" xr2:uid="{00000000-000D-0000-FFFF-FFFF00000000}"/>
  </bookViews>
  <sheets>
    <sheet name="Ecommerce_Data" sheetId="1" r:id="rId1"/>
    <sheet name="Pivot Table" sheetId="8" r:id="rId2"/>
    <sheet name="Working Data" sheetId="7" r:id="rId3"/>
    <sheet name="QUESTIONS" sheetId="2" r:id="rId4"/>
    <sheet name="Dashboard" sheetId="6" r:id="rId5"/>
  </sheets>
  <definedNames>
    <definedName name="_xlnm._FilterDatabase" localSheetId="2" hidden="1">'Working Data'!$A$1:$P$1001</definedName>
  </definedNames>
  <calcPr calcId="191028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7" l="1" a="1"/>
  <c r="P2" i="7" s="1"/>
  <c r="O110" i="7"/>
  <c r="O135" i="7"/>
  <c r="O950" i="7"/>
  <c r="O60" i="7"/>
  <c r="O123" i="7"/>
  <c r="O346" i="7"/>
  <c r="O726" i="7"/>
  <c r="O960" i="7"/>
  <c r="O269" i="7"/>
  <c r="O478" i="7"/>
  <c r="O461" i="7"/>
  <c r="O854" i="7"/>
  <c r="O484" i="7"/>
  <c r="O459" i="7"/>
  <c r="O22" i="7"/>
  <c r="O994" i="7"/>
  <c r="O26" i="7"/>
  <c r="O492" i="7"/>
  <c r="O973" i="7"/>
  <c r="O146" i="7"/>
  <c r="O354" i="7"/>
  <c r="O972" i="7"/>
  <c r="O716" i="7"/>
  <c r="O837" i="7"/>
  <c r="O386" i="7"/>
  <c r="O380" i="7"/>
  <c r="O420" i="7"/>
  <c r="O398" i="7"/>
  <c r="O409" i="7"/>
  <c r="O117" i="7"/>
  <c r="O775" i="7"/>
  <c r="O57" i="7"/>
  <c r="O799" i="7"/>
  <c r="O538" i="7"/>
  <c r="O696" i="7"/>
  <c r="O714" i="7"/>
  <c r="O521" i="7"/>
  <c r="O356" i="7"/>
  <c r="O565" i="7"/>
  <c r="O524" i="7"/>
  <c r="O94" i="7"/>
  <c r="O961" i="7"/>
  <c r="O695" i="7"/>
  <c r="O142" i="7"/>
  <c r="O955" i="7"/>
  <c r="O305" i="7"/>
  <c r="O131" i="7"/>
  <c r="O561" i="7"/>
  <c r="O627" i="7"/>
  <c r="O796" i="7"/>
  <c r="O780" i="7"/>
  <c r="O336" i="7"/>
  <c r="O680" i="7"/>
  <c r="O171" i="7"/>
  <c r="O992" i="7"/>
  <c r="O563" i="7"/>
  <c r="O413" i="7"/>
  <c r="O65" i="7"/>
  <c r="O548" i="7"/>
  <c r="O513" i="7"/>
  <c r="O659" i="7"/>
  <c r="O504" i="7"/>
  <c r="O473" i="7"/>
  <c r="O273" i="7"/>
  <c r="O3" i="7"/>
  <c r="O445" i="7"/>
  <c r="O542" i="7"/>
  <c r="O794" i="7"/>
  <c r="O157" i="7"/>
  <c r="O318" i="7"/>
  <c r="O556" i="7"/>
  <c r="O232" i="7"/>
  <c r="O615" i="7"/>
  <c r="O337" i="7"/>
  <c r="O981" i="7"/>
  <c r="O281" i="7"/>
  <c r="O433" i="7"/>
  <c r="O8" i="7"/>
  <c r="O699" i="7"/>
  <c r="O265" i="7"/>
  <c r="O362" i="7"/>
  <c r="O233" i="7"/>
  <c r="O689" i="7"/>
  <c r="O777" i="7"/>
  <c r="O387" i="7"/>
  <c r="O580" i="7"/>
  <c r="O883" i="7"/>
  <c r="O235" i="7"/>
  <c r="O447" i="7"/>
  <c r="O756" i="7"/>
  <c r="O884" i="7"/>
  <c r="O249" i="7"/>
  <c r="O298" i="7"/>
  <c r="O804" i="7"/>
  <c r="O72" i="7"/>
  <c r="O920" i="7"/>
  <c r="O456" i="7"/>
  <c r="O853" i="7"/>
  <c r="O240" i="7"/>
  <c r="O13" i="7"/>
  <c r="O582" i="7"/>
  <c r="O182" i="7"/>
  <c r="O145" i="7"/>
  <c r="O765" i="7"/>
  <c r="O306" i="7"/>
  <c r="O393" i="7"/>
  <c r="O506" i="7"/>
  <c r="O876" i="7"/>
  <c r="O388" i="7"/>
  <c r="O743" i="7"/>
  <c r="O470" i="7"/>
  <c r="O488" i="7"/>
  <c r="O969" i="7"/>
  <c r="O429" i="7"/>
  <c r="O787" i="7"/>
  <c r="O642" i="7"/>
  <c r="O675" i="7"/>
  <c r="O502" i="7"/>
  <c r="O939" i="7"/>
  <c r="O236" i="7"/>
  <c r="O231" i="7"/>
  <c r="O932" i="7"/>
  <c r="O860" i="7"/>
  <c r="O168" i="7"/>
  <c r="O788" i="7"/>
  <c r="O800" i="7"/>
  <c r="O645" i="7"/>
  <c r="O576" i="7"/>
  <c r="O511" i="7"/>
  <c r="O159" i="7"/>
  <c r="O212" i="7"/>
  <c r="O330" i="7"/>
  <c r="O476" i="7"/>
  <c r="O198" i="7"/>
  <c r="O175" i="7"/>
  <c r="O882" i="7"/>
  <c r="O962" i="7"/>
  <c r="O216" i="7"/>
  <c r="O482" i="7"/>
  <c r="O400" i="7"/>
  <c r="O310" i="7"/>
  <c r="O52" i="7"/>
  <c r="O41" i="7"/>
  <c r="O28" i="7"/>
  <c r="O46" i="7"/>
  <c r="O730" i="7"/>
  <c r="O968" i="7"/>
  <c r="O704" i="7"/>
  <c r="O371" i="7"/>
  <c r="O618" i="7"/>
  <c r="O776" i="7"/>
  <c r="O623" i="7"/>
  <c r="O11" i="7"/>
  <c r="O958" i="7"/>
  <c r="O865" i="7"/>
  <c r="O421" i="7"/>
  <c r="O14" i="7"/>
  <c r="O971" i="7"/>
  <c r="O633" i="7"/>
  <c r="O995" i="7"/>
  <c r="O662" i="7"/>
  <c r="O195" i="7"/>
  <c r="O747" i="7"/>
  <c r="O540" i="7"/>
  <c r="O79" i="7"/>
  <c r="O472" i="7"/>
  <c r="O731" i="7"/>
  <c r="O191" i="7"/>
  <c r="O667" i="7"/>
  <c r="O661" i="7"/>
  <c r="O797" i="7"/>
  <c r="O435" i="7"/>
  <c r="O703" i="7"/>
  <c r="O700" i="7"/>
  <c r="O34" i="7"/>
  <c r="O201" i="7"/>
  <c r="O503" i="7"/>
  <c r="O867" i="7"/>
  <c r="O789" i="7"/>
  <c r="O917" i="7"/>
  <c r="O17" i="7"/>
  <c r="O934" i="7"/>
  <c r="O705" i="7"/>
  <c r="O352" i="7"/>
  <c r="O713" i="7"/>
  <c r="O859" i="7"/>
  <c r="O537" i="7"/>
  <c r="O44" i="7"/>
  <c r="O469" i="7"/>
  <c r="O988" i="7"/>
  <c r="O678" i="7"/>
  <c r="O353" i="7"/>
  <c r="O791" i="7"/>
  <c r="O84" i="7"/>
  <c r="O428" i="7"/>
  <c r="O498" i="7"/>
  <c r="O350" i="7"/>
  <c r="O404" i="7"/>
  <c r="O238" i="7"/>
  <c r="O518" i="7"/>
  <c r="O290" i="7"/>
  <c r="O522" i="7"/>
  <c r="O81" i="7"/>
  <c r="O262" i="7"/>
  <c r="O418" i="7"/>
  <c r="O43" i="7"/>
  <c r="O628" i="7"/>
  <c r="O691" i="7"/>
  <c r="O323" i="7"/>
  <c r="O192" i="7"/>
  <c r="O710" i="7"/>
  <c r="O474" i="7"/>
  <c r="O771" i="7"/>
  <c r="O774" i="7"/>
  <c r="O56" i="7"/>
  <c r="O154" i="7"/>
  <c r="O4" i="7"/>
  <c r="O607" i="7"/>
  <c r="O430" i="7"/>
  <c r="O688" i="7"/>
  <c r="O190" i="7"/>
  <c r="O244" i="7"/>
  <c r="O2" i="7"/>
  <c r="O895" i="7"/>
  <c r="O936" i="7"/>
  <c r="O742" i="7"/>
  <c r="O396" i="7"/>
  <c r="O621" i="7"/>
  <c r="O613" i="7"/>
  <c r="O106" i="7"/>
  <c r="O681" i="7"/>
  <c r="O58" i="7"/>
  <c r="O119" i="7"/>
  <c r="O914" i="7"/>
  <c r="O652" i="7"/>
  <c r="O255" i="7"/>
  <c r="O467" i="7"/>
  <c r="O507" i="7"/>
  <c r="O991" i="7"/>
  <c r="O589" i="7"/>
  <c r="O138" i="7"/>
  <c r="O222" i="7"/>
  <c r="O783" i="7"/>
  <c r="O16" i="7"/>
  <c r="O816" i="7"/>
  <c r="O807" i="7"/>
  <c r="O863" i="7"/>
  <c r="O903" i="7"/>
  <c r="O721" i="7"/>
  <c r="O902" i="7"/>
  <c r="O671" i="7"/>
  <c r="O926" i="7"/>
  <c r="O912" i="7"/>
  <c r="O390" i="7"/>
  <c r="O719" i="7"/>
  <c r="O751" i="7"/>
  <c r="O746" i="7"/>
  <c r="O781" i="7"/>
  <c r="O149" i="7"/>
  <c r="O450" i="7"/>
  <c r="O836" i="7"/>
  <c r="O185" i="7"/>
  <c r="O180" i="7"/>
  <c r="O855" i="7"/>
  <c r="O173" i="7"/>
  <c r="O998" i="7"/>
  <c r="O590" i="7"/>
  <c r="O970" i="7"/>
  <c r="O340" i="7"/>
  <c r="O515" i="7"/>
  <c r="O512" i="7"/>
  <c r="O139" i="7"/>
  <c r="O219" i="7"/>
  <c r="O531" i="7"/>
  <c r="O300" i="7"/>
  <c r="O193" i="7"/>
  <c r="O831" i="7"/>
  <c r="O921" i="7"/>
  <c r="O179" i="7"/>
  <c r="O133" i="7"/>
  <c r="O357" i="7"/>
  <c r="O127" i="7"/>
  <c r="O495" i="7"/>
  <c r="O856" i="7"/>
  <c r="O264" i="7"/>
  <c r="O211" i="7"/>
  <c r="O66" i="7"/>
  <c r="O772" i="7"/>
  <c r="O650" i="7"/>
  <c r="O931" i="7"/>
  <c r="O508" i="7"/>
  <c r="O792" i="7"/>
  <c r="O468" i="7"/>
  <c r="O432" i="7"/>
  <c r="O900" i="7"/>
  <c r="O176" i="7"/>
  <c r="O82" i="7"/>
  <c r="O55" i="7"/>
  <c r="O945" i="7"/>
  <c r="O679" i="7"/>
  <c r="O666" i="7"/>
  <c r="O366" i="7"/>
  <c r="O585" i="7"/>
  <c r="O402" i="7"/>
  <c r="O739" i="7"/>
  <c r="O367" i="7"/>
  <c r="O638" i="7"/>
  <c r="O73" i="7"/>
  <c r="O706" i="7"/>
  <c r="O906" i="7"/>
  <c r="O408" i="7"/>
  <c r="O911" i="7"/>
  <c r="O339" i="7"/>
  <c r="O363" i="7"/>
  <c r="O234" i="7"/>
  <c r="O811" i="7"/>
  <c r="O12" i="7"/>
  <c r="O560" i="7"/>
  <c r="O663" i="7"/>
  <c r="O128" i="7"/>
  <c r="O203" i="7"/>
  <c r="O901" i="7"/>
  <c r="O525" i="7"/>
  <c r="O687" i="7"/>
  <c r="O977" i="7"/>
  <c r="O523" i="7"/>
  <c r="O954" i="7"/>
  <c r="O160" i="7"/>
  <c r="O166" i="7"/>
  <c r="O889" i="7"/>
  <c r="O279" i="7"/>
  <c r="O97" i="7"/>
  <c r="O782" i="7"/>
  <c r="O614" i="7"/>
  <c r="O555" i="7"/>
  <c r="O737" i="7"/>
  <c r="O828" i="7"/>
  <c r="O141" i="7"/>
  <c r="O253" i="7"/>
  <c r="O673" i="7"/>
  <c r="O83" i="7"/>
  <c r="O501" i="7"/>
  <c r="O292" i="7"/>
  <c r="O841" i="7"/>
  <c r="O826" i="7"/>
  <c r="O370" i="7"/>
  <c r="O534" i="7"/>
  <c r="O163" i="7"/>
  <c r="O624" i="7"/>
  <c r="O347" i="7"/>
  <c r="O798" i="7"/>
  <c r="O321" i="7"/>
  <c r="O635" i="7"/>
  <c r="O10" i="7"/>
  <c r="O444" i="7"/>
  <c r="O938" i="7"/>
  <c r="O824" i="7"/>
  <c r="O640" i="7"/>
  <c r="O397" i="7"/>
  <c r="O656" i="7"/>
  <c r="O558" i="7"/>
  <c r="O526" i="7"/>
  <c r="O762" i="7"/>
  <c r="O78" i="7"/>
  <c r="O598" i="7"/>
  <c r="O189" i="7"/>
  <c r="O840" i="7"/>
  <c r="O80" i="7"/>
  <c r="O927" i="7"/>
  <c r="O297" i="7"/>
  <c r="O500" i="7"/>
  <c r="O392" i="7"/>
  <c r="O381" i="7"/>
  <c r="O331" i="7"/>
  <c r="O349" i="7"/>
  <c r="O89" i="7"/>
  <c r="O422" i="7"/>
  <c r="O454" i="7"/>
  <c r="O225" i="7"/>
  <c r="O620" i="7"/>
  <c r="O140" i="7"/>
  <c r="O109" i="7"/>
  <c r="O114" i="7"/>
  <c r="O554" i="7"/>
  <c r="O31" i="7"/>
  <c r="O611" i="7"/>
  <c r="O793" i="7"/>
  <c r="O299" i="7"/>
  <c r="O940" i="7"/>
  <c r="O71" i="7"/>
  <c r="O733" i="7"/>
  <c r="O588" i="7"/>
  <c r="O439" i="7"/>
  <c r="O530" i="7"/>
  <c r="O23" i="7"/>
  <c r="O316" i="7"/>
  <c r="O29" i="7"/>
  <c r="O67" i="7"/>
  <c r="O451" i="7"/>
  <c r="O967" i="7"/>
  <c r="O975" i="7"/>
  <c r="O919" i="7"/>
  <c r="O664" i="7"/>
  <c r="O18" i="7"/>
  <c r="O698" i="7"/>
  <c r="O933" i="7"/>
  <c r="O830" i="7"/>
  <c r="O569" i="7"/>
  <c r="O51" i="7"/>
  <c r="O579" i="7"/>
  <c r="O134" i="7"/>
  <c r="O694" i="7"/>
  <c r="O427" i="7"/>
  <c r="O208" i="7"/>
  <c r="O248" i="7"/>
  <c r="O7" i="7"/>
  <c r="O423" i="7"/>
  <c r="O218" i="7"/>
  <c r="O399" i="7"/>
  <c r="O326" i="7"/>
  <c r="O683" i="7"/>
  <c r="O93" i="7"/>
  <c r="O251" i="7"/>
  <c r="O858" i="7"/>
  <c r="O465" i="7"/>
  <c r="O129" i="7"/>
  <c r="O925" i="7"/>
  <c r="O327" i="7"/>
  <c r="O210" i="7"/>
  <c r="O294" i="7"/>
  <c r="O165" i="7"/>
  <c r="O247" i="7"/>
  <c r="O285" i="7"/>
  <c r="O452" i="7"/>
  <c r="O224" i="7"/>
  <c r="O601" i="7"/>
  <c r="O918" i="7"/>
  <c r="O888" i="7"/>
  <c r="O202" i="7"/>
  <c r="O332" i="7"/>
  <c r="O591" i="7"/>
  <c r="O437" i="7"/>
  <c r="O827" i="7"/>
  <c r="O893" i="7"/>
  <c r="O608" i="7"/>
  <c r="O45" i="7"/>
  <c r="O1000" i="7"/>
  <c r="O91" i="7"/>
  <c r="O871" i="7"/>
  <c r="O821" i="7"/>
  <c r="O101" i="7"/>
  <c r="O162" i="7"/>
  <c r="O584" i="7"/>
  <c r="O475" i="7"/>
  <c r="O64" i="7"/>
  <c r="O886" i="7"/>
  <c r="O625" i="7"/>
  <c r="O161" i="7"/>
  <c r="O605" i="7"/>
  <c r="O35" i="7"/>
  <c r="O951" i="7"/>
  <c r="O303" i="7"/>
  <c r="O441" i="7"/>
  <c r="O852" i="7"/>
  <c r="O764" i="7"/>
  <c r="O868" i="7"/>
  <c r="O908" i="7"/>
  <c r="O287" i="7"/>
  <c r="O915" i="7"/>
  <c r="O39" i="7"/>
  <c r="O69" i="7"/>
  <c r="O271" i="7"/>
  <c r="O130" i="7"/>
  <c r="O457" i="7"/>
  <c r="O137" i="7"/>
  <c r="O144" i="7"/>
  <c r="O707" i="7"/>
  <c r="O979" i="7"/>
  <c r="O941" i="7"/>
  <c r="O266" i="7"/>
  <c r="O665" i="7"/>
  <c r="O834" i="7"/>
  <c r="O817" i="7"/>
  <c r="O217" i="7"/>
  <c r="O207" i="7"/>
  <c r="O648" i="7"/>
  <c r="O907" i="7"/>
  <c r="O107" i="7"/>
  <c r="O982" i="7"/>
  <c r="O384" i="7"/>
  <c r="O755" i="7"/>
  <c r="O877" i="7"/>
  <c r="O242" i="7"/>
  <c r="O956" i="7"/>
  <c r="O597" i="7"/>
  <c r="O709" i="7"/>
  <c r="O335" i="7"/>
  <c r="O256" i="7"/>
  <c r="O850" i="7"/>
  <c r="O460" i="7"/>
  <c r="O758" i="7"/>
  <c r="O368" i="7"/>
  <c r="O568" i="7"/>
  <c r="O443" i="7"/>
  <c r="O9" i="7"/>
  <c r="O309" i="7"/>
  <c r="O373" i="7"/>
  <c r="O155" i="7"/>
  <c r="O205" i="7"/>
  <c r="O722" i="7"/>
  <c r="O405" i="7"/>
  <c r="O692" i="7"/>
  <c r="O851" i="7"/>
  <c r="O989" i="7"/>
  <c r="O215" i="7"/>
  <c r="O641" i="7"/>
  <c r="O637" i="7"/>
  <c r="O845" i="7"/>
  <c r="O197" i="7"/>
  <c r="O272" i="7"/>
  <c r="O209" i="7"/>
  <c r="O533" i="7"/>
  <c r="O809" i="7"/>
  <c r="O206" i="7"/>
  <c r="O113" i="7"/>
  <c r="O412" i="7"/>
  <c r="O221" i="7"/>
  <c r="O644" i="7"/>
  <c r="O878" i="7"/>
  <c r="O847" i="7"/>
  <c r="O872" i="7"/>
  <c r="O491" i="7"/>
  <c r="O924" i="7"/>
  <c r="O257" i="7"/>
  <c r="O741" i="7"/>
  <c r="O546" i="7"/>
  <c r="O829" i="7"/>
  <c r="O417" i="7"/>
  <c r="O105" i="7"/>
  <c r="O646" i="7"/>
  <c r="O631" i="7"/>
  <c r="O268" i="7"/>
  <c r="O319" i="7"/>
  <c r="O76" i="7"/>
  <c r="O477" i="7"/>
  <c r="O25" i="7"/>
  <c r="O583" i="7"/>
  <c r="O304" i="7"/>
  <c r="O862" i="7"/>
  <c r="O438" i="7"/>
  <c r="O261" i="7"/>
  <c r="O966" i="7"/>
  <c r="O293" i="7"/>
  <c r="O564" i="7"/>
  <c r="O527" i="7"/>
  <c r="O277" i="7"/>
  <c r="O532" i="7"/>
  <c r="O95" i="7"/>
  <c r="O839" i="7"/>
  <c r="O571" i="7"/>
  <c r="O930" i="7"/>
  <c r="O957" i="7"/>
  <c r="O493" i="7"/>
  <c r="O314" i="7"/>
  <c r="O766" i="7"/>
  <c r="O916" i="7"/>
  <c r="O996" i="7"/>
  <c r="O103" i="7"/>
  <c r="O329" i="7"/>
  <c r="O115" i="7"/>
  <c r="O978" i="7"/>
  <c r="O528" i="7"/>
  <c r="O965" i="7"/>
  <c r="O120" i="7"/>
  <c r="O946" i="7"/>
  <c r="O86" i="7"/>
  <c r="O543" i="7"/>
  <c r="O410" i="7"/>
  <c r="O360" i="7"/>
  <c r="O344" i="7"/>
  <c r="O654" i="7"/>
  <c r="O313" i="7"/>
  <c r="O541" i="7"/>
  <c r="O108" i="7"/>
  <c r="O832" i="7"/>
  <c r="O944" i="7"/>
  <c r="O873" i="7"/>
  <c r="O440" i="7"/>
  <c r="O125" i="7"/>
  <c r="O976" i="7"/>
  <c r="O769" i="7"/>
  <c r="O547" i="7"/>
  <c r="O88" i="7"/>
  <c r="O489" i="7"/>
  <c r="O894" i="7"/>
  <c r="O557" i="7"/>
  <c r="O150" i="7"/>
  <c r="O866" i="7"/>
  <c r="O630" i="7"/>
  <c r="O77" i="7"/>
  <c r="O594" i="7"/>
  <c r="O112" i="7"/>
  <c r="O658" i="7"/>
  <c r="O602" i="7"/>
  <c r="O632" i="7"/>
  <c r="O424" i="7"/>
  <c r="O529" i="7"/>
  <c r="O351" i="7"/>
  <c r="O184" i="7"/>
  <c r="O587" i="7"/>
  <c r="O167" i="7"/>
  <c r="O520" i="7"/>
  <c r="O92" i="7"/>
  <c r="O245" i="7"/>
  <c r="O90" i="7"/>
  <c r="O604" i="7"/>
  <c r="O651" i="7"/>
  <c r="O748" i="7"/>
  <c r="O814" i="7"/>
  <c r="O974" i="7"/>
  <c r="O343" i="7"/>
  <c r="O116" i="7"/>
  <c r="O606" i="7"/>
  <c r="O483" i="7"/>
  <c r="O622" i="7"/>
  <c r="O230" i="7"/>
  <c r="O40" i="7"/>
  <c r="O795" i="7"/>
  <c r="O5" i="7"/>
  <c r="O70" i="7"/>
  <c r="O773" i="7"/>
  <c r="O959" i="7"/>
  <c r="O928" i="7"/>
  <c r="O870" i="7"/>
  <c r="O169" i="7"/>
  <c r="O785" i="7"/>
  <c r="O980" i="7"/>
  <c r="O270" i="7"/>
  <c r="O784" i="7"/>
  <c r="O810" i="7"/>
  <c r="O237" i="7"/>
  <c r="O147" i="7"/>
  <c r="O425" i="7"/>
  <c r="O223" i="7"/>
  <c r="O729" i="7"/>
  <c r="O879" i="7"/>
  <c r="O861" i="7"/>
  <c r="O263" i="7"/>
  <c r="O458" i="7"/>
  <c r="O260" i="7"/>
  <c r="O170" i="7"/>
  <c r="O674" i="7"/>
  <c r="O200" i="7"/>
  <c r="O686" i="7"/>
  <c r="O229" i="7"/>
  <c r="O963" i="7"/>
  <c r="O745" i="7"/>
  <c r="O156" i="7"/>
  <c r="O820" i="7"/>
  <c r="O752" i="7"/>
  <c r="O544" i="7"/>
  <c r="O655" i="7"/>
  <c r="O937" i="7"/>
  <c r="O984" i="7"/>
  <c r="O718" i="7"/>
  <c r="O111" i="7"/>
  <c r="O909" i="7"/>
  <c r="O549" i="7"/>
  <c r="O725" i="7"/>
  <c r="O188" i="7"/>
  <c r="O377" i="7"/>
  <c r="O727" i="7"/>
  <c r="O33" i="7"/>
  <c r="O823" i="7"/>
  <c r="O36" i="7"/>
  <c r="O382" i="7"/>
  <c r="O505" i="7"/>
  <c r="O682" i="7"/>
  <c r="O535" i="7"/>
  <c r="O324" i="7"/>
  <c r="O275" i="7"/>
  <c r="O711" i="7"/>
  <c r="O446" i="7"/>
  <c r="O407" i="7"/>
  <c r="O30" i="7"/>
  <c r="O20" i="7"/>
  <c r="O869" i="7"/>
  <c r="O685" i="7"/>
  <c r="O562" i="7"/>
  <c r="O551" i="7"/>
  <c r="O514" i="7"/>
  <c r="O808" i="7"/>
  <c r="O545" i="7"/>
  <c r="O550" i="7"/>
  <c r="O414" i="7"/>
  <c r="O844" i="7"/>
  <c r="O48" i="7"/>
  <c r="O497" i="7"/>
  <c r="O213" i="7"/>
  <c r="O942" i="7"/>
  <c r="O241" i="7"/>
  <c r="O328" i="7"/>
  <c r="O910" i="7"/>
  <c r="O891" i="7"/>
  <c r="O649" i="7"/>
  <c r="O480" i="7"/>
  <c r="O98" i="7"/>
  <c r="O96" i="7"/>
  <c r="O177" i="7"/>
  <c r="O220" i="7"/>
  <c r="O259" i="7"/>
  <c r="O204" i="7"/>
  <c r="O406" i="7"/>
  <c r="O50" i="7"/>
  <c r="O280" i="7"/>
  <c r="O849" i="7"/>
  <c r="O358" i="7"/>
  <c r="O935" i="7"/>
  <c r="O812" i="7"/>
  <c r="O485" i="7"/>
  <c r="O453" i="7"/>
  <c r="O186" i="7"/>
  <c r="O760" i="7"/>
  <c r="O361" i="7"/>
  <c r="O152" i="7"/>
  <c r="O510" i="7"/>
  <c r="O312" i="7"/>
  <c r="O481" i="7"/>
  <c r="O296" i="7"/>
  <c r="O462" i="7"/>
  <c r="O419" i="7"/>
  <c r="O952" i="7"/>
  <c r="O196" i="7"/>
  <c r="O612" i="7"/>
  <c r="O38" i="7"/>
  <c r="O333" i="7"/>
  <c r="O949" i="7"/>
  <c r="O818" i="7"/>
  <c r="O385" i="7"/>
  <c r="O496" i="7"/>
  <c r="O864" i="7"/>
  <c r="O720" i="7"/>
  <c r="O759" i="7"/>
  <c r="O813" i="7"/>
  <c r="O278" i="7"/>
  <c r="O100" i="7"/>
  <c r="O355" i="7"/>
  <c r="O636" i="7"/>
  <c r="O1001" i="7"/>
  <c r="O842" i="7"/>
  <c r="O6" i="7"/>
  <c r="O553" i="7"/>
  <c r="O586" i="7"/>
  <c r="O803" i="7"/>
  <c r="O750" i="7"/>
  <c r="O723" i="7"/>
  <c r="O749" i="7"/>
  <c r="O577" i="7"/>
  <c r="O320" i="7"/>
  <c r="O738" i="7"/>
  <c r="O464" i="7"/>
  <c r="O250" i="7"/>
  <c r="O898" i="7"/>
  <c r="O61" i="7"/>
  <c r="O779" i="7"/>
  <c r="O345" i="7"/>
  <c r="O575" i="7"/>
  <c r="O471" i="7"/>
  <c r="O494" i="7"/>
  <c r="O953" i="7"/>
  <c r="O736" i="7"/>
  <c r="O181" i="7"/>
  <c r="O669" i="7"/>
  <c r="O449" i="7"/>
  <c r="O282" i="7"/>
  <c r="O885" i="7"/>
  <c r="O634" i="7"/>
  <c r="O890" i="7"/>
  <c r="O315" i="7"/>
  <c r="O416" i="7"/>
  <c r="O379" i="7"/>
  <c r="O486" i="7"/>
  <c r="O609" i="7"/>
  <c r="O825" i="7"/>
  <c r="O857" i="7"/>
  <c r="O993" i="7"/>
  <c r="O596" i="7"/>
  <c r="O690" i="7"/>
  <c r="O295" i="7"/>
  <c r="O672" i="7"/>
  <c r="O708" i="7"/>
  <c r="O595" i="7"/>
  <c r="O724" i="7"/>
  <c r="O254" i="7"/>
  <c r="O341" i="7"/>
  <c r="O539" i="7"/>
  <c r="O599" i="7"/>
  <c r="O383" i="7"/>
  <c r="O214" i="7"/>
  <c r="O923" i="7"/>
  <c r="O735" i="7"/>
  <c r="O274" i="7"/>
  <c r="O194" i="7"/>
  <c r="O348" i="7"/>
  <c r="O227" i="7"/>
  <c r="O99" i="7"/>
  <c r="O985" i="7"/>
  <c r="O136" i="7"/>
  <c r="O761" i="7"/>
  <c r="O62" i="7"/>
  <c r="O63" i="7"/>
  <c r="O983" i="7"/>
  <c r="O566" i="7"/>
  <c r="O288" i="7"/>
  <c r="O676" i="7"/>
  <c r="O697" i="7"/>
  <c r="O426" i="7"/>
  <c r="O805" i="7"/>
  <c r="O364" i="7"/>
  <c r="O126" i="7"/>
  <c r="O653" i="7"/>
  <c r="O102" i="7"/>
  <c r="O15" i="7"/>
  <c r="O693" i="7"/>
  <c r="O715" i="7"/>
  <c r="O913" i="7"/>
  <c r="O334" i="7"/>
  <c r="O815" i="7"/>
  <c r="O899" i="7"/>
  <c r="O943" i="7"/>
  <c r="O172" i="7"/>
  <c r="O767" i="7"/>
  <c r="O753" i="7"/>
  <c r="O479" i="7"/>
  <c r="O874" i="7"/>
  <c r="O603" i="7"/>
  <c r="O487" i="7"/>
  <c r="O375" i="7"/>
  <c r="O592" i="7"/>
  <c r="O369" i="7"/>
  <c r="O990" i="7"/>
  <c r="O740" i="7"/>
  <c r="O53" i="7"/>
  <c r="O403" i="7"/>
  <c r="O887" i="7"/>
  <c r="O132" i="7"/>
  <c r="O153" i="7"/>
  <c r="O391" i="7"/>
  <c r="O677" i="7"/>
  <c r="O226" i="7"/>
  <c r="O668" i="7"/>
  <c r="O896" i="7"/>
  <c r="O376" i="7"/>
  <c r="O806" i="7"/>
  <c r="O243" i="7"/>
  <c r="O21" i="7"/>
  <c r="O322" i="7"/>
  <c r="O37" i="7"/>
  <c r="O897" i="7"/>
  <c r="O455" i="7"/>
  <c r="O701" i="7"/>
  <c r="O573" i="7"/>
  <c r="O289" i="7"/>
  <c r="O660" i="7"/>
  <c r="O833" i="7"/>
  <c r="O567" i="7"/>
  <c r="O389" i="7"/>
  <c r="O118" i="7"/>
  <c r="O49" i="7"/>
  <c r="O717" i="7"/>
  <c r="O302" i="7"/>
  <c r="O499" i="7"/>
  <c r="O578" i="7"/>
  <c r="O754" i="7"/>
  <c r="O643" i="7"/>
  <c r="O121" i="7"/>
  <c r="O239" i="7"/>
  <c r="O610" i="7"/>
  <c r="O252" i="7"/>
  <c r="O158" i="7"/>
  <c r="O258" i="7"/>
  <c r="O947" i="7"/>
  <c r="O415" i="7"/>
  <c r="O124" i="7"/>
  <c r="O552" i="7"/>
  <c r="O768" i="7"/>
  <c r="O881" i="7"/>
  <c r="O228" i="7"/>
  <c r="O801" i="7"/>
  <c r="O846" i="7"/>
  <c r="O574" i="7"/>
  <c r="O999" i="7"/>
  <c r="O411" i="7"/>
  <c r="O436" i="7"/>
  <c r="O986" i="7"/>
  <c r="O47" i="7"/>
  <c r="O763" i="7"/>
  <c r="O178" i="7"/>
  <c r="O875" i="7"/>
  <c r="O59" i="7"/>
  <c r="O657" i="7"/>
  <c r="O519" i="7"/>
  <c r="O246" i="7"/>
  <c r="O509" i="7"/>
  <c r="O670" i="7"/>
  <c r="O684" i="7"/>
  <c r="O964" i="7"/>
  <c r="O338" i="7"/>
  <c r="O325" i="7"/>
  <c r="O843" i="7"/>
  <c r="O395" i="7"/>
  <c r="O401" i="7"/>
  <c r="O42" i="7"/>
  <c r="O617" i="7"/>
  <c r="O378" i="7"/>
  <c r="O734" i="7"/>
  <c r="O85" i="7"/>
  <c r="O712" i="7"/>
  <c r="O593" i="7"/>
  <c r="O151" i="7"/>
  <c r="O267" i="7"/>
  <c r="O822" i="7"/>
  <c r="O19" i="7"/>
  <c r="O122" i="7"/>
  <c r="O639" i="7"/>
  <c r="O581" i="7"/>
  <c r="O311" i="7"/>
  <c r="O276" i="7"/>
  <c r="O702" i="7"/>
  <c r="O905" i="7"/>
  <c r="O559" i="7"/>
  <c r="O819" i="7"/>
  <c r="O732" i="7"/>
  <c r="O997" i="7"/>
  <c r="O148" i="7"/>
  <c r="O317" i="7"/>
  <c r="O929" i="7"/>
  <c r="O570" i="7"/>
  <c r="O308" i="7"/>
  <c r="O74" i="7"/>
  <c r="O164" i="7"/>
  <c r="O880" i="7"/>
  <c r="O904" i="7"/>
  <c r="O757" i="7"/>
  <c r="O301" i="7"/>
  <c r="O728" i="7"/>
  <c r="O143" i="7"/>
  <c r="O572" i="7"/>
  <c r="O922" i="7"/>
  <c r="O283" i="7"/>
  <c r="O87" i="7"/>
  <c r="O431" i="7"/>
  <c r="O32" i="7"/>
  <c r="O626" i="7"/>
  <c r="O490" i="7"/>
  <c r="O54" i="7"/>
  <c r="O284" i="7"/>
  <c r="O174" i="7"/>
  <c r="O199" i="7"/>
  <c r="O463" i="7"/>
  <c r="O616" i="7"/>
  <c r="O629" i="7"/>
  <c r="O466" i="7"/>
  <c r="O838" i="7"/>
  <c r="O442" i="7"/>
  <c r="O104" i="7"/>
  <c r="O517" i="7"/>
  <c r="O448" i="7"/>
  <c r="O359" i="7"/>
  <c r="O342" i="7"/>
  <c r="O778" i="7"/>
  <c r="O291" i="7"/>
  <c r="O619" i="7"/>
  <c r="O286" i="7"/>
  <c r="O183" i="7"/>
  <c r="O802" i="7"/>
  <c r="O365" i="7"/>
  <c r="O987" i="7"/>
  <c r="O68" i="7"/>
  <c r="O394" i="7"/>
  <c r="O374" i="7"/>
  <c r="O786" i="7"/>
  <c r="O187" i="7"/>
  <c r="O835" i="7"/>
  <c r="O647" i="7"/>
  <c r="O744" i="7"/>
  <c r="O790" i="7"/>
  <c r="O434" i="7"/>
  <c r="O27" i="7"/>
  <c r="O307" i="7"/>
  <c r="O24" i="7"/>
  <c r="O770" i="7"/>
  <c r="O516" i="7"/>
  <c r="O948" i="7"/>
  <c r="O536" i="7"/>
  <c r="O600" i="7"/>
  <c r="O75" i="7"/>
  <c r="O372" i="7"/>
  <c r="O848" i="7"/>
  <c r="O892" i="7"/>
  <c r="N110" i="7"/>
  <c r="N135" i="7"/>
  <c r="N950" i="7"/>
  <c r="N60" i="7"/>
  <c r="N123" i="7"/>
  <c r="N346" i="7"/>
  <c r="N726" i="7"/>
  <c r="N960" i="7"/>
  <c r="N269" i="7"/>
  <c r="N478" i="7"/>
  <c r="N461" i="7"/>
  <c r="N854" i="7"/>
  <c r="N484" i="7"/>
  <c r="N459" i="7"/>
  <c r="N22" i="7"/>
  <c r="N994" i="7"/>
  <c r="N26" i="7"/>
  <c r="N492" i="7"/>
  <c r="N973" i="7"/>
  <c r="N146" i="7"/>
  <c r="N354" i="7"/>
  <c r="N972" i="7"/>
  <c r="N716" i="7"/>
  <c r="N837" i="7"/>
  <c r="N386" i="7"/>
  <c r="N380" i="7"/>
  <c r="N420" i="7"/>
  <c r="N398" i="7"/>
  <c r="N409" i="7"/>
  <c r="N117" i="7"/>
  <c r="N775" i="7"/>
  <c r="N57" i="7"/>
  <c r="N799" i="7"/>
  <c r="N538" i="7"/>
  <c r="N696" i="7"/>
  <c r="N714" i="7"/>
  <c r="N521" i="7"/>
  <c r="N356" i="7"/>
  <c r="N565" i="7"/>
  <c r="N524" i="7"/>
  <c r="N94" i="7"/>
  <c r="N961" i="7"/>
  <c r="N695" i="7"/>
  <c r="N142" i="7"/>
  <c r="N955" i="7"/>
  <c r="N305" i="7"/>
  <c r="N131" i="7"/>
  <c r="N561" i="7"/>
  <c r="N627" i="7"/>
  <c r="N796" i="7"/>
  <c r="N780" i="7"/>
  <c r="N336" i="7"/>
  <c r="N680" i="7"/>
  <c r="N171" i="7"/>
  <c r="N992" i="7"/>
  <c r="N563" i="7"/>
  <c r="N413" i="7"/>
  <c r="N65" i="7"/>
  <c r="N548" i="7"/>
  <c r="N513" i="7"/>
  <c r="N659" i="7"/>
  <c r="N504" i="7"/>
  <c r="N473" i="7"/>
  <c r="N273" i="7"/>
  <c r="N3" i="7"/>
  <c r="N445" i="7"/>
  <c r="N542" i="7"/>
  <c r="N794" i="7"/>
  <c r="N157" i="7"/>
  <c r="N318" i="7"/>
  <c r="N556" i="7"/>
  <c r="N232" i="7"/>
  <c r="N615" i="7"/>
  <c r="N337" i="7"/>
  <c r="N981" i="7"/>
  <c r="N281" i="7"/>
  <c r="N433" i="7"/>
  <c r="N8" i="7"/>
  <c r="N699" i="7"/>
  <c r="N265" i="7"/>
  <c r="N362" i="7"/>
  <c r="N233" i="7"/>
  <c r="N689" i="7"/>
  <c r="N777" i="7"/>
  <c r="N387" i="7"/>
  <c r="N580" i="7"/>
  <c r="N883" i="7"/>
  <c r="N235" i="7"/>
  <c r="N447" i="7"/>
  <c r="N756" i="7"/>
  <c r="N884" i="7"/>
  <c r="N249" i="7"/>
  <c r="N298" i="7"/>
  <c r="N804" i="7"/>
  <c r="N72" i="7"/>
  <c r="N920" i="7"/>
  <c r="N456" i="7"/>
  <c r="N853" i="7"/>
  <c r="N240" i="7"/>
  <c r="N13" i="7"/>
  <c r="N582" i="7"/>
  <c r="N182" i="7"/>
  <c r="N145" i="7"/>
  <c r="N765" i="7"/>
  <c r="N306" i="7"/>
  <c r="N393" i="7"/>
  <c r="N506" i="7"/>
  <c r="N876" i="7"/>
  <c r="N388" i="7"/>
  <c r="N743" i="7"/>
  <c r="N470" i="7"/>
  <c r="N488" i="7"/>
  <c r="N969" i="7"/>
  <c r="N429" i="7"/>
  <c r="N787" i="7"/>
  <c r="N642" i="7"/>
  <c r="N675" i="7"/>
  <c r="N502" i="7"/>
  <c r="N939" i="7"/>
  <c r="N236" i="7"/>
  <c r="N231" i="7"/>
  <c r="N932" i="7"/>
  <c r="N860" i="7"/>
  <c r="N168" i="7"/>
  <c r="N788" i="7"/>
  <c r="N800" i="7"/>
  <c r="N645" i="7"/>
  <c r="N576" i="7"/>
  <c r="N511" i="7"/>
  <c r="N159" i="7"/>
  <c r="N212" i="7"/>
  <c r="N330" i="7"/>
  <c r="N476" i="7"/>
  <c r="N198" i="7"/>
  <c r="N175" i="7"/>
  <c r="N882" i="7"/>
  <c r="N962" i="7"/>
  <c r="N216" i="7"/>
  <c r="N482" i="7"/>
  <c r="N400" i="7"/>
  <c r="N310" i="7"/>
  <c r="N52" i="7"/>
  <c r="N41" i="7"/>
  <c r="N28" i="7"/>
  <c r="N46" i="7"/>
  <c r="N730" i="7"/>
  <c r="N968" i="7"/>
  <c r="N704" i="7"/>
  <c r="N371" i="7"/>
  <c r="N618" i="7"/>
  <c r="N776" i="7"/>
  <c r="N623" i="7"/>
  <c r="N11" i="7"/>
  <c r="N958" i="7"/>
  <c r="N865" i="7"/>
  <c r="N421" i="7"/>
  <c r="N14" i="7"/>
  <c r="N971" i="7"/>
  <c r="N633" i="7"/>
  <c r="N995" i="7"/>
  <c r="N662" i="7"/>
  <c r="N195" i="7"/>
  <c r="N747" i="7"/>
  <c r="N540" i="7"/>
  <c r="N79" i="7"/>
  <c r="N472" i="7"/>
  <c r="N731" i="7"/>
  <c r="N191" i="7"/>
  <c r="N667" i="7"/>
  <c r="N661" i="7"/>
  <c r="N797" i="7"/>
  <c r="N435" i="7"/>
  <c r="N703" i="7"/>
  <c r="N700" i="7"/>
  <c r="N34" i="7"/>
  <c r="N201" i="7"/>
  <c r="N503" i="7"/>
  <c r="N867" i="7"/>
  <c r="N789" i="7"/>
  <c r="N917" i="7"/>
  <c r="N17" i="7"/>
  <c r="N934" i="7"/>
  <c r="N705" i="7"/>
  <c r="N352" i="7"/>
  <c r="N713" i="7"/>
  <c r="N859" i="7"/>
  <c r="N537" i="7"/>
  <c r="N44" i="7"/>
  <c r="N469" i="7"/>
  <c r="N988" i="7"/>
  <c r="N678" i="7"/>
  <c r="N353" i="7"/>
  <c r="N791" i="7"/>
  <c r="N84" i="7"/>
  <c r="N428" i="7"/>
  <c r="N498" i="7"/>
  <c r="N350" i="7"/>
  <c r="N404" i="7"/>
  <c r="N238" i="7"/>
  <c r="N518" i="7"/>
  <c r="N290" i="7"/>
  <c r="N522" i="7"/>
  <c r="N81" i="7"/>
  <c r="N262" i="7"/>
  <c r="N418" i="7"/>
  <c r="N43" i="7"/>
  <c r="N628" i="7"/>
  <c r="N691" i="7"/>
  <c r="N323" i="7"/>
  <c r="N192" i="7"/>
  <c r="N710" i="7"/>
  <c r="N474" i="7"/>
  <c r="N771" i="7"/>
  <c r="N774" i="7"/>
  <c r="N56" i="7"/>
  <c r="N154" i="7"/>
  <c r="N4" i="7"/>
  <c r="N607" i="7"/>
  <c r="N430" i="7"/>
  <c r="N688" i="7"/>
  <c r="N190" i="7"/>
  <c r="N244" i="7"/>
  <c r="N2" i="7"/>
  <c r="N895" i="7"/>
  <c r="N936" i="7"/>
  <c r="N742" i="7"/>
  <c r="N396" i="7"/>
  <c r="N621" i="7"/>
  <c r="N613" i="7"/>
  <c r="N106" i="7"/>
  <c r="N681" i="7"/>
  <c r="N58" i="7"/>
  <c r="N119" i="7"/>
  <c r="N914" i="7"/>
  <c r="N652" i="7"/>
  <c r="N255" i="7"/>
  <c r="N467" i="7"/>
  <c r="N507" i="7"/>
  <c r="N991" i="7"/>
  <c r="N589" i="7"/>
  <c r="N138" i="7"/>
  <c r="N222" i="7"/>
  <c r="N783" i="7"/>
  <c r="N16" i="7"/>
  <c r="N816" i="7"/>
  <c r="N807" i="7"/>
  <c r="N863" i="7"/>
  <c r="N903" i="7"/>
  <c r="N721" i="7"/>
  <c r="N902" i="7"/>
  <c r="N671" i="7"/>
  <c r="N926" i="7"/>
  <c r="N912" i="7"/>
  <c r="N390" i="7"/>
  <c r="N719" i="7"/>
  <c r="N751" i="7"/>
  <c r="N746" i="7"/>
  <c r="N781" i="7"/>
  <c r="N149" i="7"/>
  <c r="N450" i="7"/>
  <c r="N836" i="7"/>
  <c r="N185" i="7"/>
  <c r="N180" i="7"/>
  <c r="N855" i="7"/>
  <c r="N173" i="7"/>
  <c r="N998" i="7"/>
  <c r="N590" i="7"/>
  <c r="N970" i="7"/>
  <c r="N340" i="7"/>
  <c r="N515" i="7"/>
  <c r="N512" i="7"/>
  <c r="N139" i="7"/>
  <c r="N219" i="7"/>
  <c r="N531" i="7"/>
  <c r="N300" i="7"/>
  <c r="N193" i="7"/>
  <c r="N831" i="7"/>
  <c r="N921" i="7"/>
  <c r="N179" i="7"/>
  <c r="N133" i="7"/>
  <c r="N357" i="7"/>
  <c r="N127" i="7"/>
  <c r="N495" i="7"/>
  <c r="N856" i="7"/>
  <c r="N264" i="7"/>
  <c r="N211" i="7"/>
  <c r="N66" i="7"/>
  <c r="N772" i="7"/>
  <c r="N650" i="7"/>
  <c r="N931" i="7"/>
  <c r="N508" i="7"/>
  <c r="N792" i="7"/>
  <c r="N468" i="7"/>
  <c r="N432" i="7"/>
  <c r="N900" i="7"/>
  <c r="N176" i="7"/>
  <c r="N82" i="7"/>
  <c r="N55" i="7"/>
  <c r="N945" i="7"/>
  <c r="N679" i="7"/>
  <c r="N666" i="7"/>
  <c r="N366" i="7"/>
  <c r="N585" i="7"/>
  <c r="N402" i="7"/>
  <c r="N739" i="7"/>
  <c r="N367" i="7"/>
  <c r="N638" i="7"/>
  <c r="N73" i="7"/>
  <c r="N706" i="7"/>
  <c r="N906" i="7"/>
  <c r="N408" i="7"/>
  <c r="N911" i="7"/>
  <c r="N339" i="7"/>
  <c r="N363" i="7"/>
  <c r="N234" i="7"/>
  <c r="N811" i="7"/>
  <c r="N12" i="7"/>
  <c r="N560" i="7"/>
  <c r="N663" i="7"/>
  <c r="N128" i="7"/>
  <c r="N203" i="7"/>
  <c r="N901" i="7"/>
  <c r="N525" i="7"/>
  <c r="N687" i="7"/>
  <c r="N977" i="7"/>
  <c r="N523" i="7"/>
  <c r="N954" i="7"/>
  <c r="N160" i="7"/>
  <c r="N166" i="7"/>
  <c r="N889" i="7"/>
  <c r="N279" i="7"/>
  <c r="N97" i="7"/>
  <c r="N782" i="7"/>
  <c r="N614" i="7"/>
  <c r="N555" i="7"/>
  <c r="N737" i="7"/>
  <c r="N828" i="7"/>
  <c r="N141" i="7"/>
  <c r="N253" i="7"/>
  <c r="N673" i="7"/>
  <c r="N83" i="7"/>
  <c r="N501" i="7"/>
  <c r="N292" i="7"/>
  <c r="N841" i="7"/>
  <c r="N826" i="7"/>
  <c r="N370" i="7"/>
  <c r="N534" i="7"/>
  <c r="N163" i="7"/>
  <c r="N624" i="7"/>
  <c r="N347" i="7"/>
  <c r="N798" i="7"/>
  <c r="N321" i="7"/>
  <c r="N635" i="7"/>
  <c r="N10" i="7"/>
  <c r="N444" i="7"/>
  <c r="N938" i="7"/>
  <c r="N824" i="7"/>
  <c r="N640" i="7"/>
  <c r="N397" i="7"/>
  <c r="N656" i="7"/>
  <c r="N558" i="7"/>
  <c r="N526" i="7"/>
  <c r="N762" i="7"/>
  <c r="N78" i="7"/>
  <c r="N598" i="7"/>
  <c r="N189" i="7"/>
  <c r="N840" i="7"/>
  <c r="N80" i="7"/>
  <c r="N927" i="7"/>
  <c r="N297" i="7"/>
  <c r="N500" i="7"/>
  <c r="N392" i="7"/>
  <c r="N381" i="7"/>
  <c r="N331" i="7"/>
  <c r="N349" i="7"/>
  <c r="N89" i="7"/>
  <c r="N422" i="7"/>
  <c r="N454" i="7"/>
  <c r="N225" i="7"/>
  <c r="N620" i="7"/>
  <c r="N140" i="7"/>
  <c r="N109" i="7"/>
  <c r="N114" i="7"/>
  <c r="N554" i="7"/>
  <c r="N31" i="7"/>
  <c r="N611" i="7"/>
  <c r="N793" i="7"/>
  <c r="N299" i="7"/>
  <c r="N940" i="7"/>
  <c r="N71" i="7"/>
  <c r="N733" i="7"/>
  <c r="N588" i="7"/>
  <c r="N439" i="7"/>
  <c r="N530" i="7"/>
  <c r="N23" i="7"/>
  <c r="N316" i="7"/>
  <c r="N29" i="7"/>
  <c r="N67" i="7"/>
  <c r="N451" i="7"/>
  <c r="N967" i="7"/>
  <c r="N975" i="7"/>
  <c r="N919" i="7"/>
  <c r="N664" i="7"/>
  <c r="N18" i="7"/>
  <c r="N698" i="7"/>
  <c r="N933" i="7"/>
  <c r="N830" i="7"/>
  <c r="N569" i="7"/>
  <c r="N51" i="7"/>
  <c r="N579" i="7"/>
  <c r="N134" i="7"/>
  <c r="N694" i="7"/>
  <c r="N427" i="7"/>
  <c r="N208" i="7"/>
  <c r="N248" i="7"/>
  <c r="N7" i="7"/>
  <c r="N423" i="7"/>
  <c r="N218" i="7"/>
  <c r="N399" i="7"/>
  <c r="N326" i="7"/>
  <c r="N683" i="7"/>
  <c r="N93" i="7"/>
  <c r="N251" i="7"/>
  <c r="N858" i="7"/>
  <c r="N465" i="7"/>
  <c r="N129" i="7"/>
  <c r="N925" i="7"/>
  <c r="N327" i="7"/>
  <c r="N210" i="7"/>
  <c r="N294" i="7"/>
  <c r="N165" i="7"/>
  <c r="N247" i="7"/>
  <c r="N285" i="7"/>
  <c r="N452" i="7"/>
  <c r="N224" i="7"/>
  <c r="N601" i="7"/>
  <c r="N918" i="7"/>
  <c r="N888" i="7"/>
  <c r="N202" i="7"/>
  <c r="N332" i="7"/>
  <c r="N591" i="7"/>
  <c r="N437" i="7"/>
  <c r="N827" i="7"/>
  <c r="N893" i="7"/>
  <c r="N608" i="7"/>
  <c r="N45" i="7"/>
  <c r="N1000" i="7"/>
  <c r="N91" i="7"/>
  <c r="N871" i="7"/>
  <c r="N821" i="7"/>
  <c r="N101" i="7"/>
  <c r="N162" i="7"/>
  <c r="N584" i="7"/>
  <c r="N475" i="7"/>
  <c r="N64" i="7"/>
  <c r="N886" i="7"/>
  <c r="N625" i="7"/>
  <c r="N161" i="7"/>
  <c r="N605" i="7"/>
  <c r="N35" i="7"/>
  <c r="N951" i="7"/>
  <c r="N303" i="7"/>
  <c r="N441" i="7"/>
  <c r="N852" i="7"/>
  <c r="N764" i="7"/>
  <c r="N868" i="7"/>
  <c r="N908" i="7"/>
  <c r="N287" i="7"/>
  <c r="N915" i="7"/>
  <c r="N39" i="7"/>
  <c r="N69" i="7"/>
  <c r="N271" i="7"/>
  <c r="N130" i="7"/>
  <c r="N457" i="7"/>
  <c r="N137" i="7"/>
  <c r="N144" i="7"/>
  <c r="N707" i="7"/>
  <c r="N979" i="7"/>
  <c r="N941" i="7"/>
  <c r="N266" i="7"/>
  <c r="N665" i="7"/>
  <c r="N834" i="7"/>
  <c r="N817" i="7"/>
  <c r="N217" i="7"/>
  <c r="N207" i="7"/>
  <c r="N648" i="7"/>
  <c r="N907" i="7"/>
  <c r="N107" i="7"/>
  <c r="N982" i="7"/>
  <c r="N384" i="7"/>
  <c r="N755" i="7"/>
  <c r="N877" i="7"/>
  <c r="N242" i="7"/>
  <c r="N956" i="7"/>
  <c r="N597" i="7"/>
  <c r="N709" i="7"/>
  <c r="N335" i="7"/>
  <c r="N256" i="7"/>
  <c r="N850" i="7"/>
  <c r="N460" i="7"/>
  <c r="N758" i="7"/>
  <c r="N368" i="7"/>
  <c r="N568" i="7"/>
  <c r="N443" i="7"/>
  <c r="N9" i="7"/>
  <c r="N309" i="7"/>
  <c r="N373" i="7"/>
  <c r="N155" i="7"/>
  <c r="N205" i="7"/>
  <c r="N722" i="7"/>
  <c r="N405" i="7"/>
  <c r="N692" i="7"/>
  <c r="N851" i="7"/>
  <c r="N989" i="7"/>
  <c r="N215" i="7"/>
  <c r="N641" i="7"/>
  <c r="N637" i="7"/>
  <c r="N845" i="7"/>
  <c r="N197" i="7"/>
  <c r="N272" i="7"/>
  <c r="N209" i="7"/>
  <c r="N533" i="7"/>
  <c r="N809" i="7"/>
  <c r="N206" i="7"/>
  <c r="N113" i="7"/>
  <c r="N412" i="7"/>
  <c r="N221" i="7"/>
  <c r="N644" i="7"/>
  <c r="N878" i="7"/>
  <c r="N847" i="7"/>
  <c r="N872" i="7"/>
  <c r="N491" i="7"/>
  <c r="N924" i="7"/>
  <c r="N257" i="7"/>
  <c r="N741" i="7"/>
  <c r="N546" i="7"/>
  <c r="N829" i="7"/>
  <c r="N417" i="7"/>
  <c r="N105" i="7"/>
  <c r="N646" i="7"/>
  <c r="N631" i="7"/>
  <c r="N268" i="7"/>
  <c r="N319" i="7"/>
  <c r="N76" i="7"/>
  <c r="N477" i="7"/>
  <c r="N25" i="7"/>
  <c r="N583" i="7"/>
  <c r="N304" i="7"/>
  <c r="N862" i="7"/>
  <c r="N438" i="7"/>
  <c r="N261" i="7"/>
  <c r="N966" i="7"/>
  <c r="N293" i="7"/>
  <c r="N564" i="7"/>
  <c r="N527" i="7"/>
  <c r="N277" i="7"/>
  <c r="N532" i="7"/>
  <c r="N95" i="7"/>
  <c r="N839" i="7"/>
  <c r="N571" i="7"/>
  <c r="N930" i="7"/>
  <c r="N957" i="7"/>
  <c r="N493" i="7"/>
  <c r="N314" i="7"/>
  <c r="N766" i="7"/>
  <c r="N916" i="7"/>
  <c r="N996" i="7"/>
  <c r="N103" i="7"/>
  <c r="N329" i="7"/>
  <c r="N115" i="7"/>
  <c r="N978" i="7"/>
  <c r="N528" i="7"/>
  <c r="N965" i="7"/>
  <c r="N120" i="7"/>
  <c r="N946" i="7"/>
  <c r="N86" i="7"/>
  <c r="N543" i="7"/>
  <c r="N410" i="7"/>
  <c r="N360" i="7"/>
  <c r="N344" i="7"/>
  <c r="N654" i="7"/>
  <c r="N313" i="7"/>
  <c r="N541" i="7"/>
  <c r="N108" i="7"/>
  <c r="N832" i="7"/>
  <c r="N944" i="7"/>
  <c r="N873" i="7"/>
  <c r="N440" i="7"/>
  <c r="N125" i="7"/>
  <c r="N976" i="7"/>
  <c r="N769" i="7"/>
  <c r="N547" i="7"/>
  <c r="N88" i="7"/>
  <c r="N489" i="7"/>
  <c r="N894" i="7"/>
  <c r="N557" i="7"/>
  <c r="N150" i="7"/>
  <c r="N866" i="7"/>
  <c r="N630" i="7"/>
  <c r="N77" i="7"/>
  <c r="N594" i="7"/>
  <c r="N112" i="7"/>
  <c r="N658" i="7"/>
  <c r="N602" i="7"/>
  <c r="N632" i="7"/>
  <c r="N424" i="7"/>
  <c r="N529" i="7"/>
  <c r="N351" i="7"/>
  <c r="N184" i="7"/>
  <c r="N587" i="7"/>
  <c r="N167" i="7"/>
  <c r="N520" i="7"/>
  <c r="N92" i="7"/>
  <c r="N245" i="7"/>
  <c r="N90" i="7"/>
  <c r="N604" i="7"/>
  <c r="N651" i="7"/>
  <c r="N748" i="7"/>
  <c r="N814" i="7"/>
  <c r="N974" i="7"/>
  <c r="N343" i="7"/>
  <c r="N116" i="7"/>
  <c r="N606" i="7"/>
  <c r="N483" i="7"/>
  <c r="N622" i="7"/>
  <c r="N230" i="7"/>
  <c r="N40" i="7"/>
  <c r="N795" i="7"/>
  <c r="N5" i="7"/>
  <c r="N70" i="7"/>
  <c r="N773" i="7"/>
  <c r="N959" i="7"/>
  <c r="N928" i="7"/>
  <c r="N870" i="7"/>
  <c r="N169" i="7"/>
  <c r="N785" i="7"/>
  <c r="N980" i="7"/>
  <c r="N270" i="7"/>
  <c r="N784" i="7"/>
  <c r="N810" i="7"/>
  <c r="N237" i="7"/>
  <c r="N147" i="7"/>
  <c r="N425" i="7"/>
  <c r="N223" i="7"/>
  <c r="N729" i="7"/>
  <c r="N879" i="7"/>
  <c r="N861" i="7"/>
  <c r="N263" i="7"/>
  <c r="N458" i="7"/>
  <c r="N260" i="7"/>
  <c r="N170" i="7"/>
  <c r="N674" i="7"/>
  <c r="N200" i="7"/>
  <c r="N686" i="7"/>
  <c r="N229" i="7"/>
  <c r="N963" i="7"/>
  <c r="N745" i="7"/>
  <c r="N156" i="7"/>
  <c r="N820" i="7"/>
  <c r="N752" i="7"/>
  <c r="N544" i="7"/>
  <c r="N655" i="7"/>
  <c r="N937" i="7"/>
  <c r="N984" i="7"/>
  <c r="N718" i="7"/>
  <c r="N111" i="7"/>
  <c r="N909" i="7"/>
  <c r="N549" i="7"/>
  <c r="N725" i="7"/>
  <c r="N188" i="7"/>
  <c r="N377" i="7"/>
  <c r="N727" i="7"/>
  <c r="N33" i="7"/>
  <c r="N823" i="7"/>
  <c r="N36" i="7"/>
  <c r="N382" i="7"/>
  <c r="N505" i="7"/>
  <c r="N682" i="7"/>
  <c r="N535" i="7"/>
  <c r="N324" i="7"/>
  <c r="N275" i="7"/>
  <c r="N711" i="7"/>
  <c r="N446" i="7"/>
  <c r="N407" i="7"/>
  <c r="N30" i="7"/>
  <c r="N20" i="7"/>
  <c r="N869" i="7"/>
  <c r="N685" i="7"/>
  <c r="N562" i="7"/>
  <c r="N551" i="7"/>
  <c r="N514" i="7"/>
  <c r="N808" i="7"/>
  <c r="N545" i="7"/>
  <c r="N550" i="7"/>
  <c r="N414" i="7"/>
  <c r="N844" i="7"/>
  <c r="N48" i="7"/>
  <c r="N497" i="7"/>
  <c r="N213" i="7"/>
  <c r="N942" i="7"/>
  <c r="N241" i="7"/>
  <c r="N328" i="7"/>
  <c r="N910" i="7"/>
  <c r="N891" i="7"/>
  <c r="N649" i="7"/>
  <c r="N480" i="7"/>
  <c r="N98" i="7"/>
  <c r="N96" i="7"/>
  <c r="N177" i="7"/>
  <c r="N220" i="7"/>
  <c r="N259" i="7"/>
  <c r="N204" i="7"/>
  <c r="N406" i="7"/>
  <c r="N50" i="7"/>
  <c r="N280" i="7"/>
  <c r="N849" i="7"/>
  <c r="N358" i="7"/>
  <c r="N935" i="7"/>
  <c r="N812" i="7"/>
  <c r="N485" i="7"/>
  <c r="N453" i="7"/>
  <c r="N186" i="7"/>
  <c r="N760" i="7"/>
  <c r="N361" i="7"/>
  <c r="N152" i="7"/>
  <c r="N510" i="7"/>
  <c r="N312" i="7"/>
  <c r="N481" i="7"/>
  <c r="N296" i="7"/>
  <c r="N462" i="7"/>
  <c r="N419" i="7"/>
  <c r="N952" i="7"/>
  <c r="N196" i="7"/>
  <c r="N612" i="7"/>
  <c r="N38" i="7"/>
  <c r="N333" i="7"/>
  <c r="N949" i="7"/>
  <c r="N818" i="7"/>
  <c r="N385" i="7"/>
  <c r="N496" i="7"/>
  <c r="N864" i="7"/>
  <c r="N720" i="7"/>
  <c r="N759" i="7"/>
  <c r="N813" i="7"/>
  <c r="N278" i="7"/>
  <c r="N100" i="7"/>
  <c r="N355" i="7"/>
  <c r="N636" i="7"/>
  <c r="N1001" i="7"/>
  <c r="N842" i="7"/>
  <c r="N6" i="7"/>
  <c r="N553" i="7"/>
  <c r="N586" i="7"/>
  <c r="N803" i="7"/>
  <c r="N750" i="7"/>
  <c r="N723" i="7"/>
  <c r="N749" i="7"/>
  <c r="N577" i="7"/>
  <c r="N320" i="7"/>
  <c r="N738" i="7"/>
  <c r="N464" i="7"/>
  <c r="N250" i="7"/>
  <c r="N898" i="7"/>
  <c r="N61" i="7"/>
  <c r="N779" i="7"/>
  <c r="N345" i="7"/>
  <c r="N575" i="7"/>
  <c r="N471" i="7"/>
  <c r="N494" i="7"/>
  <c r="N953" i="7"/>
  <c r="N736" i="7"/>
  <c r="N181" i="7"/>
  <c r="N669" i="7"/>
  <c r="N449" i="7"/>
  <c r="N282" i="7"/>
  <c r="N885" i="7"/>
  <c r="N634" i="7"/>
  <c r="N890" i="7"/>
  <c r="N315" i="7"/>
  <c r="N416" i="7"/>
  <c r="N379" i="7"/>
  <c r="N486" i="7"/>
  <c r="N609" i="7"/>
  <c r="N825" i="7"/>
  <c r="N857" i="7"/>
  <c r="N993" i="7"/>
  <c r="N596" i="7"/>
  <c r="N690" i="7"/>
  <c r="N295" i="7"/>
  <c r="N672" i="7"/>
  <c r="N708" i="7"/>
  <c r="N595" i="7"/>
  <c r="N724" i="7"/>
  <c r="N254" i="7"/>
  <c r="N341" i="7"/>
  <c r="N539" i="7"/>
  <c r="N599" i="7"/>
  <c r="N383" i="7"/>
  <c r="N214" i="7"/>
  <c r="N923" i="7"/>
  <c r="N735" i="7"/>
  <c r="N274" i="7"/>
  <c r="N194" i="7"/>
  <c r="N348" i="7"/>
  <c r="N227" i="7"/>
  <c r="N99" i="7"/>
  <c r="N985" i="7"/>
  <c r="N136" i="7"/>
  <c r="N761" i="7"/>
  <c r="N62" i="7"/>
  <c r="N63" i="7"/>
  <c r="N983" i="7"/>
  <c r="N566" i="7"/>
  <c r="N288" i="7"/>
  <c r="N676" i="7"/>
  <c r="N697" i="7"/>
  <c r="N426" i="7"/>
  <c r="N805" i="7"/>
  <c r="N364" i="7"/>
  <c r="N126" i="7"/>
  <c r="N653" i="7"/>
  <c r="N102" i="7"/>
  <c r="N15" i="7"/>
  <c r="N693" i="7"/>
  <c r="N715" i="7"/>
  <c r="N913" i="7"/>
  <c r="N334" i="7"/>
  <c r="N815" i="7"/>
  <c r="N899" i="7"/>
  <c r="N943" i="7"/>
  <c r="N172" i="7"/>
  <c r="N767" i="7"/>
  <c r="N753" i="7"/>
  <c r="N479" i="7"/>
  <c r="N874" i="7"/>
  <c r="N603" i="7"/>
  <c r="N487" i="7"/>
  <c r="N375" i="7"/>
  <c r="N592" i="7"/>
  <c r="N369" i="7"/>
  <c r="N990" i="7"/>
  <c r="N740" i="7"/>
  <c r="N53" i="7"/>
  <c r="N403" i="7"/>
  <c r="N887" i="7"/>
  <c r="N132" i="7"/>
  <c r="N153" i="7"/>
  <c r="N391" i="7"/>
  <c r="N677" i="7"/>
  <c r="N226" i="7"/>
  <c r="N668" i="7"/>
  <c r="N896" i="7"/>
  <c r="N376" i="7"/>
  <c r="N806" i="7"/>
  <c r="N243" i="7"/>
  <c r="N21" i="7"/>
  <c r="N322" i="7"/>
  <c r="N37" i="7"/>
  <c r="N897" i="7"/>
  <c r="N455" i="7"/>
  <c r="N701" i="7"/>
  <c r="N573" i="7"/>
  <c r="N289" i="7"/>
  <c r="N660" i="7"/>
  <c r="N833" i="7"/>
  <c r="N567" i="7"/>
  <c r="N389" i="7"/>
  <c r="N118" i="7"/>
  <c r="N49" i="7"/>
  <c r="N717" i="7"/>
  <c r="N302" i="7"/>
  <c r="N499" i="7"/>
  <c r="N578" i="7"/>
  <c r="N754" i="7"/>
  <c r="N643" i="7"/>
  <c r="N121" i="7"/>
  <c r="N239" i="7"/>
  <c r="N610" i="7"/>
  <c r="N252" i="7"/>
  <c r="N158" i="7"/>
  <c r="N258" i="7"/>
  <c r="N947" i="7"/>
  <c r="N415" i="7"/>
  <c r="N124" i="7"/>
  <c r="N552" i="7"/>
  <c r="N768" i="7"/>
  <c r="N881" i="7"/>
  <c r="N228" i="7"/>
  <c r="N801" i="7"/>
  <c r="N846" i="7"/>
  <c r="N574" i="7"/>
  <c r="N999" i="7"/>
  <c r="N411" i="7"/>
  <c r="N436" i="7"/>
  <c r="N986" i="7"/>
  <c r="N47" i="7"/>
  <c r="N763" i="7"/>
  <c r="N178" i="7"/>
  <c r="N875" i="7"/>
  <c r="N59" i="7"/>
  <c r="N657" i="7"/>
  <c r="N519" i="7"/>
  <c r="N246" i="7"/>
  <c r="N509" i="7"/>
  <c r="N670" i="7"/>
  <c r="N684" i="7"/>
  <c r="N964" i="7"/>
  <c r="N338" i="7"/>
  <c r="N325" i="7"/>
  <c r="N843" i="7"/>
  <c r="N395" i="7"/>
  <c r="N401" i="7"/>
  <c r="N42" i="7"/>
  <c r="N617" i="7"/>
  <c r="N378" i="7"/>
  <c r="N734" i="7"/>
  <c r="N85" i="7"/>
  <c r="N712" i="7"/>
  <c r="N593" i="7"/>
  <c r="N151" i="7"/>
  <c r="N267" i="7"/>
  <c r="N822" i="7"/>
  <c r="N19" i="7"/>
  <c r="N122" i="7"/>
  <c r="N639" i="7"/>
  <c r="N581" i="7"/>
  <c r="N311" i="7"/>
  <c r="N276" i="7"/>
  <c r="N702" i="7"/>
  <c r="N905" i="7"/>
  <c r="N559" i="7"/>
  <c r="N819" i="7"/>
  <c r="N732" i="7"/>
  <c r="N997" i="7"/>
  <c r="N148" i="7"/>
  <c r="N317" i="7"/>
  <c r="N929" i="7"/>
  <c r="N570" i="7"/>
  <c r="N308" i="7"/>
  <c r="N74" i="7"/>
  <c r="N164" i="7"/>
  <c r="N880" i="7"/>
  <c r="N904" i="7"/>
  <c r="N757" i="7"/>
  <c r="N301" i="7"/>
  <c r="N728" i="7"/>
  <c r="N143" i="7"/>
  <c r="N572" i="7"/>
  <c r="N922" i="7"/>
  <c r="N283" i="7"/>
  <c r="N87" i="7"/>
  <c r="N431" i="7"/>
  <c r="N32" i="7"/>
  <c r="N626" i="7"/>
  <c r="N490" i="7"/>
  <c r="N54" i="7"/>
  <c r="N284" i="7"/>
  <c r="N174" i="7"/>
  <c r="N199" i="7"/>
  <c r="N463" i="7"/>
  <c r="N616" i="7"/>
  <c r="N629" i="7"/>
  <c r="N466" i="7"/>
  <c r="N838" i="7"/>
  <c r="N442" i="7"/>
  <c r="N104" i="7"/>
  <c r="N517" i="7"/>
  <c r="N448" i="7"/>
  <c r="N359" i="7"/>
  <c r="N342" i="7"/>
  <c r="N778" i="7"/>
  <c r="N291" i="7"/>
  <c r="N619" i="7"/>
  <c r="N286" i="7"/>
  <c r="N183" i="7"/>
  <c r="N802" i="7"/>
  <c r="N365" i="7"/>
  <c r="N987" i="7"/>
  <c r="N68" i="7"/>
  <c r="N394" i="7"/>
  <c r="N374" i="7"/>
  <c r="N786" i="7"/>
  <c r="N187" i="7"/>
  <c r="N835" i="7"/>
  <c r="N647" i="7"/>
  <c r="N744" i="7"/>
  <c r="N790" i="7"/>
  <c r="N434" i="7"/>
  <c r="N27" i="7"/>
  <c r="N307" i="7"/>
  <c r="N24" i="7"/>
  <c r="N770" i="7"/>
  <c r="N516" i="7"/>
  <c r="N948" i="7"/>
  <c r="N536" i="7"/>
  <c r="N600" i="7"/>
  <c r="N75" i="7"/>
  <c r="N372" i="7"/>
  <c r="N848" i="7"/>
  <c r="N892" i="7"/>
  <c r="M110" i="7"/>
  <c r="M135" i="7"/>
  <c r="M950" i="7"/>
  <c r="M60" i="7"/>
  <c r="M123" i="7"/>
  <c r="M346" i="7"/>
  <c r="M726" i="7"/>
  <c r="M960" i="7"/>
  <c r="M269" i="7"/>
  <c r="M478" i="7"/>
  <c r="M461" i="7"/>
  <c r="M854" i="7"/>
  <c r="M484" i="7"/>
  <c r="M459" i="7"/>
  <c r="M22" i="7"/>
  <c r="M994" i="7"/>
  <c r="M26" i="7"/>
  <c r="M492" i="7"/>
  <c r="M973" i="7"/>
  <c r="M146" i="7"/>
  <c r="M354" i="7"/>
  <c r="M972" i="7"/>
  <c r="M716" i="7"/>
  <c r="M837" i="7"/>
  <c r="M386" i="7"/>
  <c r="M380" i="7"/>
  <c r="M420" i="7"/>
  <c r="M398" i="7"/>
  <c r="M409" i="7"/>
  <c r="M117" i="7"/>
  <c r="M775" i="7"/>
  <c r="M57" i="7"/>
  <c r="M799" i="7"/>
  <c r="M538" i="7"/>
  <c r="M696" i="7"/>
  <c r="M714" i="7"/>
  <c r="M521" i="7"/>
  <c r="M356" i="7"/>
  <c r="M565" i="7"/>
  <c r="M524" i="7"/>
  <c r="M94" i="7"/>
  <c r="M961" i="7"/>
  <c r="M695" i="7"/>
  <c r="M142" i="7"/>
  <c r="M955" i="7"/>
  <c r="M305" i="7"/>
  <c r="M131" i="7"/>
  <c r="M561" i="7"/>
  <c r="M627" i="7"/>
  <c r="M796" i="7"/>
  <c r="M780" i="7"/>
  <c r="M336" i="7"/>
  <c r="M680" i="7"/>
  <c r="M171" i="7"/>
  <c r="M992" i="7"/>
  <c r="M563" i="7"/>
  <c r="M413" i="7"/>
  <c r="M65" i="7"/>
  <c r="M548" i="7"/>
  <c r="M513" i="7"/>
  <c r="M659" i="7"/>
  <c r="M504" i="7"/>
  <c r="M473" i="7"/>
  <c r="M273" i="7"/>
  <c r="M3" i="7"/>
  <c r="M445" i="7"/>
  <c r="M542" i="7"/>
  <c r="M794" i="7"/>
  <c r="M157" i="7"/>
  <c r="M318" i="7"/>
  <c r="M556" i="7"/>
  <c r="M232" i="7"/>
  <c r="M615" i="7"/>
  <c r="M337" i="7"/>
  <c r="M981" i="7"/>
  <c r="M281" i="7"/>
  <c r="M433" i="7"/>
  <c r="M8" i="7"/>
  <c r="M699" i="7"/>
  <c r="M265" i="7"/>
  <c r="M362" i="7"/>
  <c r="M233" i="7"/>
  <c r="M689" i="7"/>
  <c r="M777" i="7"/>
  <c r="M387" i="7"/>
  <c r="M580" i="7"/>
  <c r="M883" i="7"/>
  <c r="M235" i="7"/>
  <c r="M447" i="7"/>
  <c r="M756" i="7"/>
  <c r="M884" i="7"/>
  <c r="M249" i="7"/>
  <c r="M298" i="7"/>
  <c r="M804" i="7"/>
  <c r="M72" i="7"/>
  <c r="M920" i="7"/>
  <c r="M456" i="7"/>
  <c r="M853" i="7"/>
  <c r="M240" i="7"/>
  <c r="M13" i="7"/>
  <c r="M582" i="7"/>
  <c r="M182" i="7"/>
  <c r="M145" i="7"/>
  <c r="M765" i="7"/>
  <c r="M306" i="7"/>
  <c r="M393" i="7"/>
  <c r="M506" i="7"/>
  <c r="M876" i="7"/>
  <c r="M388" i="7"/>
  <c r="M743" i="7"/>
  <c r="M470" i="7"/>
  <c r="M488" i="7"/>
  <c r="M969" i="7"/>
  <c r="M429" i="7"/>
  <c r="M787" i="7"/>
  <c r="M642" i="7"/>
  <c r="M675" i="7"/>
  <c r="M502" i="7"/>
  <c r="M939" i="7"/>
  <c r="M236" i="7"/>
  <c r="M231" i="7"/>
  <c r="M932" i="7"/>
  <c r="M860" i="7"/>
  <c r="M168" i="7"/>
  <c r="M788" i="7"/>
  <c r="M800" i="7"/>
  <c r="M645" i="7"/>
  <c r="M576" i="7"/>
  <c r="M511" i="7"/>
  <c r="M159" i="7"/>
  <c r="M212" i="7"/>
  <c r="M330" i="7"/>
  <c r="M476" i="7"/>
  <c r="M198" i="7"/>
  <c r="M175" i="7"/>
  <c r="M882" i="7"/>
  <c r="M962" i="7"/>
  <c r="M216" i="7"/>
  <c r="M482" i="7"/>
  <c r="M400" i="7"/>
  <c r="M310" i="7"/>
  <c r="M52" i="7"/>
  <c r="M41" i="7"/>
  <c r="M28" i="7"/>
  <c r="M46" i="7"/>
  <c r="M730" i="7"/>
  <c r="M968" i="7"/>
  <c r="M704" i="7"/>
  <c r="M371" i="7"/>
  <c r="M618" i="7"/>
  <c r="M776" i="7"/>
  <c r="M623" i="7"/>
  <c r="M11" i="7"/>
  <c r="M958" i="7"/>
  <c r="M865" i="7"/>
  <c r="M421" i="7"/>
  <c r="M14" i="7"/>
  <c r="M971" i="7"/>
  <c r="M633" i="7"/>
  <c r="M995" i="7"/>
  <c r="M662" i="7"/>
  <c r="M195" i="7"/>
  <c r="M747" i="7"/>
  <c r="M540" i="7"/>
  <c r="M79" i="7"/>
  <c r="M472" i="7"/>
  <c r="M731" i="7"/>
  <c r="M191" i="7"/>
  <c r="M667" i="7"/>
  <c r="M661" i="7"/>
  <c r="M797" i="7"/>
  <c r="M435" i="7"/>
  <c r="M703" i="7"/>
  <c r="M700" i="7"/>
  <c r="M34" i="7"/>
  <c r="M201" i="7"/>
  <c r="M503" i="7"/>
  <c r="M867" i="7"/>
  <c r="M789" i="7"/>
  <c r="M917" i="7"/>
  <c r="M17" i="7"/>
  <c r="M934" i="7"/>
  <c r="M705" i="7"/>
  <c r="M352" i="7"/>
  <c r="M713" i="7"/>
  <c r="M859" i="7"/>
  <c r="M537" i="7"/>
  <c r="M44" i="7"/>
  <c r="M469" i="7"/>
  <c r="M988" i="7"/>
  <c r="M678" i="7"/>
  <c r="M353" i="7"/>
  <c r="M791" i="7"/>
  <c r="M84" i="7"/>
  <c r="M428" i="7"/>
  <c r="M498" i="7"/>
  <c r="M350" i="7"/>
  <c r="M404" i="7"/>
  <c r="M238" i="7"/>
  <c r="M518" i="7"/>
  <c r="M290" i="7"/>
  <c r="M522" i="7"/>
  <c r="M81" i="7"/>
  <c r="M262" i="7"/>
  <c r="M418" i="7"/>
  <c r="M43" i="7"/>
  <c r="M628" i="7"/>
  <c r="M691" i="7"/>
  <c r="M323" i="7"/>
  <c r="M192" i="7"/>
  <c r="M710" i="7"/>
  <c r="M474" i="7"/>
  <c r="M771" i="7"/>
  <c r="M774" i="7"/>
  <c r="M56" i="7"/>
  <c r="M154" i="7"/>
  <c r="M4" i="7"/>
  <c r="M607" i="7"/>
  <c r="M430" i="7"/>
  <c r="M688" i="7"/>
  <c r="M190" i="7"/>
  <c r="M244" i="7"/>
  <c r="M2" i="7"/>
  <c r="M895" i="7"/>
  <c r="M936" i="7"/>
  <c r="M742" i="7"/>
  <c r="M396" i="7"/>
  <c r="M621" i="7"/>
  <c r="M613" i="7"/>
  <c r="M106" i="7"/>
  <c r="M681" i="7"/>
  <c r="M58" i="7"/>
  <c r="M119" i="7"/>
  <c r="M914" i="7"/>
  <c r="M652" i="7"/>
  <c r="M255" i="7"/>
  <c r="M467" i="7"/>
  <c r="M507" i="7"/>
  <c r="M991" i="7"/>
  <c r="M589" i="7"/>
  <c r="M138" i="7"/>
  <c r="M222" i="7"/>
  <c r="M783" i="7"/>
  <c r="M16" i="7"/>
  <c r="M816" i="7"/>
  <c r="M807" i="7"/>
  <c r="M863" i="7"/>
  <c r="M903" i="7"/>
  <c r="M721" i="7"/>
  <c r="M902" i="7"/>
  <c r="M671" i="7"/>
  <c r="M926" i="7"/>
  <c r="M912" i="7"/>
  <c r="M390" i="7"/>
  <c r="M719" i="7"/>
  <c r="M751" i="7"/>
  <c r="M746" i="7"/>
  <c r="M781" i="7"/>
  <c r="M149" i="7"/>
  <c r="M450" i="7"/>
  <c r="M836" i="7"/>
  <c r="M185" i="7"/>
  <c r="M180" i="7"/>
  <c r="M855" i="7"/>
  <c r="M173" i="7"/>
  <c r="M998" i="7"/>
  <c r="M590" i="7"/>
  <c r="M970" i="7"/>
  <c r="M340" i="7"/>
  <c r="M515" i="7"/>
  <c r="M512" i="7"/>
  <c r="M139" i="7"/>
  <c r="M219" i="7"/>
  <c r="M531" i="7"/>
  <c r="M300" i="7"/>
  <c r="M193" i="7"/>
  <c r="M831" i="7"/>
  <c r="M921" i="7"/>
  <c r="M179" i="7"/>
  <c r="M133" i="7"/>
  <c r="M357" i="7"/>
  <c r="M127" i="7"/>
  <c r="M495" i="7"/>
  <c r="M856" i="7"/>
  <c r="M264" i="7"/>
  <c r="M211" i="7"/>
  <c r="M66" i="7"/>
  <c r="M772" i="7"/>
  <c r="M650" i="7"/>
  <c r="M931" i="7"/>
  <c r="M508" i="7"/>
  <c r="M792" i="7"/>
  <c r="M468" i="7"/>
  <c r="M432" i="7"/>
  <c r="M900" i="7"/>
  <c r="M176" i="7"/>
  <c r="M82" i="7"/>
  <c r="M55" i="7"/>
  <c r="M945" i="7"/>
  <c r="M679" i="7"/>
  <c r="M666" i="7"/>
  <c r="M366" i="7"/>
  <c r="M585" i="7"/>
  <c r="M402" i="7"/>
  <c r="M739" i="7"/>
  <c r="M367" i="7"/>
  <c r="M638" i="7"/>
  <c r="M73" i="7"/>
  <c r="M706" i="7"/>
  <c r="M906" i="7"/>
  <c r="M408" i="7"/>
  <c r="M911" i="7"/>
  <c r="M339" i="7"/>
  <c r="M363" i="7"/>
  <c r="M234" i="7"/>
  <c r="M811" i="7"/>
  <c r="M12" i="7"/>
  <c r="M560" i="7"/>
  <c r="M663" i="7"/>
  <c r="M128" i="7"/>
  <c r="M203" i="7"/>
  <c r="M901" i="7"/>
  <c r="M525" i="7"/>
  <c r="M687" i="7"/>
  <c r="M977" i="7"/>
  <c r="M523" i="7"/>
  <c r="M954" i="7"/>
  <c r="M160" i="7"/>
  <c r="M166" i="7"/>
  <c r="M889" i="7"/>
  <c r="M279" i="7"/>
  <c r="M97" i="7"/>
  <c r="M782" i="7"/>
  <c r="M614" i="7"/>
  <c r="M555" i="7"/>
  <c r="M737" i="7"/>
  <c r="M828" i="7"/>
  <c r="M141" i="7"/>
  <c r="M253" i="7"/>
  <c r="M673" i="7"/>
  <c r="M83" i="7"/>
  <c r="M501" i="7"/>
  <c r="M292" i="7"/>
  <c r="M841" i="7"/>
  <c r="M826" i="7"/>
  <c r="M370" i="7"/>
  <c r="M534" i="7"/>
  <c r="M163" i="7"/>
  <c r="M624" i="7"/>
  <c r="M347" i="7"/>
  <c r="M798" i="7"/>
  <c r="M321" i="7"/>
  <c r="M635" i="7"/>
  <c r="M10" i="7"/>
  <c r="M444" i="7"/>
  <c r="M938" i="7"/>
  <c r="M824" i="7"/>
  <c r="M640" i="7"/>
  <c r="M397" i="7"/>
  <c r="M656" i="7"/>
  <c r="M558" i="7"/>
  <c r="M526" i="7"/>
  <c r="M762" i="7"/>
  <c r="M78" i="7"/>
  <c r="M598" i="7"/>
  <c r="M189" i="7"/>
  <c r="M840" i="7"/>
  <c r="M80" i="7"/>
  <c r="M927" i="7"/>
  <c r="M297" i="7"/>
  <c r="M500" i="7"/>
  <c r="M392" i="7"/>
  <c r="M381" i="7"/>
  <c r="M331" i="7"/>
  <c r="M349" i="7"/>
  <c r="M89" i="7"/>
  <c r="M422" i="7"/>
  <c r="M454" i="7"/>
  <c r="M225" i="7"/>
  <c r="M620" i="7"/>
  <c r="M140" i="7"/>
  <c r="M109" i="7"/>
  <c r="M114" i="7"/>
  <c r="M554" i="7"/>
  <c r="M31" i="7"/>
  <c r="M611" i="7"/>
  <c r="M793" i="7"/>
  <c r="M299" i="7"/>
  <c r="M940" i="7"/>
  <c r="M71" i="7"/>
  <c r="M733" i="7"/>
  <c r="M588" i="7"/>
  <c r="M439" i="7"/>
  <c r="M530" i="7"/>
  <c r="M23" i="7"/>
  <c r="M316" i="7"/>
  <c r="M29" i="7"/>
  <c r="M67" i="7"/>
  <c r="M451" i="7"/>
  <c r="M967" i="7"/>
  <c r="M975" i="7"/>
  <c r="M919" i="7"/>
  <c r="M664" i="7"/>
  <c r="M18" i="7"/>
  <c r="M698" i="7"/>
  <c r="M933" i="7"/>
  <c r="M830" i="7"/>
  <c r="M569" i="7"/>
  <c r="M51" i="7"/>
  <c r="M579" i="7"/>
  <c r="M134" i="7"/>
  <c r="M694" i="7"/>
  <c r="M427" i="7"/>
  <c r="M208" i="7"/>
  <c r="M248" i="7"/>
  <c r="M7" i="7"/>
  <c r="M423" i="7"/>
  <c r="M218" i="7"/>
  <c r="M399" i="7"/>
  <c r="M326" i="7"/>
  <c r="M683" i="7"/>
  <c r="M93" i="7"/>
  <c r="M251" i="7"/>
  <c r="M858" i="7"/>
  <c r="M465" i="7"/>
  <c r="M129" i="7"/>
  <c r="M925" i="7"/>
  <c r="M327" i="7"/>
  <c r="M210" i="7"/>
  <c r="M294" i="7"/>
  <c r="M165" i="7"/>
  <c r="M247" i="7"/>
  <c r="M285" i="7"/>
  <c r="M452" i="7"/>
  <c r="M224" i="7"/>
  <c r="M601" i="7"/>
  <c r="M918" i="7"/>
  <c r="M888" i="7"/>
  <c r="M202" i="7"/>
  <c r="M332" i="7"/>
  <c r="M591" i="7"/>
  <c r="M437" i="7"/>
  <c r="M827" i="7"/>
  <c r="M893" i="7"/>
  <c r="M608" i="7"/>
  <c r="M45" i="7"/>
  <c r="M1000" i="7"/>
  <c r="M91" i="7"/>
  <c r="M871" i="7"/>
  <c r="M821" i="7"/>
  <c r="M101" i="7"/>
  <c r="M162" i="7"/>
  <c r="M584" i="7"/>
  <c r="M475" i="7"/>
  <c r="M64" i="7"/>
  <c r="M886" i="7"/>
  <c r="M625" i="7"/>
  <c r="M161" i="7"/>
  <c r="M605" i="7"/>
  <c r="M35" i="7"/>
  <c r="M951" i="7"/>
  <c r="M303" i="7"/>
  <c r="M441" i="7"/>
  <c r="M852" i="7"/>
  <c r="M764" i="7"/>
  <c r="M868" i="7"/>
  <c r="M908" i="7"/>
  <c r="M287" i="7"/>
  <c r="M915" i="7"/>
  <c r="M39" i="7"/>
  <c r="M69" i="7"/>
  <c r="M271" i="7"/>
  <c r="M130" i="7"/>
  <c r="M457" i="7"/>
  <c r="M137" i="7"/>
  <c r="M144" i="7"/>
  <c r="M707" i="7"/>
  <c r="M979" i="7"/>
  <c r="M941" i="7"/>
  <c r="M266" i="7"/>
  <c r="M665" i="7"/>
  <c r="M834" i="7"/>
  <c r="M817" i="7"/>
  <c r="M217" i="7"/>
  <c r="M207" i="7"/>
  <c r="M648" i="7"/>
  <c r="M907" i="7"/>
  <c r="M107" i="7"/>
  <c r="M982" i="7"/>
  <c r="M384" i="7"/>
  <c r="M755" i="7"/>
  <c r="M877" i="7"/>
  <c r="M242" i="7"/>
  <c r="M956" i="7"/>
  <c r="M597" i="7"/>
  <c r="M709" i="7"/>
  <c r="M335" i="7"/>
  <c r="M256" i="7"/>
  <c r="M850" i="7"/>
  <c r="M460" i="7"/>
  <c r="M758" i="7"/>
  <c r="M368" i="7"/>
  <c r="M568" i="7"/>
  <c r="M443" i="7"/>
  <c r="M9" i="7"/>
  <c r="M309" i="7"/>
  <c r="M373" i="7"/>
  <c r="M155" i="7"/>
  <c r="M205" i="7"/>
  <c r="M722" i="7"/>
  <c r="M405" i="7"/>
  <c r="M692" i="7"/>
  <c r="M851" i="7"/>
  <c r="M989" i="7"/>
  <c r="M215" i="7"/>
  <c r="M641" i="7"/>
  <c r="M637" i="7"/>
  <c r="M845" i="7"/>
  <c r="M197" i="7"/>
  <c r="M272" i="7"/>
  <c r="M209" i="7"/>
  <c r="M533" i="7"/>
  <c r="M809" i="7"/>
  <c r="M206" i="7"/>
  <c r="M113" i="7"/>
  <c r="M412" i="7"/>
  <c r="M221" i="7"/>
  <c r="M644" i="7"/>
  <c r="M878" i="7"/>
  <c r="M847" i="7"/>
  <c r="M872" i="7"/>
  <c r="M491" i="7"/>
  <c r="M924" i="7"/>
  <c r="M257" i="7"/>
  <c r="M741" i="7"/>
  <c r="M546" i="7"/>
  <c r="M829" i="7"/>
  <c r="M417" i="7"/>
  <c r="M105" i="7"/>
  <c r="M646" i="7"/>
  <c r="M631" i="7"/>
  <c r="M268" i="7"/>
  <c r="M319" i="7"/>
  <c r="M76" i="7"/>
  <c r="M477" i="7"/>
  <c r="M25" i="7"/>
  <c r="M583" i="7"/>
  <c r="M304" i="7"/>
  <c r="M862" i="7"/>
  <c r="M438" i="7"/>
  <c r="M261" i="7"/>
  <c r="M966" i="7"/>
  <c r="M293" i="7"/>
  <c r="M564" i="7"/>
  <c r="M527" i="7"/>
  <c r="M277" i="7"/>
  <c r="M532" i="7"/>
  <c r="M95" i="7"/>
  <c r="M839" i="7"/>
  <c r="M571" i="7"/>
  <c r="M930" i="7"/>
  <c r="M957" i="7"/>
  <c r="M493" i="7"/>
  <c r="M314" i="7"/>
  <c r="M766" i="7"/>
  <c r="M916" i="7"/>
  <c r="M996" i="7"/>
  <c r="M103" i="7"/>
  <c r="M329" i="7"/>
  <c r="M115" i="7"/>
  <c r="M978" i="7"/>
  <c r="M528" i="7"/>
  <c r="M965" i="7"/>
  <c r="M120" i="7"/>
  <c r="M946" i="7"/>
  <c r="M86" i="7"/>
  <c r="M543" i="7"/>
  <c r="M410" i="7"/>
  <c r="M360" i="7"/>
  <c r="M344" i="7"/>
  <c r="M654" i="7"/>
  <c r="M313" i="7"/>
  <c r="M541" i="7"/>
  <c r="M108" i="7"/>
  <c r="M832" i="7"/>
  <c r="M944" i="7"/>
  <c r="M873" i="7"/>
  <c r="M440" i="7"/>
  <c r="M125" i="7"/>
  <c r="M976" i="7"/>
  <c r="M769" i="7"/>
  <c r="M547" i="7"/>
  <c r="M88" i="7"/>
  <c r="M489" i="7"/>
  <c r="M894" i="7"/>
  <c r="M557" i="7"/>
  <c r="M150" i="7"/>
  <c r="M866" i="7"/>
  <c r="M630" i="7"/>
  <c r="M77" i="7"/>
  <c r="M594" i="7"/>
  <c r="M112" i="7"/>
  <c r="M658" i="7"/>
  <c r="M602" i="7"/>
  <c r="M632" i="7"/>
  <c r="M424" i="7"/>
  <c r="M529" i="7"/>
  <c r="M351" i="7"/>
  <c r="M184" i="7"/>
  <c r="M587" i="7"/>
  <c r="M167" i="7"/>
  <c r="M520" i="7"/>
  <c r="M92" i="7"/>
  <c r="M245" i="7"/>
  <c r="M90" i="7"/>
  <c r="M604" i="7"/>
  <c r="M651" i="7"/>
  <c r="M748" i="7"/>
  <c r="M814" i="7"/>
  <c r="M974" i="7"/>
  <c r="M343" i="7"/>
  <c r="M116" i="7"/>
  <c r="M606" i="7"/>
  <c r="M483" i="7"/>
  <c r="M622" i="7"/>
  <c r="M230" i="7"/>
  <c r="M40" i="7"/>
  <c r="M795" i="7"/>
  <c r="M5" i="7"/>
  <c r="M70" i="7"/>
  <c r="M773" i="7"/>
  <c r="M959" i="7"/>
  <c r="M928" i="7"/>
  <c r="M870" i="7"/>
  <c r="M169" i="7"/>
  <c r="M785" i="7"/>
  <c r="M980" i="7"/>
  <c r="M270" i="7"/>
  <c r="M784" i="7"/>
  <c r="M810" i="7"/>
  <c r="M237" i="7"/>
  <c r="M147" i="7"/>
  <c r="M425" i="7"/>
  <c r="M223" i="7"/>
  <c r="M729" i="7"/>
  <c r="M879" i="7"/>
  <c r="M861" i="7"/>
  <c r="M263" i="7"/>
  <c r="M458" i="7"/>
  <c r="M260" i="7"/>
  <c r="M170" i="7"/>
  <c r="M674" i="7"/>
  <c r="M200" i="7"/>
  <c r="M686" i="7"/>
  <c r="M229" i="7"/>
  <c r="M963" i="7"/>
  <c r="M745" i="7"/>
  <c r="M156" i="7"/>
  <c r="M820" i="7"/>
  <c r="M752" i="7"/>
  <c r="M544" i="7"/>
  <c r="M655" i="7"/>
  <c r="M937" i="7"/>
  <c r="M984" i="7"/>
  <c r="M718" i="7"/>
  <c r="M111" i="7"/>
  <c r="M909" i="7"/>
  <c r="M549" i="7"/>
  <c r="M725" i="7"/>
  <c r="M188" i="7"/>
  <c r="M377" i="7"/>
  <c r="M727" i="7"/>
  <c r="M33" i="7"/>
  <c r="M823" i="7"/>
  <c r="M36" i="7"/>
  <c r="M382" i="7"/>
  <c r="M505" i="7"/>
  <c r="M682" i="7"/>
  <c r="M535" i="7"/>
  <c r="M324" i="7"/>
  <c r="M275" i="7"/>
  <c r="M711" i="7"/>
  <c r="M446" i="7"/>
  <c r="M407" i="7"/>
  <c r="M30" i="7"/>
  <c r="M20" i="7"/>
  <c r="M869" i="7"/>
  <c r="M685" i="7"/>
  <c r="M562" i="7"/>
  <c r="M551" i="7"/>
  <c r="M514" i="7"/>
  <c r="M808" i="7"/>
  <c r="M545" i="7"/>
  <c r="M550" i="7"/>
  <c r="M414" i="7"/>
  <c r="M844" i="7"/>
  <c r="M48" i="7"/>
  <c r="M497" i="7"/>
  <c r="M213" i="7"/>
  <c r="M942" i="7"/>
  <c r="M241" i="7"/>
  <c r="M328" i="7"/>
  <c r="M910" i="7"/>
  <c r="M891" i="7"/>
  <c r="M649" i="7"/>
  <c r="M480" i="7"/>
  <c r="M98" i="7"/>
  <c r="M96" i="7"/>
  <c r="M177" i="7"/>
  <c r="M220" i="7"/>
  <c r="M259" i="7"/>
  <c r="M204" i="7"/>
  <c r="M406" i="7"/>
  <c r="M50" i="7"/>
  <c r="M280" i="7"/>
  <c r="M849" i="7"/>
  <c r="M358" i="7"/>
  <c r="M935" i="7"/>
  <c r="M812" i="7"/>
  <c r="M485" i="7"/>
  <c r="M453" i="7"/>
  <c r="M186" i="7"/>
  <c r="M760" i="7"/>
  <c r="M361" i="7"/>
  <c r="M152" i="7"/>
  <c r="M510" i="7"/>
  <c r="M312" i="7"/>
  <c r="M481" i="7"/>
  <c r="M296" i="7"/>
  <c r="M462" i="7"/>
  <c r="M419" i="7"/>
  <c r="M952" i="7"/>
  <c r="M196" i="7"/>
  <c r="M612" i="7"/>
  <c r="M38" i="7"/>
  <c r="M333" i="7"/>
  <c r="M949" i="7"/>
  <c r="M818" i="7"/>
  <c r="M385" i="7"/>
  <c r="M496" i="7"/>
  <c r="M864" i="7"/>
  <c r="M720" i="7"/>
  <c r="M759" i="7"/>
  <c r="M813" i="7"/>
  <c r="M278" i="7"/>
  <c r="M100" i="7"/>
  <c r="M355" i="7"/>
  <c r="M636" i="7"/>
  <c r="M1001" i="7"/>
  <c r="M842" i="7"/>
  <c r="M6" i="7"/>
  <c r="M553" i="7"/>
  <c r="M586" i="7"/>
  <c r="M803" i="7"/>
  <c r="M750" i="7"/>
  <c r="M723" i="7"/>
  <c r="M749" i="7"/>
  <c r="M577" i="7"/>
  <c r="M320" i="7"/>
  <c r="M738" i="7"/>
  <c r="M464" i="7"/>
  <c r="M250" i="7"/>
  <c r="M898" i="7"/>
  <c r="M61" i="7"/>
  <c r="M779" i="7"/>
  <c r="M345" i="7"/>
  <c r="M575" i="7"/>
  <c r="M471" i="7"/>
  <c r="M494" i="7"/>
  <c r="M953" i="7"/>
  <c r="M736" i="7"/>
  <c r="M181" i="7"/>
  <c r="M669" i="7"/>
  <c r="M449" i="7"/>
  <c r="M282" i="7"/>
  <c r="M885" i="7"/>
  <c r="M634" i="7"/>
  <c r="M890" i="7"/>
  <c r="M315" i="7"/>
  <c r="M416" i="7"/>
  <c r="M379" i="7"/>
  <c r="M486" i="7"/>
  <c r="M609" i="7"/>
  <c r="M825" i="7"/>
  <c r="M857" i="7"/>
  <c r="M993" i="7"/>
  <c r="M596" i="7"/>
  <c r="M690" i="7"/>
  <c r="M295" i="7"/>
  <c r="M672" i="7"/>
  <c r="M708" i="7"/>
  <c r="M595" i="7"/>
  <c r="M724" i="7"/>
  <c r="M254" i="7"/>
  <c r="M341" i="7"/>
  <c r="M539" i="7"/>
  <c r="M599" i="7"/>
  <c r="M383" i="7"/>
  <c r="M214" i="7"/>
  <c r="M923" i="7"/>
  <c r="M735" i="7"/>
  <c r="M274" i="7"/>
  <c r="M194" i="7"/>
  <c r="M348" i="7"/>
  <c r="M227" i="7"/>
  <c r="M99" i="7"/>
  <c r="M985" i="7"/>
  <c r="M136" i="7"/>
  <c r="M761" i="7"/>
  <c r="M62" i="7"/>
  <c r="M63" i="7"/>
  <c r="M983" i="7"/>
  <c r="M566" i="7"/>
  <c r="M288" i="7"/>
  <c r="M676" i="7"/>
  <c r="M697" i="7"/>
  <c r="M426" i="7"/>
  <c r="M805" i="7"/>
  <c r="M364" i="7"/>
  <c r="M126" i="7"/>
  <c r="M653" i="7"/>
  <c r="M102" i="7"/>
  <c r="M15" i="7"/>
  <c r="M693" i="7"/>
  <c r="M715" i="7"/>
  <c r="M913" i="7"/>
  <c r="M334" i="7"/>
  <c r="M815" i="7"/>
  <c r="M899" i="7"/>
  <c r="M943" i="7"/>
  <c r="M172" i="7"/>
  <c r="M767" i="7"/>
  <c r="M753" i="7"/>
  <c r="M479" i="7"/>
  <c r="M874" i="7"/>
  <c r="M603" i="7"/>
  <c r="M487" i="7"/>
  <c r="M375" i="7"/>
  <c r="M592" i="7"/>
  <c r="M369" i="7"/>
  <c r="M990" i="7"/>
  <c r="M740" i="7"/>
  <c r="M53" i="7"/>
  <c r="M403" i="7"/>
  <c r="M887" i="7"/>
  <c r="M132" i="7"/>
  <c r="M153" i="7"/>
  <c r="M391" i="7"/>
  <c r="M677" i="7"/>
  <c r="M226" i="7"/>
  <c r="M668" i="7"/>
  <c r="M896" i="7"/>
  <c r="M376" i="7"/>
  <c r="M806" i="7"/>
  <c r="M243" i="7"/>
  <c r="M21" i="7"/>
  <c r="M322" i="7"/>
  <c r="M37" i="7"/>
  <c r="M897" i="7"/>
  <c r="M455" i="7"/>
  <c r="M701" i="7"/>
  <c r="M573" i="7"/>
  <c r="M289" i="7"/>
  <c r="M660" i="7"/>
  <c r="M833" i="7"/>
  <c r="M567" i="7"/>
  <c r="M389" i="7"/>
  <c r="M118" i="7"/>
  <c r="M49" i="7"/>
  <c r="M717" i="7"/>
  <c r="M302" i="7"/>
  <c r="M499" i="7"/>
  <c r="M578" i="7"/>
  <c r="M754" i="7"/>
  <c r="M643" i="7"/>
  <c r="M121" i="7"/>
  <c r="M239" i="7"/>
  <c r="M610" i="7"/>
  <c r="M252" i="7"/>
  <c r="M158" i="7"/>
  <c r="M258" i="7"/>
  <c r="M947" i="7"/>
  <c r="M415" i="7"/>
  <c r="M124" i="7"/>
  <c r="M552" i="7"/>
  <c r="M768" i="7"/>
  <c r="M881" i="7"/>
  <c r="M228" i="7"/>
  <c r="M801" i="7"/>
  <c r="M846" i="7"/>
  <c r="M574" i="7"/>
  <c r="M999" i="7"/>
  <c r="M411" i="7"/>
  <c r="M436" i="7"/>
  <c r="M986" i="7"/>
  <c r="M47" i="7"/>
  <c r="M763" i="7"/>
  <c r="M178" i="7"/>
  <c r="M875" i="7"/>
  <c r="M59" i="7"/>
  <c r="M657" i="7"/>
  <c r="M519" i="7"/>
  <c r="M246" i="7"/>
  <c r="M509" i="7"/>
  <c r="M670" i="7"/>
  <c r="M684" i="7"/>
  <c r="M964" i="7"/>
  <c r="M338" i="7"/>
  <c r="M325" i="7"/>
  <c r="M843" i="7"/>
  <c r="M395" i="7"/>
  <c r="M401" i="7"/>
  <c r="M42" i="7"/>
  <c r="M617" i="7"/>
  <c r="M378" i="7"/>
  <c r="M734" i="7"/>
  <c r="M85" i="7"/>
  <c r="M712" i="7"/>
  <c r="M593" i="7"/>
  <c r="M151" i="7"/>
  <c r="M267" i="7"/>
  <c r="M822" i="7"/>
  <c r="M19" i="7"/>
  <c r="M122" i="7"/>
  <c r="M639" i="7"/>
  <c r="M581" i="7"/>
  <c r="M311" i="7"/>
  <c r="M276" i="7"/>
  <c r="M702" i="7"/>
  <c r="M905" i="7"/>
  <c r="M559" i="7"/>
  <c r="M819" i="7"/>
  <c r="M732" i="7"/>
  <c r="M997" i="7"/>
  <c r="M148" i="7"/>
  <c r="M317" i="7"/>
  <c r="M929" i="7"/>
  <c r="M570" i="7"/>
  <c r="M308" i="7"/>
  <c r="M74" i="7"/>
  <c r="M164" i="7"/>
  <c r="M880" i="7"/>
  <c r="M904" i="7"/>
  <c r="M757" i="7"/>
  <c r="M301" i="7"/>
  <c r="M728" i="7"/>
  <c r="M143" i="7"/>
  <c r="M572" i="7"/>
  <c r="M922" i="7"/>
  <c r="M283" i="7"/>
  <c r="M87" i="7"/>
  <c r="M431" i="7"/>
  <c r="M32" i="7"/>
  <c r="M626" i="7"/>
  <c r="M490" i="7"/>
  <c r="M54" i="7"/>
  <c r="M284" i="7"/>
  <c r="M174" i="7"/>
  <c r="M199" i="7"/>
  <c r="M463" i="7"/>
  <c r="M616" i="7"/>
  <c r="M629" i="7"/>
  <c r="M466" i="7"/>
  <c r="M838" i="7"/>
  <c r="M442" i="7"/>
  <c r="M104" i="7"/>
  <c r="M517" i="7"/>
  <c r="M448" i="7"/>
  <c r="M359" i="7"/>
  <c r="M342" i="7"/>
  <c r="M778" i="7"/>
  <c r="M291" i="7"/>
  <c r="M619" i="7"/>
  <c r="M286" i="7"/>
  <c r="M183" i="7"/>
  <c r="M802" i="7"/>
  <c r="M365" i="7"/>
  <c r="M987" i="7"/>
  <c r="M68" i="7"/>
  <c r="M394" i="7"/>
  <c r="M374" i="7"/>
  <c r="M786" i="7"/>
  <c r="M187" i="7"/>
  <c r="M835" i="7"/>
  <c r="M647" i="7"/>
  <c r="M744" i="7"/>
  <c r="M790" i="7"/>
  <c r="M434" i="7"/>
  <c r="M27" i="7"/>
  <c r="M307" i="7"/>
  <c r="M24" i="7"/>
  <c r="M770" i="7"/>
  <c r="M516" i="7"/>
  <c r="M948" i="7"/>
  <c r="M536" i="7"/>
  <c r="M600" i="7"/>
  <c r="M75" i="7"/>
  <c r="M372" i="7"/>
  <c r="M848" i="7"/>
  <c r="M89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<sst xmlns="http://schemas.openxmlformats.org/spreadsheetml/2006/main" count="16724" uniqueCount="1693">
  <si>
    <t>Order_ID</t>
  </si>
  <si>
    <t>Order_Date</t>
  </si>
  <si>
    <t>Customer_ID</t>
  </si>
  <si>
    <t>Product_Category</t>
  </si>
  <si>
    <t>Product_Name</t>
  </si>
  <si>
    <t>City</t>
  </si>
  <si>
    <t>State</t>
  </si>
  <si>
    <t>Payment_Method</t>
  </si>
  <si>
    <t>Quantity</t>
  </si>
  <si>
    <t>Price</t>
  </si>
  <si>
    <t>Discount</t>
  </si>
  <si>
    <t>Total_Sales</t>
  </si>
  <si>
    <t>ORD0001</t>
  </si>
  <si>
    <t>2023-12-30</t>
  </si>
  <si>
    <t>CUST052</t>
  </si>
  <si>
    <t>Home</t>
  </si>
  <si>
    <t>Laptop</t>
  </si>
  <si>
    <t>Kolkata</t>
  </si>
  <si>
    <t>West Bengal</t>
  </si>
  <si>
    <t>Cash on Delivery</t>
  </si>
  <si>
    <t>ORD0002</t>
  </si>
  <si>
    <t>2023-12-15</t>
  </si>
  <si>
    <t>CUST163</t>
  </si>
  <si>
    <t>Clothing</t>
  </si>
  <si>
    <t>Football</t>
  </si>
  <si>
    <t>Bangalore</t>
  </si>
  <si>
    <t>Maharashtra</t>
  </si>
  <si>
    <t>ORD0003</t>
  </si>
  <si>
    <t>2023-11-01</t>
  </si>
  <si>
    <t>CUST189</t>
  </si>
  <si>
    <t>Sports</t>
  </si>
  <si>
    <t>T-Shirt</t>
  </si>
  <si>
    <t>Chennai</t>
  </si>
  <si>
    <t>UPI</t>
  </si>
  <si>
    <t>ORD0004</t>
  </si>
  <si>
    <t>2023-10-02</t>
  </si>
  <si>
    <t>CUST235</t>
  </si>
  <si>
    <t>ORD0005</t>
  </si>
  <si>
    <t>2023-01-27</t>
  </si>
  <si>
    <t>CUST098</t>
  </si>
  <si>
    <t>Delhi</t>
  </si>
  <si>
    <t>ORD0006</t>
  </si>
  <si>
    <t>2023-08-08</t>
  </si>
  <si>
    <t>CUST232</t>
  </si>
  <si>
    <t>Credit Card</t>
  </si>
  <si>
    <t>ORD0007</t>
  </si>
  <si>
    <t>2023-06-19</t>
  </si>
  <si>
    <t>CUST007</t>
  </si>
  <si>
    <t>Sofa</t>
  </si>
  <si>
    <t>Mumbai</t>
  </si>
  <si>
    <t>ORD0008</t>
  </si>
  <si>
    <t>2023-06-04</t>
  </si>
  <si>
    <t>CUST101</t>
  </si>
  <si>
    <t>Beauty</t>
  </si>
  <si>
    <t>Karnataka</t>
  </si>
  <si>
    <t>ORD0009</t>
  </si>
  <si>
    <t>2023-03-08</t>
  </si>
  <si>
    <t>CUST231</t>
  </si>
  <si>
    <t>Shoes</t>
  </si>
  <si>
    <t>ORD0010</t>
  </si>
  <si>
    <t>2023-01-03</t>
  </si>
  <si>
    <t>CUST009</t>
  </si>
  <si>
    <t>Tamil Nadu</t>
  </si>
  <si>
    <t>ORD0011</t>
  </si>
  <si>
    <t>2023-02-22</t>
  </si>
  <si>
    <t>ORD0012</t>
  </si>
  <si>
    <t>2023-02-28</t>
  </si>
  <si>
    <t>CUST046</t>
  </si>
  <si>
    <t>Face Cream</t>
  </si>
  <si>
    <t>ORD0013</t>
  </si>
  <si>
    <t>2023-01-01</t>
  </si>
  <si>
    <t>CUST262</t>
  </si>
  <si>
    <t>ORD0014</t>
  </si>
  <si>
    <t>2023-10-30</t>
  </si>
  <si>
    <t>CUST018</t>
  </si>
  <si>
    <t>Debit Card</t>
  </si>
  <si>
    <t>ORD0015</t>
  </si>
  <si>
    <t>2023-03-27</t>
  </si>
  <si>
    <t>CUST240</t>
  </si>
  <si>
    <t>Mobile</t>
  </si>
  <si>
    <t>ORD0016</t>
  </si>
  <si>
    <t>2023-08-01</t>
  </si>
  <si>
    <t>ORD0017</t>
  </si>
  <si>
    <t>2023-06-05</t>
  </si>
  <si>
    <t>CUST042</t>
  </si>
  <si>
    <t>ORD0018</t>
  </si>
  <si>
    <t>2023-07-13</t>
  </si>
  <si>
    <t>CUST056</t>
  </si>
  <si>
    <t>Electronics</t>
  </si>
  <si>
    <t>ORD0019</t>
  </si>
  <si>
    <t>2023-10-14</t>
  </si>
  <si>
    <t>CUST083</t>
  </si>
  <si>
    <t>ORD0020</t>
  </si>
  <si>
    <t>2023-12-25</t>
  </si>
  <si>
    <t>CUST100</t>
  </si>
  <si>
    <t>ORD0021</t>
  </si>
  <si>
    <t>2023-07-26</t>
  </si>
  <si>
    <t>CUST190</t>
  </si>
  <si>
    <t>ORD0022</t>
  </si>
  <si>
    <t>CUST200</t>
  </si>
  <si>
    <t>ORD0023</t>
  </si>
  <si>
    <t>2023-02-27</t>
  </si>
  <si>
    <t>CUST258</t>
  </si>
  <si>
    <t>ORD0024</t>
  </si>
  <si>
    <t>2023-11-02</t>
  </si>
  <si>
    <t>CUST108</t>
  </si>
  <si>
    <t>ORD0025</t>
  </si>
  <si>
    <t>2023-06-28</t>
  </si>
  <si>
    <t>CUST058</t>
  </si>
  <si>
    <t>ORD0026</t>
  </si>
  <si>
    <t>2023-07-16</t>
  </si>
  <si>
    <t>CUST020</t>
  </si>
  <si>
    <t>ORD0027</t>
  </si>
  <si>
    <t>2023-02-26</t>
  </si>
  <si>
    <t>CUST085</t>
  </si>
  <si>
    <t>ORD0028</t>
  </si>
  <si>
    <t>2023-12-22</t>
  </si>
  <si>
    <t>CUST202</t>
  </si>
  <si>
    <t>ORD0029</t>
  </si>
  <si>
    <t>2023-05-18</t>
  </si>
  <si>
    <t>ORD0030</t>
  </si>
  <si>
    <t>2023-04-09</t>
  </si>
  <si>
    <t>ORD0031</t>
  </si>
  <si>
    <t>2023-06-30</t>
  </si>
  <si>
    <t>CUST137</t>
  </si>
  <si>
    <t>ORD0032</t>
  </si>
  <si>
    <t>2023-12-10</t>
  </si>
  <si>
    <t>CUST233</t>
  </si>
  <si>
    <t>ORD0033</t>
  </si>
  <si>
    <t>2023-04-14</t>
  </si>
  <si>
    <t>CUST141</t>
  </si>
  <si>
    <t>ORD0034</t>
  </si>
  <si>
    <t>2023-02-11</t>
  </si>
  <si>
    <t>CUST290</t>
  </si>
  <si>
    <t>ORD0035</t>
  </si>
  <si>
    <t>2023-01-28</t>
  </si>
  <si>
    <t>CUST005</t>
  </si>
  <si>
    <t>ORD0036</t>
  </si>
  <si>
    <t>2023-11-14</t>
  </si>
  <si>
    <t>CUST136</t>
  </si>
  <si>
    <t>ORD0037</t>
  </si>
  <si>
    <t>2023-01-18</t>
  </si>
  <si>
    <t>CUST177</t>
  </si>
  <si>
    <t>ORD0038</t>
  </si>
  <si>
    <t>2023-02-06</t>
  </si>
  <si>
    <t>CUST244</t>
  </si>
  <si>
    <t>ORD0039</t>
  </si>
  <si>
    <t>2023-03-25</t>
  </si>
  <si>
    <t>CUST294</t>
  </si>
  <si>
    <t>ORD0040</t>
  </si>
  <si>
    <t>2023-09-22</t>
  </si>
  <si>
    <t>CUST127</t>
  </si>
  <si>
    <t>ORD0041</t>
  </si>
  <si>
    <t>2023-12-12</t>
  </si>
  <si>
    <t>CUST040</t>
  </si>
  <si>
    <t>ORD0042</t>
  </si>
  <si>
    <t>ORD0043</t>
  </si>
  <si>
    <t>CUST092</t>
  </si>
  <si>
    <t>ORD0044</t>
  </si>
  <si>
    <t>2023-07-22</t>
  </si>
  <si>
    <t>CUST160</t>
  </si>
  <si>
    <t>ORD0045</t>
  </si>
  <si>
    <t>2023-07-19</t>
  </si>
  <si>
    <t>CUST023</t>
  </si>
  <si>
    <t>ORD0046</t>
  </si>
  <si>
    <t>2023-08-26</t>
  </si>
  <si>
    <t>CUST239</t>
  </si>
  <si>
    <t>ORD0047</t>
  </si>
  <si>
    <t>2023-03-04</t>
  </si>
  <si>
    <t>CUST074</t>
  </si>
  <si>
    <t>ORD0048</t>
  </si>
  <si>
    <t>2023-02-04</t>
  </si>
  <si>
    <t>CUST104</t>
  </si>
  <si>
    <t>ORD0049</t>
  </si>
  <si>
    <t>2023-04-25</t>
  </si>
  <si>
    <t>CUST165</t>
  </si>
  <si>
    <t>ORD0050</t>
  </si>
  <si>
    <t>2023-12-06</t>
  </si>
  <si>
    <t>ORD0051</t>
  </si>
  <si>
    <t>2023-01-16</t>
  </si>
  <si>
    <t>CUST195</t>
  </si>
  <si>
    <t>ORD0052</t>
  </si>
  <si>
    <t>2023-12-13</t>
  </si>
  <si>
    <t>CUST206</t>
  </si>
  <si>
    <t>ORD0053</t>
  </si>
  <si>
    <t>2023-09-12</t>
  </si>
  <si>
    <t>CUST057</t>
  </si>
  <si>
    <t>ORD0054</t>
  </si>
  <si>
    <t>2023-09-28</t>
  </si>
  <si>
    <t>ORD0055</t>
  </si>
  <si>
    <t>2023-12-05</t>
  </si>
  <si>
    <t>CUST103</t>
  </si>
  <si>
    <t>ORD0056</t>
  </si>
  <si>
    <t>2023-02-02</t>
  </si>
  <si>
    <t>CUST176</t>
  </si>
  <si>
    <t>ORD0057</t>
  </si>
  <si>
    <t>2023-11-16</t>
  </si>
  <si>
    <t>CUST288</t>
  </si>
  <si>
    <t>ORD0058</t>
  </si>
  <si>
    <t>ORD0059</t>
  </si>
  <si>
    <t>CUST073</t>
  </si>
  <si>
    <t>ORD0060</t>
  </si>
  <si>
    <t>2023-08-22</t>
  </si>
  <si>
    <t>CUST207</t>
  </si>
  <si>
    <t>ORD0061</t>
  </si>
  <si>
    <t>2023-08-09</t>
  </si>
  <si>
    <t>CUST286</t>
  </si>
  <si>
    <t>ORD0062</t>
  </si>
  <si>
    <t>2023-10-09</t>
  </si>
  <si>
    <t>ORD0063</t>
  </si>
  <si>
    <t>2023-11-18</t>
  </si>
  <si>
    <t>CUST142</t>
  </si>
  <si>
    <t>ORD0064</t>
  </si>
  <si>
    <t>2023-04-17</t>
  </si>
  <si>
    <t>CUST259</t>
  </si>
  <si>
    <t>ORD0065</t>
  </si>
  <si>
    <t>CUST066</t>
  </si>
  <si>
    <t>ORD0066</t>
  </si>
  <si>
    <t>2023-05-23</t>
  </si>
  <si>
    <t>CUST191</t>
  </si>
  <si>
    <t>ORD0067</t>
  </si>
  <si>
    <t>2023-10-13</t>
  </si>
  <si>
    <t>CUST242</t>
  </si>
  <si>
    <t>ORD0068</t>
  </si>
  <si>
    <t>2023-03-23</t>
  </si>
  <si>
    <t>CUST029</t>
  </si>
  <si>
    <t>ORD0069</t>
  </si>
  <si>
    <t>2023-05-03</t>
  </si>
  <si>
    <t>CUST252</t>
  </si>
  <si>
    <t>ORD0070</t>
  </si>
  <si>
    <t>CUST156</t>
  </si>
  <si>
    <t>ORD0071</t>
  </si>
  <si>
    <t>2023-12-21</t>
  </si>
  <si>
    <t>ORD0072</t>
  </si>
  <si>
    <t>2023-09-06</t>
  </si>
  <si>
    <t>CUST024</t>
  </si>
  <si>
    <t>ORD0073</t>
  </si>
  <si>
    <t>2023-07-06</t>
  </si>
  <si>
    <t>CUST263</t>
  </si>
  <si>
    <t>ORD0074</t>
  </si>
  <si>
    <t>2023-11-03</t>
  </si>
  <si>
    <t>CUST209</t>
  </si>
  <si>
    <t>ORD0075</t>
  </si>
  <si>
    <t>2023-08-20</t>
  </si>
  <si>
    <t>CUST168</t>
  </si>
  <si>
    <t>ORD0076</t>
  </si>
  <si>
    <t>2023-09-18</t>
  </si>
  <si>
    <t>CUST121</t>
  </si>
  <si>
    <t>ORD0077</t>
  </si>
  <si>
    <t>2023-07-28</t>
  </si>
  <si>
    <t>CUST161</t>
  </si>
  <si>
    <t>ORD0078</t>
  </si>
  <si>
    <t>2023-07-29</t>
  </si>
  <si>
    <t>CUST170</t>
  </si>
  <si>
    <t>ORD0079</t>
  </si>
  <si>
    <t>2023-02-21</t>
  </si>
  <si>
    <t>ORD0080</t>
  </si>
  <si>
    <t>2023-05-30</t>
  </si>
  <si>
    <t>CUST208</t>
  </si>
  <si>
    <t>ORD0081</t>
  </si>
  <si>
    <t>2023-08-12</t>
  </si>
  <si>
    <t>CUST099</t>
  </si>
  <si>
    <t>ORD0082</t>
  </si>
  <si>
    <t>2023-12-11</t>
  </si>
  <si>
    <t>CUST123</t>
  </si>
  <si>
    <t>ORD0083</t>
  </si>
  <si>
    <t>2023-07-07</t>
  </si>
  <si>
    <t>CUST143</t>
  </si>
  <si>
    <t>ORD0084</t>
  </si>
  <si>
    <t>2023-01-10</t>
  </si>
  <si>
    <t>CUST222</t>
  </si>
  <si>
    <t>ORD0085</t>
  </si>
  <si>
    <t>2023-09-11</t>
  </si>
  <si>
    <t>CUST109</t>
  </si>
  <si>
    <t>ORD0086</t>
  </si>
  <si>
    <t>2023-06-13</t>
  </si>
  <si>
    <t>CUST063</t>
  </si>
  <si>
    <t>ORD0087</t>
  </si>
  <si>
    <t>2023-04-28</t>
  </si>
  <si>
    <t>ORD0088</t>
  </si>
  <si>
    <t>2023-11-04</t>
  </si>
  <si>
    <t>CUST159</t>
  </si>
  <si>
    <t>ORD0089</t>
  </si>
  <si>
    <t>2023-10-19</t>
  </si>
  <si>
    <t>CUST276</t>
  </si>
  <si>
    <t>ORD0090</t>
  </si>
  <si>
    <t>ORD0091</t>
  </si>
  <si>
    <t>2023-03-26</t>
  </si>
  <si>
    <t>CUST048</t>
  </si>
  <si>
    <t>ORD0092</t>
  </si>
  <si>
    <t>2023-06-21</t>
  </si>
  <si>
    <t>CUST238</t>
  </si>
  <si>
    <t>ORD0093</t>
  </si>
  <si>
    <t>2023-09-23</t>
  </si>
  <si>
    <t>ORD0094</t>
  </si>
  <si>
    <t>2023-03-12</t>
  </si>
  <si>
    <t>CUST135</t>
  </si>
  <si>
    <t>ORD0095</t>
  </si>
  <si>
    <t>CUST111</t>
  </si>
  <si>
    <t>ORD0096</t>
  </si>
  <si>
    <t>2023-12-03</t>
  </si>
  <si>
    <t>ORD0097</t>
  </si>
  <si>
    <t>2023-05-24</t>
  </si>
  <si>
    <t>ORD0098</t>
  </si>
  <si>
    <t>2023-02-24</t>
  </si>
  <si>
    <t>CUST151</t>
  </si>
  <si>
    <t>ORD0099</t>
  </si>
  <si>
    <t>2023-01-02</t>
  </si>
  <si>
    <t>ORD0100</t>
  </si>
  <si>
    <t>2023-08-04</t>
  </si>
  <si>
    <t>ORD0101</t>
  </si>
  <si>
    <t>CUST122</t>
  </si>
  <si>
    <t>ORD0102</t>
  </si>
  <si>
    <t>2023-11-10</t>
  </si>
  <si>
    <t>ORD0103</t>
  </si>
  <si>
    <t>2023-07-23</t>
  </si>
  <si>
    <t>ORD0104</t>
  </si>
  <si>
    <t>CUST006</t>
  </si>
  <si>
    <t>ORD0105</t>
  </si>
  <si>
    <t>2023-10-26</t>
  </si>
  <si>
    <t>ORD0106</t>
  </si>
  <si>
    <t>2023-01-25</t>
  </si>
  <si>
    <t>CUST064</t>
  </si>
  <si>
    <t>ORD0107</t>
  </si>
  <si>
    <t>2023-09-26</t>
  </si>
  <si>
    <t>CUST269</t>
  </si>
  <si>
    <t>ORD0108</t>
  </si>
  <si>
    <t>2023-04-07</t>
  </si>
  <si>
    <t>CUST068</t>
  </si>
  <si>
    <t>ORD0109</t>
  </si>
  <si>
    <t>2023-06-01</t>
  </si>
  <si>
    <t>CUST221</t>
  </si>
  <si>
    <t>ORD0110</t>
  </si>
  <si>
    <t>2023-12-08</t>
  </si>
  <si>
    <t>CUST175</t>
  </si>
  <si>
    <t>ORD0111</t>
  </si>
  <si>
    <t>ORD0112</t>
  </si>
  <si>
    <t>2023-04-11</t>
  </si>
  <si>
    <t>CUST049</t>
  </si>
  <si>
    <t>ORD0113</t>
  </si>
  <si>
    <t>ORD0114</t>
  </si>
  <si>
    <t>2023-05-28</t>
  </si>
  <si>
    <t>CUST054</t>
  </si>
  <si>
    <t>ORD0115</t>
  </si>
  <si>
    <t>CUST213</t>
  </si>
  <si>
    <t>ORD0116</t>
  </si>
  <si>
    <t>2023-07-11</t>
  </si>
  <si>
    <t>ORD0117</t>
  </si>
  <si>
    <t>ORD0118</t>
  </si>
  <si>
    <t>2023-05-08</t>
  </si>
  <si>
    <t>CUST094</t>
  </si>
  <si>
    <t>ORD0119</t>
  </si>
  <si>
    <t>2023-08-29</t>
  </si>
  <si>
    <t>CUST245</t>
  </si>
  <si>
    <t>ORD0120</t>
  </si>
  <si>
    <t>2023-04-12</t>
  </si>
  <si>
    <t>CUST107</t>
  </si>
  <si>
    <t>ORD0121</t>
  </si>
  <si>
    <t>2023-10-11</t>
  </si>
  <si>
    <t>ORD0122</t>
  </si>
  <si>
    <t>CUST078</t>
  </si>
  <si>
    <t>ORD0123</t>
  </si>
  <si>
    <t>2023-03-03</t>
  </si>
  <si>
    <t>CUST268</t>
  </si>
  <si>
    <t>ORD0124</t>
  </si>
  <si>
    <t>ORD0125</t>
  </si>
  <si>
    <t>2023-03-02</t>
  </si>
  <si>
    <t>CUST243</t>
  </si>
  <si>
    <t>ORD0126</t>
  </si>
  <si>
    <t>2023-01-30</t>
  </si>
  <si>
    <t>CUST152</t>
  </si>
  <si>
    <t>ORD0127</t>
  </si>
  <si>
    <t>2023-07-12</t>
  </si>
  <si>
    <t>CUST182</t>
  </si>
  <si>
    <t>ORD0128</t>
  </si>
  <si>
    <t>2023-07-02</t>
  </si>
  <si>
    <t>ORD0129</t>
  </si>
  <si>
    <t>2023-06-29</t>
  </si>
  <si>
    <t>ORD0130</t>
  </si>
  <si>
    <t>2023-09-19</t>
  </si>
  <si>
    <t>ORD0131</t>
  </si>
  <si>
    <t>CUST247</t>
  </si>
  <si>
    <t>ORD0132</t>
  </si>
  <si>
    <t>CUST022</t>
  </si>
  <si>
    <t>ORD0133</t>
  </si>
  <si>
    <t>CUST264</t>
  </si>
  <si>
    <t>ORD0134</t>
  </si>
  <si>
    <t>ORD0135</t>
  </si>
  <si>
    <t>ORD0136</t>
  </si>
  <si>
    <t>2023-11-19</t>
  </si>
  <si>
    <t>CUST110</t>
  </si>
  <si>
    <t>ORD0137</t>
  </si>
  <si>
    <t>2023-02-16</t>
  </si>
  <si>
    <t>CUST267</t>
  </si>
  <si>
    <t>ORD0138</t>
  </si>
  <si>
    <t>2023-08-28</t>
  </si>
  <si>
    <t>CUST059</t>
  </si>
  <si>
    <t>ORD0139</t>
  </si>
  <si>
    <t>2023-11-12</t>
  </si>
  <si>
    <t>ORD0140</t>
  </si>
  <si>
    <t>2023-01-31</t>
  </si>
  <si>
    <t>CUST017</t>
  </si>
  <si>
    <t>ORD0141</t>
  </si>
  <si>
    <t>2023-05-05</t>
  </si>
  <si>
    <t>CUST011</t>
  </si>
  <si>
    <t>ORD0142</t>
  </si>
  <si>
    <t>2023-09-15</t>
  </si>
  <si>
    <t>CUST164</t>
  </si>
  <si>
    <t>ORD0143</t>
  </si>
  <si>
    <t>CUST067</t>
  </si>
  <si>
    <t>ORD0144</t>
  </si>
  <si>
    <t>2023-04-21</t>
  </si>
  <si>
    <t>ORD0145</t>
  </si>
  <si>
    <t>CUST249</t>
  </si>
  <si>
    <t>ORD0146</t>
  </si>
  <si>
    <t>2023-04-03</t>
  </si>
  <si>
    <t>CUST138</t>
  </si>
  <si>
    <t>ORD0147</t>
  </si>
  <si>
    <t>2023-05-14</t>
  </si>
  <si>
    <t>CUST146</t>
  </si>
  <si>
    <t>ORD0148</t>
  </si>
  <si>
    <t>CUST028</t>
  </si>
  <si>
    <t>ORD0149</t>
  </si>
  <si>
    <t>CUST192</t>
  </si>
  <si>
    <t>ORD0150</t>
  </si>
  <si>
    <t>2023-10-10</t>
  </si>
  <si>
    <t>ORD0151</t>
  </si>
  <si>
    <t>2023-12-01</t>
  </si>
  <si>
    <t>CUST162</t>
  </si>
  <si>
    <t>ORD0152</t>
  </si>
  <si>
    <t>2023-04-05</t>
  </si>
  <si>
    <t>ORD0153</t>
  </si>
  <si>
    <t>2023-01-21</t>
  </si>
  <si>
    <t>ORD0154</t>
  </si>
  <si>
    <t>ORD0155</t>
  </si>
  <si>
    <t>2023-10-24</t>
  </si>
  <si>
    <t>CUST102</t>
  </si>
  <si>
    <t>ORD0156</t>
  </si>
  <si>
    <t>CUST031</t>
  </si>
  <si>
    <t>ORD0157</t>
  </si>
  <si>
    <t>2023-04-29</t>
  </si>
  <si>
    <t>CUST139</t>
  </si>
  <si>
    <t>ORD0158</t>
  </si>
  <si>
    <t>2023-07-27</t>
  </si>
  <si>
    <t>ORD0159</t>
  </si>
  <si>
    <t>ORD0160</t>
  </si>
  <si>
    <t>2023-05-04</t>
  </si>
  <si>
    <t>CUST229</t>
  </si>
  <si>
    <t>ORD0161</t>
  </si>
  <si>
    <t>2023-02-23</t>
  </si>
  <si>
    <t>ORD0162</t>
  </si>
  <si>
    <t>CUST281</t>
  </si>
  <si>
    <t>ORD0163</t>
  </si>
  <si>
    <t>2023-08-07</t>
  </si>
  <si>
    <t>CUST211</t>
  </si>
  <si>
    <t>ORD0164</t>
  </si>
  <si>
    <t>2023-10-18</t>
  </si>
  <si>
    <t>ORD0165</t>
  </si>
  <si>
    <t>2023-12-20</t>
  </si>
  <si>
    <t>ORD0166</t>
  </si>
  <si>
    <t>ORD0167</t>
  </si>
  <si>
    <t>CUST186</t>
  </si>
  <si>
    <t>ORD0168</t>
  </si>
  <si>
    <t>2023-08-18</t>
  </si>
  <si>
    <t>ORD0169</t>
  </si>
  <si>
    <t>CUST149</t>
  </si>
  <si>
    <t>ORD0170</t>
  </si>
  <si>
    <t>2023-03-11</t>
  </si>
  <si>
    <t>CUST047</t>
  </si>
  <si>
    <t>ORD0171</t>
  </si>
  <si>
    <t>CUST216</t>
  </si>
  <si>
    <t>ORD0172</t>
  </si>
  <si>
    <t>2023-05-15</t>
  </si>
  <si>
    <t>ORD0173</t>
  </si>
  <si>
    <t>2023-10-31</t>
  </si>
  <si>
    <t>CUST027</t>
  </si>
  <si>
    <t>ORD0174</t>
  </si>
  <si>
    <t>CUST184</t>
  </si>
  <si>
    <t>ORD0175</t>
  </si>
  <si>
    <t>2023-07-08</t>
  </si>
  <si>
    <t>CUST167</t>
  </si>
  <si>
    <t>ORD0176</t>
  </si>
  <si>
    <t>2023-07-17</t>
  </si>
  <si>
    <t>ORD0177</t>
  </si>
  <si>
    <t>ORD0178</t>
  </si>
  <si>
    <t>2023-07-15</t>
  </si>
  <si>
    <t>ORD0179</t>
  </si>
  <si>
    <t>2023-06-27</t>
  </si>
  <si>
    <t>ORD0180</t>
  </si>
  <si>
    <t>ORD0181</t>
  </si>
  <si>
    <t>2023-10-16</t>
  </si>
  <si>
    <t>CUST033</t>
  </si>
  <si>
    <t>ORD0182</t>
  </si>
  <si>
    <t>CUST035</t>
  </si>
  <si>
    <t>ORD0183</t>
  </si>
  <si>
    <t>2023-11-05</t>
  </si>
  <si>
    <t>CUST185</t>
  </si>
  <si>
    <t>ORD0184</t>
  </si>
  <si>
    <t>2023-06-07</t>
  </si>
  <si>
    <t>CUST105</t>
  </si>
  <si>
    <t>ORD0185</t>
  </si>
  <si>
    <t>2023-10-21</t>
  </si>
  <si>
    <t>CUST051</t>
  </si>
  <si>
    <t>ORD0186</t>
  </si>
  <si>
    <t>2023-12-18</t>
  </si>
  <si>
    <t>CUST061</t>
  </si>
  <si>
    <t>ORD0187</t>
  </si>
  <si>
    <t>ORD0188</t>
  </si>
  <si>
    <t>ORD0189</t>
  </si>
  <si>
    <t>2023-03-01</t>
  </si>
  <si>
    <t>CUST272</t>
  </si>
  <si>
    <t>ORD0190</t>
  </si>
  <si>
    <t>CUST282</t>
  </si>
  <si>
    <t>ORD0191</t>
  </si>
  <si>
    <t>2023-06-22</t>
  </si>
  <si>
    <t>CUST095</t>
  </si>
  <si>
    <t>ORD0192</t>
  </si>
  <si>
    <t>2023-10-25</t>
  </si>
  <si>
    <t>ORD0193</t>
  </si>
  <si>
    <t>CUST153</t>
  </si>
  <si>
    <t>ORD0194</t>
  </si>
  <si>
    <t>2023-10-28</t>
  </si>
  <si>
    <t>CUST250</t>
  </si>
  <si>
    <t>ORD0195</t>
  </si>
  <si>
    <t>CUST129</t>
  </si>
  <si>
    <t>ORD0196</t>
  </si>
  <si>
    <t>CUST194</t>
  </si>
  <si>
    <t>ORD0197</t>
  </si>
  <si>
    <t>2023-11-11</t>
  </si>
  <si>
    <t>ORD0198</t>
  </si>
  <si>
    <t>ORD0199</t>
  </si>
  <si>
    <t>ORD0200</t>
  </si>
  <si>
    <t>CUST174</t>
  </si>
  <si>
    <t>ORD0201</t>
  </si>
  <si>
    <t>2023-08-14</t>
  </si>
  <si>
    <t>CUST041</t>
  </si>
  <si>
    <t>ORD0202</t>
  </si>
  <si>
    <t>2023-06-26</t>
  </si>
  <si>
    <t>CUST037</t>
  </si>
  <si>
    <t>ORD0203</t>
  </si>
  <si>
    <t>2023-11-29</t>
  </si>
  <si>
    <t>ORD0204</t>
  </si>
  <si>
    <t>2023-12-07</t>
  </si>
  <si>
    <t>CUST019</t>
  </si>
  <si>
    <t>ORD0205</t>
  </si>
  <si>
    <t>ORD0206</t>
  </si>
  <si>
    <t>CUST071</t>
  </si>
  <si>
    <t>ORD0207</t>
  </si>
  <si>
    <t>2023-05-06</t>
  </si>
  <si>
    <t>CUST225</t>
  </si>
  <si>
    <t>ORD0208</t>
  </si>
  <si>
    <t>2023-11-27</t>
  </si>
  <si>
    <t>CUST117</t>
  </si>
  <si>
    <t>ORD0209</t>
  </si>
  <si>
    <t>2023-06-08</t>
  </si>
  <si>
    <t>CUST218</t>
  </si>
  <si>
    <t>ORD0210</t>
  </si>
  <si>
    <t>ORD0211</t>
  </si>
  <si>
    <t>CUST293</t>
  </si>
  <si>
    <t>ORD0212</t>
  </si>
  <si>
    <t>ORD0213</t>
  </si>
  <si>
    <t>2023-08-02</t>
  </si>
  <si>
    <t>CUST283</t>
  </si>
  <si>
    <t>ORD0214</t>
  </si>
  <si>
    <t>ORD0215</t>
  </si>
  <si>
    <t>ORD0216</t>
  </si>
  <si>
    <t>ORD0217</t>
  </si>
  <si>
    <t>CUST285</t>
  </si>
  <si>
    <t>ORD0218</t>
  </si>
  <si>
    <t>2023-03-24</t>
  </si>
  <si>
    <t>CUST014</t>
  </si>
  <si>
    <t>ORD0219</t>
  </si>
  <si>
    <t>2023-09-25</t>
  </si>
  <si>
    <t>CUST010</t>
  </si>
  <si>
    <t>ORD0220</t>
  </si>
  <si>
    <t>2023-03-13</t>
  </si>
  <si>
    <t>CUST118</t>
  </si>
  <si>
    <t>ORD0221</t>
  </si>
  <si>
    <t>2023-08-06</t>
  </si>
  <si>
    <t>ORD0222</t>
  </si>
  <si>
    <t>ORD0223</t>
  </si>
  <si>
    <t>ORD0224</t>
  </si>
  <si>
    <t>2023-02-03</t>
  </si>
  <si>
    <t>ORD0225</t>
  </si>
  <si>
    <t>ORD0226</t>
  </si>
  <si>
    <t>2023-09-20</t>
  </si>
  <si>
    <t>ORD0227</t>
  </si>
  <si>
    <t>ORD0228</t>
  </si>
  <si>
    <t>CUST062</t>
  </si>
  <si>
    <t>ORD0229</t>
  </si>
  <si>
    <t>CUST144</t>
  </si>
  <si>
    <t>ORD0230</t>
  </si>
  <si>
    <t>2023-07-01</t>
  </si>
  <si>
    <t>ORD0231</t>
  </si>
  <si>
    <t>2023-10-01</t>
  </si>
  <si>
    <t>ORD0232</t>
  </si>
  <si>
    <t>2023-10-29</t>
  </si>
  <si>
    <t>CUST013</t>
  </si>
  <si>
    <t>ORD0233</t>
  </si>
  <si>
    <t>2023-10-12</t>
  </si>
  <si>
    <t>ORD0234</t>
  </si>
  <si>
    <t>ORD0235</t>
  </si>
  <si>
    <t>2023-02-12</t>
  </si>
  <si>
    <t>ORD0236</t>
  </si>
  <si>
    <t>ORD0237</t>
  </si>
  <si>
    <t>2023-10-27</t>
  </si>
  <si>
    <t>ORD0238</t>
  </si>
  <si>
    <t>ORD0239</t>
  </si>
  <si>
    <t>ORD0240</t>
  </si>
  <si>
    <t>CUST255</t>
  </si>
  <si>
    <t>ORD0241</t>
  </si>
  <si>
    <t>ORD0242</t>
  </si>
  <si>
    <t>ORD0243</t>
  </si>
  <si>
    <t>2023-03-30</t>
  </si>
  <si>
    <t>ORD0244</t>
  </si>
  <si>
    <t>2023-04-30</t>
  </si>
  <si>
    <t>ORD0245</t>
  </si>
  <si>
    <t>ORD0246</t>
  </si>
  <si>
    <t>2023-10-08</t>
  </si>
  <si>
    <t>CUST230</t>
  </si>
  <si>
    <t>ORD0247</t>
  </si>
  <si>
    <t>2023-02-01</t>
  </si>
  <si>
    <t>ORD0248</t>
  </si>
  <si>
    <t>2023-04-16</t>
  </si>
  <si>
    <t>ORD0249</t>
  </si>
  <si>
    <t>ORD0250</t>
  </si>
  <si>
    <t>CUST089</t>
  </si>
  <si>
    <t>ORD0251</t>
  </si>
  <si>
    <t>CUST292</t>
  </si>
  <si>
    <t>ORD0252</t>
  </si>
  <si>
    <t>ORD0253</t>
  </si>
  <si>
    <t>2023-12-26</t>
  </si>
  <si>
    <t>CUST270</t>
  </si>
  <si>
    <t>ORD0254</t>
  </si>
  <si>
    <t>2023-11-09</t>
  </si>
  <si>
    <t>CUST126</t>
  </si>
  <si>
    <t>ORD0255</t>
  </si>
  <si>
    <t>2023-04-23</t>
  </si>
  <si>
    <t>ORD0256</t>
  </si>
  <si>
    <t>ORD0257</t>
  </si>
  <si>
    <t>ORD0258</t>
  </si>
  <si>
    <t>CUST203</t>
  </si>
  <si>
    <t>ORD0259</t>
  </si>
  <si>
    <t>ORD0260</t>
  </si>
  <si>
    <t>ORD0261</t>
  </si>
  <si>
    <t>2023-11-21</t>
  </si>
  <si>
    <t>ORD0262</t>
  </si>
  <si>
    <t>2023-07-20</t>
  </si>
  <si>
    <t>ORD0263</t>
  </si>
  <si>
    <t>CUST021</t>
  </si>
  <si>
    <t>ORD0264</t>
  </si>
  <si>
    <t>2023-02-18</t>
  </si>
  <si>
    <t>CUST237</t>
  </si>
  <si>
    <t>ORD0265</t>
  </si>
  <si>
    <t>ORD0266</t>
  </si>
  <si>
    <t>CUST289</t>
  </si>
  <si>
    <t>ORD0267</t>
  </si>
  <si>
    <t>2023-09-13</t>
  </si>
  <si>
    <t>CUST265</t>
  </si>
  <si>
    <t>ORD0268</t>
  </si>
  <si>
    <t>CUST196</t>
  </si>
  <si>
    <t>ORD0269</t>
  </si>
  <si>
    <t>2023-06-24</t>
  </si>
  <si>
    <t>CUST241</t>
  </si>
  <si>
    <t>ORD0270</t>
  </si>
  <si>
    <t>2023-02-08</t>
  </si>
  <si>
    <t>ORD0271</t>
  </si>
  <si>
    <t>2023-01-29</t>
  </si>
  <si>
    <t>CUST169</t>
  </si>
  <si>
    <t>ORD0272</t>
  </si>
  <si>
    <t>CUST079</t>
  </si>
  <si>
    <t>ORD0273</t>
  </si>
  <si>
    <t>2023-12-16</t>
  </si>
  <si>
    <t>ORD0274</t>
  </si>
  <si>
    <t>2023-03-14</t>
  </si>
  <si>
    <t>CUST096</t>
  </si>
  <si>
    <t>ORD0275</t>
  </si>
  <si>
    <t>2023-03-16</t>
  </si>
  <si>
    <t>CUST116</t>
  </si>
  <si>
    <t>ORD0276</t>
  </si>
  <si>
    <t>ORD0277</t>
  </si>
  <si>
    <t>2023-04-13</t>
  </si>
  <si>
    <t>CUST260</t>
  </si>
  <si>
    <t>ORD0278</t>
  </si>
  <si>
    <t>2023-10-07</t>
  </si>
  <si>
    <t>ORD0279</t>
  </si>
  <si>
    <t>ORD0280</t>
  </si>
  <si>
    <t>2023-08-31</t>
  </si>
  <si>
    <t>ORD0281</t>
  </si>
  <si>
    <t>ORD0282</t>
  </si>
  <si>
    <t>CUST254</t>
  </si>
  <si>
    <t>ORD0283</t>
  </si>
  <si>
    <t>CUST032</t>
  </si>
  <si>
    <t>ORD0284</t>
  </si>
  <si>
    <t>ORD0285</t>
  </si>
  <si>
    <t>ORD0286</t>
  </si>
  <si>
    <t>2023-10-23</t>
  </si>
  <si>
    <t>ORD0287</t>
  </si>
  <si>
    <t>CUST271</t>
  </si>
  <si>
    <t>ORD0288</t>
  </si>
  <si>
    <t>CUST158</t>
  </si>
  <si>
    <t>ORD0289</t>
  </si>
  <si>
    <t>ORD0290</t>
  </si>
  <si>
    <t>ORD0291</t>
  </si>
  <si>
    <t>2023-11-20</t>
  </si>
  <si>
    <t>CUST039</t>
  </si>
  <si>
    <t>ORD0292</t>
  </si>
  <si>
    <t>2023-01-26</t>
  </si>
  <si>
    <t>ORD0293</t>
  </si>
  <si>
    <t>CUST179</t>
  </si>
  <si>
    <t>ORD0294</t>
  </si>
  <si>
    <t>CUST291</t>
  </si>
  <si>
    <t>ORD0295</t>
  </si>
  <si>
    <t>CUST145</t>
  </si>
  <si>
    <t>ORD0296</t>
  </si>
  <si>
    <t>ORD0297</t>
  </si>
  <si>
    <t>2023-05-26</t>
  </si>
  <si>
    <t>ORD0298</t>
  </si>
  <si>
    <t>ORD0299</t>
  </si>
  <si>
    <t>CUST148</t>
  </si>
  <si>
    <t>ORD0300</t>
  </si>
  <si>
    <t>CUST072</t>
  </si>
  <si>
    <t>ORD0301</t>
  </si>
  <si>
    <t>2023-09-04</t>
  </si>
  <si>
    <t>ORD0302</t>
  </si>
  <si>
    <t>2023-08-30</t>
  </si>
  <si>
    <t>ORD0303</t>
  </si>
  <si>
    <t>ORD0304</t>
  </si>
  <si>
    <t>2023-12-29</t>
  </si>
  <si>
    <t>CUST171</t>
  </si>
  <si>
    <t>ORD0305</t>
  </si>
  <si>
    <t>2023-09-14</t>
  </si>
  <si>
    <t>CUST248</t>
  </si>
  <si>
    <t>ORD0306</t>
  </si>
  <si>
    <t>2023-05-31</t>
  </si>
  <si>
    <t>ORD0307</t>
  </si>
  <si>
    <t>ORD0308</t>
  </si>
  <si>
    <t>2023-02-05</t>
  </si>
  <si>
    <t>ORD0309</t>
  </si>
  <si>
    <t>2023-07-31</t>
  </si>
  <si>
    <t>ORD0310</t>
  </si>
  <si>
    <t>ORD0311</t>
  </si>
  <si>
    <t>2023-07-04</t>
  </si>
  <si>
    <t>CUST119</t>
  </si>
  <si>
    <t>ORD0312</t>
  </si>
  <si>
    <t>ORD0313</t>
  </si>
  <si>
    <t>2023-01-17</t>
  </si>
  <si>
    <t>ORD0314</t>
  </si>
  <si>
    <t>CUST227</t>
  </si>
  <si>
    <t>ORD0315</t>
  </si>
  <si>
    <t>2023-06-23</t>
  </si>
  <si>
    <t>ORD0316</t>
  </si>
  <si>
    <t>2023-05-21</t>
  </si>
  <si>
    <t>ORD0317</t>
  </si>
  <si>
    <t>ORD0318</t>
  </si>
  <si>
    <t>CUST155</t>
  </si>
  <si>
    <t>ORD0319</t>
  </si>
  <si>
    <t>2023-09-30</t>
  </si>
  <si>
    <t>CUST003</t>
  </si>
  <si>
    <t>ORD0320</t>
  </si>
  <si>
    <t>2023-08-21</t>
  </si>
  <si>
    <t>ORD0321</t>
  </si>
  <si>
    <t>ORD0322</t>
  </si>
  <si>
    <t>ORD0323</t>
  </si>
  <si>
    <t>2023-09-21</t>
  </si>
  <si>
    <t>CUST205</t>
  </si>
  <si>
    <t>ORD0324</t>
  </si>
  <si>
    <t>ORD0325</t>
  </si>
  <si>
    <t>ORD0326</t>
  </si>
  <si>
    <t>2023-01-22</t>
  </si>
  <si>
    <t>ORD0327</t>
  </si>
  <si>
    <t>CUST025</t>
  </si>
  <si>
    <t>ORD0328</t>
  </si>
  <si>
    <t>2023-01-11</t>
  </si>
  <si>
    <t>ORD0329</t>
  </si>
  <si>
    <t>ORD0330</t>
  </si>
  <si>
    <t>2023-10-15</t>
  </si>
  <si>
    <t>CUST266</t>
  </si>
  <si>
    <t>ORD0331</t>
  </si>
  <si>
    <t>2023-01-14</t>
  </si>
  <si>
    <t>CUST166</t>
  </si>
  <si>
    <t>ORD0332</t>
  </si>
  <si>
    <t>ORD0333</t>
  </si>
  <si>
    <t>ORD0334</t>
  </si>
  <si>
    <t>ORD0335</t>
  </si>
  <si>
    <t>ORD0336</t>
  </si>
  <si>
    <t>ORD0337</t>
  </si>
  <si>
    <t>2023-05-22</t>
  </si>
  <si>
    <t>ORD0338</t>
  </si>
  <si>
    <t>ORD0339</t>
  </si>
  <si>
    <t>2023-08-13</t>
  </si>
  <si>
    <t>CUST204</t>
  </si>
  <si>
    <t>ORD0340</t>
  </si>
  <si>
    <t>ORD0341</t>
  </si>
  <si>
    <t>CUST210</t>
  </si>
  <si>
    <t>ORD0342</t>
  </si>
  <si>
    <t>ORD0343</t>
  </si>
  <si>
    <t>2023-05-13</t>
  </si>
  <si>
    <t>ORD0344</t>
  </si>
  <si>
    <t>ORD0345</t>
  </si>
  <si>
    <t>2023-04-24</t>
  </si>
  <si>
    <t>CUST181</t>
  </si>
  <si>
    <t>ORD0346</t>
  </si>
  <si>
    <t>ORD0347</t>
  </si>
  <si>
    <t>CUST050</t>
  </si>
  <si>
    <t>ORD0348</t>
  </si>
  <si>
    <t>ORD0349</t>
  </si>
  <si>
    <t>ORD0350</t>
  </si>
  <si>
    <t>2023-01-09</t>
  </si>
  <si>
    <t>ORD0351</t>
  </si>
  <si>
    <t>2023-12-14</t>
  </si>
  <si>
    <t>ORD0352</t>
  </si>
  <si>
    <t>ORD0353</t>
  </si>
  <si>
    <t>2023-05-19</t>
  </si>
  <si>
    <t>CUST088</t>
  </si>
  <si>
    <t>ORD0354</t>
  </si>
  <si>
    <t>2023-06-02</t>
  </si>
  <si>
    <t>ORD0355</t>
  </si>
  <si>
    <t>CUST106</t>
  </si>
  <si>
    <t>ORD0356</t>
  </si>
  <si>
    <t>CUST002</t>
  </si>
  <si>
    <t>ORD0357</t>
  </si>
  <si>
    <t>ORD0358</t>
  </si>
  <si>
    <t>ORD0359</t>
  </si>
  <si>
    <t>ORD0360</t>
  </si>
  <si>
    <t>2023-02-25</t>
  </si>
  <si>
    <t>CUST038</t>
  </si>
  <si>
    <t>ORD0361</t>
  </si>
  <si>
    <t>ORD0362</t>
  </si>
  <si>
    <t>ORD0363</t>
  </si>
  <si>
    <t>2023-11-30</t>
  </si>
  <si>
    <t>ORD0364</t>
  </si>
  <si>
    <t>CUST124</t>
  </si>
  <si>
    <t>ORD0365</t>
  </si>
  <si>
    <t>2023-04-10</t>
  </si>
  <si>
    <t>ORD0366</t>
  </si>
  <si>
    <t>CUST284</t>
  </si>
  <si>
    <t>ORD0367</t>
  </si>
  <si>
    <t>CUST147</t>
  </si>
  <si>
    <t>ORD0368</t>
  </si>
  <si>
    <t>2023-12-19</t>
  </si>
  <si>
    <t>ORD0369</t>
  </si>
  <si>
    <t>ORD0370</t>
  </si>
  <si>
    <t>2023-03-29</t>
  </si>
  <si>
    <t>ORD0371</t>
  </si>
  <si>
    <t>CUST180</t>
  </si>
  <si>
    <t>ORD0372</t>
  </si>
  <si>
    <t>ORD0373</t>
  </si>
  <si>
    <t>2023-09-05</t>
  </si>
  <si>
    <t>CUST279</t>
  </si>
  <si>
    <t>ORD0374</t>
  </si>
  <si>
    <t>ORD0375</t>
  </si>
  <si>
    <t>2023-07-21</t>
  </si>
  <si>
    <t>ORD0376</t>
  </si>
  <si>
    <t>2023-07-05</t>
  </si>
  <si>
    <t>ORD0377</t>
  </si>
  <si>
    <t>2023-11-15</t>
  </si>
  <si>
    <t>ORD0378</t>
  </si>
  <si>
    <t>CUST045</t>
  </si>
  <si>
    <t>ORD0379</t>
  </si>
  <si>
    <t>CUST154</t>
  </si>
  <si>
    <t>ORD0380</t>
  </si>
  <si>
    <t>CUST199</t>
  </si>
  <si>
    <t>ORD0381</t>
  </si>
  <si>
    <t>ORD0382</t>
  </si>
  <si>
    <t>ORD0383</t>
  </si>
  <si>
    <t>2023-11-13</t>
  </si>
  <si>
    <t>ORD0384</t>
  </si>
  <si>
    <t>ORD0385</t>
  </si>
  <si>
    <t>ORD0386</t>
  </si>
  <si>
    <t>ORD0387</t>
  </si>
  <si>
    <t>2023-10-20</t>
  </si>
  <si>
    <t>CUST076</t>
  </si>
  <si>
    <t>ORD0388</t>
  </si>
  <si>
    <t>2023-11-24</t>
  </si>
  <si>
    <t>ORD0389</t>
  </si>
  <si>
    <t>2023-05-20</t>
  </si>
  <si>
    <t>ORD0390</t>
  </si>
  <si>
    <t>CUST150</t>
  </si>
  <si>
    <t>ORD0391</t>
  </si>
  <si>
    <t>CUST120</t>
  </si>
  <si>
    <t>ORD0392</t>
  </si>
  <si>
    <t>CUST178</t>
  </si>
  <si>
    <t>ORD0393</t>
  </si>
  <si>
    <t>ORD0394</t>
  </si>
  <si>
    <t>ORD0395</t>
  </si>
  <si>
    <t>ORD0396</t>
  </si>
  <si>
    <t>ORD0397</t>
  </si>
  <si>
    <t>ORD0398</t>
  </si>
  <si>
    <t>2023-12-17</t>
  </si>
  <si>
    <t>ORD0399</t>
  </si>
  <si>
    <t>ORD0400</t>
  </si>
  <si>
    <t>ORD0401</t>
  </si>
  <si>
    <t>2023-10-04</t>
  </si>
  <si>
    <t>ORD0402</t>
  </si>
  <si>
    <t>2023-12-31</t>
  </si>
  <si>
    <t>ORD0403</t>
  </si>
  <si>
    <t>2023-03-17</t>
  </si>
  <si>
    <t>ORD0404</t>
  </si>
  <si>
    <t>CUST016</t>
  </si>
  <si>
    <t>ORD0405</t>
  </si>
  <si>
    <t>2023-01-04</t>
  </si>
  <si>
    <t>CUST215</t>
  </si>
  <si>
    <t>ORD0406</t>
  </si>
  <si>
    <t>2023-06-14</t>
  </si>
  <si>
    <t>ORD0407</t>
  </si>
  <si>
    <t>2023-07-18</t>
  </si>
  <si>
    <t>ORD0408</t>
  </si>
  <si>
    <t>ORD0409</t>
  </si>
  <si>
    <t>ORD0410</t>
  </si>
  <si>
    <t>ORD0411</t>
  </si>
  <si>
    <t>ORD0412</t>
  </si>
  <si>
    <t>ORD0413</t>
  </si>
  <si>
    <t>CUST053</t>
  </si>
  <si>
    <t>ORD0414</t>
  </si>
  <si>
    <t>CUST246</t>
  </si>
  <si>
    <t>ORD0415</t>
  </si>
  <si>
    <t>ORD0416</t>
  </si>
  <si>
    <t>CUST300</t>
  </si>
  <si>
    <t>ORD0417</t>
  </si>
  <si>
    <t>ORD0418</t>
  </si>
  <si>
    <t>CUST113</t>
  </si>
  <si>
    <t>ORD0419</t>
  </si>
  <si>
    <t>ORD0420</t>
  </si>
  <si>
    <t>CUST034</t>
  </si>
  <si>
    <t>ORD0421</t>
  </si>
  <si>
    <t>ORD0422</t>
  </si>
  <si>
    <t>ORD0423</t>
  </si>
  <si>
    <t>2023-04-15</t>
  </si>
  <si>
    <t>ORD0424</t>
  </si>
  <si>
    <t>ORD0425</t>
  </si>
  <si>
    <t>CUST273</t>
  </si>
  <si>
    <t>ORD0426</t>
  </si>
  <si>
    <t>ORD0427</t>
  </si>
  <si>
    <t>ORD0428</t>
  </si>
  <si>
    <t>ORD0429</t>
  </si>
  <si>
    <t>CUST132</t>
  </si>
  <si>
    <t>ORD0430</t>
  </si>
  <si>
    <t>ORD0431</t>
  </si>
  <si>
    <t>ORD0432</t>
  </si>
  <si>
    <t>2023-06-12</t>
  </si>
  <si>
    <t>ORD0433</t>
  </si>
  <si>
    <t>CUST220</t>
  </si>
  <si>
    <t>ORD0434</t>
  </si>
  <si>
    <t>ORD0435</t>
  </si>
  <si>
    <t>CUST036</t>
  </si>
  <si>
    <t>ORD0436</t>
  </si>
  <si>
    <t>ORD0437</t>
  </si>
  <si>
    <t>ORD0438</t>
  </si>
  <si>
    <t>2023-09-17</t>
  </si>
  <si>
    <t>ORD0439</t>
  </si>
  <si>
    <t>ORD0440</t>
  </si>
  <si>
    <t>ORD0441</t>
  </si>
  <si>
    <t>ORD0442</t>
  </si>
  <si>
    <t>ORD0443</t>
  </si>
  <si>
    <t>CUST015</t>
  </si>
  <si>
    <t>ORD0444</t>
  </si>
  <si>
    <t>ORD0445</t>
  </si>
  <si>
    <t>2023-04-04</t>
  </si>
  <si>
    <t>ORD0446</t>
  </si>
  <si>
    <t>CUST128</t>
  </si>
  <si>
    <t>ORD0447</t>
  </si>
  <si>
    <t>2023-04-08</t>
  </si>
  <si>
    <t>ORD0448</t>
  </si>
  <si>
    <t>ORD0449</t>
  </si>
  <si>
    <t>2023-10-03</t>
  </si>
  <si>
    <t>ORD0450</t>
  </si>
  <si>
    <t>ORD0451</t>
  </si>
  <si>
    <t>CUST080</t>
  </si>
  <si>
    <t>ORD0452</t>
  </si>
  <si>
    <t>ORD0453</t>
  </si>
  <si>
    <t>ORD0454</t>
  </si>
  <si>
    <t>ORD0455</t>
  </si>
  <si>
    <t>ORD0456</t>
  </si>
  <si>
    <t>2023-08-16</t>
  </si>
  <si>
    <t>ORD0457</t>
  </si>
  <si>
    <t>2023-03-09</t>
  </si>
  <si>
    <t>CUST091</t>
  </si>
  <si>
    <t>ORD0458</t>
  </si>
  <si>
    <t>ORD0459</t>
  </si>
  <si>
    <t>2023-06-06</t>
  </si>
  <si>
    <t>ORD0460</t>
  </si>
  <si>
    <t>ORD0461</t>
  </si>
  <si>
    <t>CUST157</t>
  </si>
  <si>
    <t>ORD0462</t>
  </si>
  <si>
    <t>2023-09-09</t>
  </si>
  <si>
    <t>ORD0463</t>
  </si>
  <si>
    <t>2023-01-06</t>
  </si>
  <si>
    <t>ORD0464</t>
  </si>
  <si>
    <t>2023-08-15</t>
  </si>
  <si>
    <t>ORD0465</t>
  </si>
  <si>
    <t>2023-03-19</t>
  </si>
  <si>
    <t>ORD0466</t>
  </si>
  <si>
    <t>ORD0467</t>
  </si>
  <si>
    <t>CUST274</t>
  </si>
  <si>
    <t>ORD0468</t>
  </si>
  <si>
    <t>CUST044</t>
  </si>
  <si>
    <t>ORD0469</t>
  </si>
  <si>
    <t>2023-04-01</t>
  </si>
  <si>
    <t>CUST125</t>
  </si>
  <si>
    <t>ORD0470</t>
  </si>
  <si>
    <t>ORD0471</t>
  </si>
  <si>
    <t>ORD0472</t>
  </si>
  <si>
    <t>2023-04-19</t>
  </si>
  <si>
    <t>CUST236</t>
  </si>
  <si>
    <t>ORD0473</t>
  </si>
  <si>
    <t>ORD0474</t>
  </si>
  <si>
    <t>ORD0475</t>
  </si>
  <si>
    <t>CUST183</t>
  </si>
  <si>
    <t>ORD0476</t>
  </si>
  <si>
    <t>ORD0477</t>
  </si>
  <si>
    <t>ORD0478</t>
  </si>
  <si>
    <t>ORD0479</t>
  </si>
  <si>
    <t>ORD0480</t>
  </si>
  <si>
    <t>2023-05-12</t>
  </si>
  <si>
    <t>ORD0481</t>
  </si>
  <si>
    <t>ORD0482</t>
  </si>
  <si>
    <t>ORD0483</t>
  </si>
  <si>
    <t>2023-05-29</t>
  </si>
  <si>
    <t>ORD0484</t>
  </si>
  <si>
    <t>ORD0485</t>
  </si>
  <si>
    <t>2023-07-24</t>
  </si>
  <si>
    <t>ORD0486</t>
  </si>
  <si>
    <t>ORD0487</t>
  </si>
  <si>
    <t>ORD0488</t>
  </si>
  <si>
    <t>2023-10-06</t>
  </si>
  <si>
    <t>ORD0489</t>
  </si>
  <si>
    <t>2023-02-10</t>
  </si>
  <si>
    <t>ORD0490</t>
  </si>
  <si>
    <t>CUST251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</si>
  <si>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</si>
  <si>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</si>
  <si>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</si>
  <si>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</si>
  <si>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</si>
  <si>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</si>
  <si>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</si>
  <si>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</si>
  <si>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</si>
  <si>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2023-10-05</t>
  </si>
  <si>
    <t>ORD0500</t>
  </si>
  <si>
    <t>CUST173</t>
  </si>
  <si>
    <t>ORD0501</t>
  </si>
  <si>
    <t>ORD0502</t>
  </si>
  <si>
    <t>ORD0503</t>
  </si>
  <si>
    <t>2023-04-22</t>
  </si>
  <si>
    <t>ORD0504</t>
  </si>
  <si>
    <t>CUST070</t>
  </si>
  <si>
    <t>ORD0505</t>
  </si>
  <si>
    <t>2023-08-17</t>
  </si>
  <si>
    <t>CUST287</t>
  </si>
  <si>
    <t>ORD0506</t>
  </si>
  <si>
    <t>2023-03-15</t>
  </si>
  <si>
    <t>ORD0507</t>
  </si>
  <si>
    <t>ORD0508</t>
  </si>
  <si>
    <t>ORD0509</t>
  </si>
  <si>
    <t>ORD0510</t>
  </si>
  <si>
    <t>CUST187</t>
  </si>
  <si>
    <t>ORD0511</t>
  </si>
  <si>
    <t>ORD0512</t>
  </si>
  <si>
    <t>ORD0513</t>
  </si>
  <si>
    <t>2023-05-16</t>
  </si>
  <si>
    <t>ORD0514</t>
  </si>
  <si>
    <t>ORD0515</t>
  </si>
  <si>
    <t>ORD0516</t>
  </si>
  <si>
    <t>ORD0517</t>
  </si>
  <si>
    <t>ORD0518</t>
  </si>
  <si>
    <t>ORD0519</t>
  </si>
  <si>
    <t>2023-03-06</t>
  </si>
  <si>
    <t>ORD0520</t>
  </si>
  <si>
    <t>ORD0521</t>
  </si>
  <si>
    <t>ORD0522</t>
  </si>
  <si>
    <t>2023-04-06</t>
  </si>
  <si>
    <t>ORD0523</t>
  </si>
  <si>
    <t>ORD0524</t>
  </si>
  <si>
    <t>CUST008</t>
  </si>
  <si>
    <t>ORD0525</t>
  </si>
  <si>
    <t>2023-06-03</t>
  </si>
  <si>
    <t>ORD0526</t>
  </si>
  <si>
    <t>2023-02-07</t>
  </si>
  <si>
    <t>CUST055</t>
  </si>
  <si>
    <t>ORD0527</t>
  </si>
  <si>
    <t>ORD0528</t>
  </si>
  <si>
    <t>2023-01-13</t>
  </si>
  <si>
    <t>ORD0529</t>
  </si>
  <si>
    <t>ORD0530</t>
  </si>
  <si>
    <t>ORD0531</t>
  </si>
  <si>
    <t>2023-02-17</t>
  </si>
  <si>
    <t>CUST087</t>
  </si>
  <si>
    <t>ORD0532</t>
  </si>
  <si>
    <t>2023-05-01</t>
  </si>
  <si>
    <t>ORD0533</t>
  </si>
  <si>
    <t>ORD0534</t>
  </si>
  <si>
    <t>ORD0535</t>
  </si>
  <si>
    <t>ORD0536</t>
  </si>
  <si>
    <t>ORD0537</t>
  </si>
  <si>
    <t>ORD0538</t>
  </si>
  <si>
    <t>ORD0539</t>
  </si>
  <si>
    <t>2023-10-22</t>
  </si>
  <si>
    <t>ORD0540</t>
  </si>
  <si>
    <t>ORD0541</t>
  </si>
  <si>
    <t>ORD0542</t>
  </si>
  <si>
    <t>ORD0543</t>
  </si>
  <si>
    <t>ORD0544</t>
  </si>
  <si>
    <t>ORD0545</t>
  </si>
  <si>
    <t>ORD0546</t>
  </si>
  <si>
    <t>2023-08-27</t>
  </si>
  <si>
    <t>ORD0547</t>
  </si>
  <si>
    <t>ORD0548</t>
  </si>
  <si>
    <t>2023-08-10</t>
  </si>
  <si>
    <t>ORD0549</t>
  </si>
  <si>
    <t>ORD0550</t>
  </si>
  <si>
    <t>ORD0551</t>
  </si>
  <si>
    <t>ORD0552</t>
  </si>
  <si>
    <t>2023-03-31</t>
  </si>
  <si>
    <t>ORD0553</t>
  </si>
  <si>
    <t>ORD0554</t>
  </si>
  <si>
    <t>ORD0555</t>
  </si>
  <si>
    <t>ORD0556</t>
  </si>
  <si>
    <t>ORD0557</t>
  </si>
  <si>
    <t>2023-03-07</t>
  </si>
  <si>
    <t>ORD0558</t>
  </si>
  <si>
    <t>2024-01-01</t>
  </si>
  <si>
    <t>ORD0559</t>
  </si>
  <si>
    <t>CUST130</t>
  </si>
  <si>
    <t>ORD0560</t>
  </si>
  <si>
    <t>CUST075</t>
  </si>
  <si>
    <t>ORD0561</t>
  </si>
  <si>
    <t>ORD0562</t>
  </si>
  <si>
    <t>2023-06-11</t>
  </si>
  <si>
    <t>CUST296</t>
  </si>
  <si>
    <t>ORD0563</t>
  </si>
  <si>
    <t>ORD0564</t>
  </si>
  <si>
    <t>CUST193</t>
  </si>
  <si>
    <t>ORD0565</t>
  </si>
  <si>
    <t>ORD0566</t>
  </si>
  <si>
    <t>ORD0567</t>
  </si>
  <si>
    <t>2023-12-04</t>
  </si>
  <si>
    <t>ORD0568</t>
  </si>
  <si>
    <t>ORD0569</t>
  </si>
  <si>
    <t>ORD0570</t>
  </si>
  <si>
    <t>ORD0571</t>
  </si>
  <si>
    <t>ORD0572</t>
  </si>
  <si>
    <t>ORD0573</t>
  </si>
  <si>
    <t>2023-01-12</t>
  </si>
  <si>
    <t>ORD0574</t>
  </si>
  <si>
    <t>2023-02-13</t>
  </si>
  <si>
    <t>ORD0575</t>
  </si>
  <si>
    <t>ORD0576</t>
  </si>
  <si>
    <t>ORD0577</t>
  </si>
  <si>
    <t>ORD0578</t>
  </si>
  <si>
    <t>2023-03-20</t>
  </si>
  <si>
    <t>ORD0579</t>
  </si>
  <si>
    <t>2023-07-14</t>
  </si>
  <si>
    <t>ORD0580</t>
  </si>
  <si>
    <t>ORD0581</t>
  </si>
  <si>
    <t>ORD0582</t>
  </si>
  <si>
    <t>ORD0583</t>
  </si>
  <si>
    <t>ORD0584</t>
  </si>
  <si>
    <t>ORD0585</t>
  </si>
  <si>
    <t>ORD0586</t>
  </si>
  <si>
    <t>CUST097</t>
  </si>
  <si>
    <t>ORD0587</t>
  </si>
  <si>
    <t>2023-08-05</t>
  </si>
  <si>
    <t>ORD0588</t>
  </si>
  <si>
    <t>ORD0589</t>
  </si>
  <si>
    <t>ORD0590</t>
  </si>
  <si>
    <t>ORD0591</t>
  </si>
  <si>
    <t>ORD0592</t>
  </si>
  <si>
    <t>2023-06-15</t>
  </si>
  <si>
    <t>ORD0593</t>
  </si>
  <si>
    <t>ORD0594</t>
  </si>
  <si>
    <t>ORD0595</t>
  </si>
  <si>
    <t>ORD0596</t>
  </si>
  <si>
    <t>ORD0597</t>
  </si>
  <si>
    <t>ORD0598</t>
  </si>
  <si>
    <t>2023-09-24</t>
  </si>
  <si>
    <t>ORD0599</t>
  </si>
  <si>
    <t>ORD0600</t>
  </si>
  <si>
    <t>CUST172</t>
  </si>
  <si>
    <t>ORD0601</t>
  </si>
  <si>
    <t>CUST224</t>
  </si>
  <si>
    <t>ORD0602</t>
  </si>
  <si>
    <t>2023-07-25</t>
  </si>
  <si>
    <t>ORD0603</t>
  </si>
  <si>
    <t>ORD0604</t>
  </si>
  <si>
    <t>ORD0605</t>
  </si>
  <si>
    <t>ORD0606</t>
  </si>
  <si>
    <t>ORD0607</t>
  </si>
  <si>
    <t>ORD0608</t>
  </si>
  <si>
    <t>CUST012</t>
  </si>
  <si>
    <t>ORD0609</t>
  </si>
  <si>
    <t>ORD0610</t>
  </si>
  <si>
    <t>ORD0611</t>
  </si>
  <si>
    <t>2023-05-02</t>
  </si>
  <si>
    <t>ORD0612</t>
  </si>
  <si>
    <t>ORD0613</t>
  </si>
  <si>
    <t>ORD0614</t>
  </si>
  <si>
    <t>ORD0615</t>
  </si>
  <si>
    <t>2023-06-25</t>
  </si>
  <si>
    <t>ORD0616</t>
  </si>
  <si>
    <t>2023-09-03</t>
  </si>
  <si>
    <t>ORD0617</t>
  </si>
  <si>
    <t>CUST001</t>
  </si>
  <si>
    <t>ORD0618</t>
  </si>
  <si>
    <t>ORD0619</t>
  </si>
  <si>
    <t>ORD0620</t>
  </si>
  <si>
    <t>ORD0621</t>
  </si>
  <si>
    <t>CUST198</t>
  </si>
  <si>
    <t>ORD0622</t>
  </si>
  <si>
    <t>ORD0623</t>
  </si>
  <si>
    <t>2023-04-20</t>
  </si>
  <si>
    <t>ORD0624</t>
  </si>
  <si>
    <t>ORD0625</t>
  </si>
  <si>
    <t>2023-11-22</t>
  </si>
  <si>
    <t>ORD0626</t>
  </si>
  <si>
    <t>ORD0627</t>
  </si>
  <si>
    <t>ORD0628</t>
  </si>
  <si>
    <t>ORD0629</t>
  </si>
  <si>
    <t>ORD0630</t>
  </si>
  <si>
    <t>2023-11-17</t>
  </si>
  <si>
    <t>ORD0631</t>
  </si>
  <si>
    <t>ORD0632</t>
  </si>
  <si>
    <t>2023-12-02</t>
  </si>
  <si>
    <t>ORD0633</t>
  </si>
  <si>
    <t>ORD0634</t>
  </si>
  <si>
    <t>ORD0635</t>
  </si>
  <si>
    <t>CUST299</t>
  </si>
  <si>
    <t>ORD0636</t>
  </si>
  <si>
    <t>ORD0637</t>
  </si>
  <si>
    <t>2023-07-30</t>
  </si>
  <si>
    <t>ORD0638</t>
  </si>
  <si>
    <t>CUST082</t>
  </si>
  <si>
    <t>ORD0639</t>
  </si>
  <si>
    <t>ORD0640</t>
  </si>
  <si>
    <t>ORD0641</t>
  </si>
  <si>
    <t>ORD0642</t>
  </si>
  <si>
    <t>ORD0643</t>
  </si>
  <si>
    <t>2023-08-19</t>
  </si>
  <si>
    <t>ORD0644</t>
  </si>
  <si>
    <t>2023-11-06</t>
  </si>
  <si>
    <t>ORD0645</t>
  </si>
  <si>
    <t>2023-05-17</t>
  </si>
  <si>
    <t>CUST069</t>
  </si>
  <si>
    <t>ORD0646</t>
  </si>
  <si>
    <t>ORD0647</t>
  </si>
  <si>
    <t>ORD0648</t>
  </si>
  <si>
    <t>ORD0649</t>
  </si>
  <si>
    <t>ORD0650</t>
  </si>
  <si>
    <t>CUST114</t>
  </si>
  <si>
    <t>ORD0651</t>
  </si>
  <si>
    <t>ORD0652</t>
  </si>
  <si>
    <t>ORD0653</t>
  </si>
  <si>
    <t>ORD0654</t>
  </si>
  <si>
    <t>2023-06-18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</si>
  <si>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</si>
  <si>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</si>
  <si>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</si>
  <si>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</si>
  <si>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</si>
  <si>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</si>
  <si>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</si>
  <si>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</si>
  <si>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</si>
  <si>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</si>
  <si>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2023-01-08</t>
  </si>
  <si>
    <t>CUST093</t>
  </si>
  <si>
    <t>ORD0665</t>
  </si>
  <si>
    <t>2023-05-07</t>
  </si>
  <si>
    <t>ORD0666</t>
  </si>
  <si>
    <t>2023-07-09</t>
  </si>
  <si>
    <t>ORD0667</t>
  </si>
  <si>
    <t>ORD0668</t>
  </si>
  <si>
    <t>2023-04-18</t>
  </si>
  <si>
    <t>ORD0669</t>
  </si>
  <si>
    <t>ORD0670</t>
  </si>
  <si>
    <t>CUST065</t>
  </si>
  <si>
    <t>ORD0671</t>
  </si>
  <si>
    <t>CUST086</t>
  </si>
  <si>
    <t>ORD0672</t>
  </si>
  <si>
    <t>CUST084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</si>
  <si>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</si>
  <si>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</si>
  <si>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</si>
  <si>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</si>
  <si>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</si>
  <si>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</si>
  <si>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</si>
  <si>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</si>
  <si>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</si>
  <si>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</si>
  <si>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</si>
  <si>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</si>
  <si>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</si>
  <si>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</si>
  <si>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</si>
  <si>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CUST026</t>
  </si>
  <si>
    <t>ORD0688</t>
  </si>
  <si>
    <t>CUST275</t>
  </si>
  <si>
    <t>ORD0689</t>
  </si>
  <si>
    <t>ORD0690</t>
  </si>
  <si>
    <t>CUST234</t>
  </si>
  <si>
    <t>ORD0691</t>
  </si>
  <si>
    <t>2023-12-27</t>
  </si>
  <si>
    <t>ORD0692</t>
  </si>
  <si>
    <t>ORD0693</t>
  </si>
  <si>
    <t>ORD0694</t>
  </si>
  <si>
    <t>2023-01-05</t>
  </si>
  <si>
    <t>ORD0695</t>
  </si>
  <si>
    <t>ORD0696</t>
  </si>
  <si>
    <t>ORD0697</t>
  </si>
  <si>
    <t>ORD0698</t>
  </si>
  <si>
    <t>ORD0699</t>
  </si>
  <si>
    <t>ORD0700</t>
  </si>
  <si>
    <t>2023-08-11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</si>
  <si>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</si>
  <si>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</si>
  <si>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</si>
  <si>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</si>
  <si>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</si>
  <si>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</si>
  <si>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</si>
  <si>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</si>
  <si>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</si>
  <si>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2023-09-16</t>
  </si>
  <si>
    <t>ORD0710</t>
  </si>
  <si>
    <t>ORD0711</t>
  </si>
  <si>
    <t>ORD0712</t>
  </si>
  <si>
    <t>ORD0713</t>
  </si>
  <si>
    <t>ORD0714</t>
  </si>
  <si>
    <t>ORD0715</t>
  </si>
  <si>
    <t>CUST219</t>
  </si>
  <si>
    <t>ORD0716</t>
  </si>
  <si>
    <t>2023-02-20</t>
  </si>
  <si>
    <t>ORD0717</t>
  </si>
  <si>
    <t>ORD0718</t>
  </si>
  <si>
    <t>ORD0719</t>
  </si>
  <si>
    <t>ORD0720</t>
  </si>
  <si>
    <t>2023-03-18</t>
  </si>
  <si>
    <t>ORD0721</t>
  </si>
  <si>
    <t>CUST043</t>
  </si>
  <si>
    <t>ORD0722</t>
  </si>
  <si>
    <t>CUST081</t>
  </si>
  <si>
    <t>ORD0723</t>
  </si>
  <si>
    <t>ORD0724</t>
  </si>
  <si>
    <t>ORD0725</t>
  </si>
  <si>
    <t>ORD0726</t>
  </si>
  <si>
    <t>ORD0727</t>
  </si>
  <si>
    <t>ORD0728</t>
  </si>
  <si>
    <t>2023-08-03</t>
  </si>
  <si>
    <t>ORD0729</t>
  </si>
  <si>
    <t>ORD0730</t>
  </si>
  <si>
    <t>ORD0731</t>
  </si>
  <si>
    <t>ORD0732</t>
  </si>
  <si>
    <t>ORD0733</t>
  </si>
  <si>
    <t>2023-09-10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</si>
  <si>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</si>
  <si>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</si>
  <si>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</si>
  <si>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</si>
  <si>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</si>
  <si>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</si>
  <si>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</si>
  <si>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</si>
  <si>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</si>
  <si>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2023-11-08</t>
  </si>
  <si>
    <t>ORD0743</t>
  </si>
  <si>
    <t>ORD0744</t>
  </si>
  <si>
    <t>2023-01-24</t>
  </si>
  <si>
    <t>ORD0745</t>
  </si>
  <si>
    <t>ORD0746</t>
  </si>
  <si>
    <t>CUST133</t>
  </si>
  <si>
    <t>ORD0747</t>
  </si>
  <si>
    <t>ORD0748</t>
  </si>
  <si>
    <t>CUST223</t>
  </si>
  <si>
    <t>ORD0749</t>
  </si>
  <si>
    <t>ORD0750</t>
  </si>
  <si>
    <t>ORD0751</t>
  </si>
  <si>
    <t>ORD0752</t>
  </si>
  <si>
    <t>ORD0753</t>
  </si>
  <si>
    <t>ORD0754</t>
  </si>
  <si>
    <t>ORD0755</t>
  </si>
  <si>
    <t>2023-03-05</t>
  </si>
  <si>
    <t>ORD0756</t>
  </si>
  <si>
    <t>ORD0757</t>
  </si>
  <si>
    <t>ORD0758</t>
  </si>
  <si>
    <t>CUST090</t>
  </si>
  <si>
    <t>ORD0759</t>
  </si>
  <si>
    <t>ORD0760</t>
  </si>
  <si>
    <t>ORD0761</t>
  </si>
  <si>
    <t>ORD0762</t>
  </si>
  <si>
    <t>ORD0763</t>
  </si>
  <si>
    <t>ORD0764</t>
  </si>
  <si>
    <t>ORD0765</t>
  </si>
  <si>
    <t>2023-02-19</t>
  </si>
  <si>
    <t>ORD0766</t>
  </si>
  <si>
    <t>ORD0767</t>
  </si>
  <si>
    <t>2023-06-09</t>
  </si>
  <si>
    <t>ORD0768</t>
  </si>
  <si>
    <t>ORD0769</t>
  </si>
  <si>
    <t>ORD0770</t>
  </si>
  <si>
    <t>ORD0771</t>
  </si>
  <si>
    <t>2023-05-11</t>
  </si>
  <si>
    <t>ORD0772</t>
  </si>
  <si>
    <t>CUST228</t>
  </si>
  <si>
    <t>ORD0773</t>
  </si>
  <si>
    <t>ORD0774</t>
  </si>
  <si>
    <t>ORD0775</t>
  </si>
  <si>
    <t>ORD0776</t>
  </si>
  <si>
    <t>ORD0777</t>
  </si>
  <si>
    <t>2023-05-09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</si>
  <si>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</si>
  <si>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</si>
  <si>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</si>
  <si>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</si>
  <si>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</si>
  <si>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</si>
  <si>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</si>
  <si>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</si>
  <si>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</si>
  <si>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</si>
  <si>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2023-12-23</t>
  </si>
  <si>
    <t>ORD0788</t>
  </si>
  <si>
    <t>ORD0789</t>
  </si>
  <si>
    <t>ORD0790</t>
  </si>
  <si>
    <t>2023-09-02</t>
  </si>
  <si>
    <t>ORD0791</t>
  </si>
  <si>
    <t>ORD0792</t>
  </si>
  <si>
    <t>ORD0793</t>
  </si>
  <si>
    <t>ORD0794</t>
  </si>
  <si>
    <t>ORD0795</t>
  </si>
  <si>
    <t>2023-09-07</t>
  </si>
  <si>
    <t>ORD0796</t>
  </si>
  <si>
    <t>ORD0797</t>
  </si>
  <si>
    <t>ORD0798</t>
  </si>
  <si>
    <t>2023-03-10</t>
  </si>
  <si>
    <t>ORD0799</t>
  </si>
  <si>
    <t>ORD0800</t>
  </si>
  <si>
    <t>ORD0801</t>
  </si>
  <si>
    <t>ORD0802</t>
  </si>
  <si>
    <t>ORD0803</t>
  </si>
  <si>
    <t>ORD0804</t>
  </si>
  <si>
    <t>2023-12-09</t>
  </si>
  <si>
    <t>ORD0805</t>
  </si>
  <si>
    <t>CUST077</t>
  </si>
  <si>
    <t>ORD0806</t>
  </si>
  <si>
    <t>ORD0807</t>
  </si>
  <si>
    <t>ORD0808</t>
  </si>
  <si>
    <t>ORD0809</t>
  </si>
  <si>
    <t>2023-04-27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</si>
  <si>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</si>
  <si>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</si>
  <si>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</si>
  <si>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</si>
  <si>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</si>
  <si>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</si>
  <si>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</si>
  <si>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</si>
  <si>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</si>
  <si>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</si>
  <si>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</si>
  <si>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</si>
  <si>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</si>
  <si>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</si>
  <si>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</si>
  <si>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</si>
  <si>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</si>
  <si>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</si>
  <si>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</si>
  <si>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CUST212</t>
  </si>
  <si>
    <t>ORD0829</t>
  </si>
  <si>
    <t>ORD0830</t>
  </si>
  <si>
    <t>ORD0831</t>
  </si>
  <si>
    <t>ORD0832</t>
  </si>
  <si>
    <t>ORD0833</t>
  </si>
  <si>
    <t>ORD0834</t>
  </si>
  <si>
    <t>2023-02-15</t>
  </si>
  <si>
    <t>ORD0835</t>
  </si>
  <si>
    <t>2023-05-10</t>
  </si>
  <si>
    <t>ORD0836</t>
  </si>
  <si>
    <t>ORD0837</t>
  </si>
  <si>
    <t>ORD0838</t>
  </si>
  <si>
    <t>2023-09-01</t>
  </si>
  <si>
    <t>ORD0839</t>
  </si>
  <si>
    <t>2023-01-15</t>
  </si>
  <si>
    <t>ORD0840</t>
  </si>
  <si>
    <t>ORD0841</t>
  </si>
  <si>
    <t>ORD0842</t>
  </si>
  <si>
    <t>ORD0843</t>
  </si>
  <si>
    <t>2023-06-10</t>
  </si>
  <si>
    <t>CUST030</t>
  </si>
  <si>
    <t>ORD0844</t>
  </si>
  <si>
    <t>ORD0845</t>
  </si>
  <si>
    <t>ORD0846</t>
  </si>
  <si>
    <t>2023-01-23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</si>
  <si>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</si>
  <si>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</si>
  <si>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</si>
  <si>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</si>
  <si>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</si>
  <si>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</si>
  <si>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</si>
  <si>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</si>
  <si>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</si>
  <si>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2023-09-08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</si>
  <si>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</si>
  <si>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</si>
  <si>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</si>
  <si>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</si>
  <si>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</si>
  <si>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</si>
  <si>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</si>
  <si>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</si>
  <si>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</si>
  <si>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</si>
  <si>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</si>
  <si>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</si>
  <si>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</si>
  <si>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</si>
  <si>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</si>
  <si>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</si>
  <si>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</si>
  <si>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</si>
  <si>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</si>
  <si>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</si>
  <si>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</si>
  <si>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</si>
  <si>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</si>
  <si>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2023-10-17</t>
  </si>
  <si>
    <t>ORD0879</t>
  </si>
  <si>
    <t>ORD0880</t>
  </si>
  <si>
    <t>ORD0881</t>
  </si>
  <si>
    <t>2023-06-16</t>
  </si>
  <si>
    <t>ORD0882</t>
  </si>
  <si>
    <t>ORD0883</t>
  </si>
  <si>
    <t>ORD0884</t>
  </si>
  <si>
    <t>ORD0885</t>
  </si>
  <si>
    <t>ORD0886</t>
  </si>
  <si>
    <t>CUST297</t>
  </si>
  <si>
    <t>ORD0887</t>
  </si>
  <si>
    <t>CUST217</t>
  </si>
  <si>
    <t>ORD0888</t>
  </si>
  <si>
    <t>ORD0889</t>
  </si>
  <si>
    <t>ORD0890</t>
  </si>
  <si>
    <t>ORD0891</t>
  </si>
  <si>
    <t>2023-06-17</t>
  </si>
  <si>
    <t>ORD0892</t>
  </si>
  <si>
    <t>ORD0893</t>
  </si>
  <si>
    <t>ORD0894</t>
  </si>
  <si>
    <t>ORD0895</t>
  </si>
  <si>
    <t>ORD0896</t>
  </si>
  <si>
    <t>ORD0897</t>
  </si>
  <si>
    <t>2023-05-27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</si>
  <si>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</si>
  <si>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</si>
  <si>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</si>
  <si>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</si>
  <si>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</si>
  <si>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</si>
  <si>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</si>
  <si>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</si>
  <si>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CUST115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</si>
  <si>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</si>
  <si>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</si>
  <si>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</si>
  <si>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</si>
  <si>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</si>
  <si>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</si>
  <si>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</si>
  <si>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</si>
  <si>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</si>
  <si>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</si>
  <si>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</si>
  <si>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</si>
  <si>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</si>
  <si>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</si>
  <si>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</si>
  <si>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2023-02-09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</si>
  <si>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</si>
  <si>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</si>
  <si>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</si>
  <si>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</si>
  <si>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</si>
  <si>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</si>
  <si>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</si>
  <si>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</si>
  <si>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</si>
  <si>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</si>
  <si>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</si>
  <si>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</si>
  <si>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</si>
  <si>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</si>
  <si>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</si>
  <si>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</si>
  <si>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</si>
  <si>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</si>
  <si>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2023-08-25</t>
  </si>
  <si>
    <t>ORD0939</t>
  </si>
  <si>
    <t>CUST197</t>
  </si>
  <si>
    <t>ORD0940</t>
  </si>
  <si>
    <t>CUST140</t>
  </si>
  <si>
    <t>ORD0941</t>
  </si>
  <si>
    <t>ORD0942</t>
  </si>
  <si>
    <t>CUST004</t>
  </si>
  <si>
    <t>ORD0943</t>
  </si>
  <si>
    <t>2023-03-22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</si>
  <si>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</si>
  <si>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</si>
  <si>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</si>
  <si>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</si>
  <si>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</si>
  <si>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</si>
  <si>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</si>
  <si>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</si>
  <si>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</si>
  <si>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</si>
  <si>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</si>
  <si>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</si>
  <si>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CUST214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</si>
  <si>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</si>
  <si>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</si>
  <si>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</si>
  <si>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</si>
  <si>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</si>
  <si>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</si>
  <si>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</si>
  <si>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</si>
  <si>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</si>
  <si>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</si>
  <si>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CUST188</t>
  </si>
  <si>
    <t>ORD0966</t>
  </si>
  <si>
    <t>ORD0967</t>
  </si>
  <si>
    <t>ORD0968</t>
  </si>
  <si>
    <t>ORD0969</t>
  </si>
  <si>
    <t>CUST253</t>
  </si>
  <si>
    <t>ORD0970</t>
  </si>
  <si>
    <t>2023-04-26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</si>
  <si>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</si>
  <si>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</si>
  <si>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</si>
  <si>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</si>
  <si>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</si>
  <si>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</si>
  <si>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</si>
  <si>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</si>
  <si>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</si>
  <si>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CUST257</t>
  </si>
  <si>
    <t>ORD0980</t>
  </si>
  <si>
    <t>ORD0981</t>
  </si>
  <si>
    <t>ORD0982</t>
  </si>
  <si>
    <t>ORD0983</t>
  </si>
  <si>
    <t>ORD0984</t>
  </si>
  <si>
    <t>ORD0985</t>
  </si>
  <si>
    <t>CUST134</t>
  </si>
  <si>
    <t>ORD0986</t>
  </si>
  <si>
    <t>CUST060</t>
  </si>
  <si>
    <t>ORD0987</t>
  </si>
  <si>
    <t>ORD0988</t>
  </si>
  <si>
    <t>ORD0989</t>
  </si>
  <si>
    <t>ORD0990</t>
  </si>
  <si>
    <t>ORD0991</t>
  </si>
  <si>
    <t>2023-11-23</t>
  </si>
  <si>
    <t>ORD0992</t>
  </si>
  <si>
    <t>ORD0993</t>
  </si>
  <si>
    <t>ORD0994</t>
  </si>
  <si>
    <t>ORD0995</t>
  </si>
  <si>
    <t>ORD0996</t>
  </si>
  <si>
    <t>ORD0997</t>
  </si>
  <si>
    <t>ORD0998</t>
  </si>
  <si>
    <t>CUST280</t>
  </si>
  <si>
    <t>ORD0999</t>
  </si>
  <si>
    <t>ORD1000</t>
  </si>
  <si>
    <t>2023-12-24</t>
  </si>
  <si>
    <t>Row Labels</t>
  </si>
  <si>
    <t>Sum of Total_Sales</t>
  </si>
  <si>
    <t>Grand Total</t>
  </si>
  <si>
    <t>Total Revenue</t>
  </si>
  <si>
    <t>Average Total Sales</t>
  </si>
  <si>
    <t>Total  Quantity Sold</t>
  </si>
  <si>
    <t>High / Low</t>
  </si>
  <si>
    <t>1. Calculate Total Sales using formula: Quantity × Price × (1 − Discount).</t>
  </si>
  <si>
    <t>2. Find the total revenue of all orders using SUM function.</t>
  </si>
  <si>
    <t>3. Calculate the average Total Sales using AVERAGE function.</t>
  </si>
  <si>
    <t>4. Find the total Quantity sold using SUM function.</t>
  </si>
  <si>
    <t>5. Sort the dataset by Total Sales in descending order</t>
  </si>
  <si>
    <t>6.. Filter data where Total Sales &gt; 3000.</t>
  </si>
  <si>
    <t>7. Apply Conditional Formatting to highlight cells where Total Sales &gt; 2500.</t>
  </si>
  <si>
    <t>8. Apply Conditional Formatting to highlight Discount &gt; 20%.</t>
  </si>
  <si>
    <t>9.. Apply Conditional Formatting to show Top 10 highest sales.</t>
  </si>
  <si>
    <t>10 Create a formula using IF: If Total Sales &gt; 3000 → "High Sale", else "Low Sale".</t>
  </si>
  <si>
    <t>Sort the dataset by Total Sales in descending order.</t>
  </si>
  <si>
    <t>Sales by Payment Method</t>
  </si>
  <si>
    <t>Sales by 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</si>
</sst>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1" fillId="2" borderId="1" xfId="0" applyFont="1" applyFill="1" applyBorder="1"/>
    <xf numFmtId="0" fontId="1" fillId="3" borderId="0" xfId="0" applyFont="1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4" borderId="0" xfId="0" applyFont="1" applyFill="1" applyAlignment="1">
      <alignment vertical="center"/>
    </xf>
    <xf numFmtId="0" fontId="1" fillId="4" borderId="0" xfId="0" applyFont="1" applyFill="1"/>
    <xf numFmtId="3" fontId="0" fillId="0" borderId="0" xfId="0" applyNumberFormat="1"/>
    <xf numFmtId="0" fontId="0" fillId="4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[ECOMMERCE_PROJEC.xlsx]Pivot Table!Product Name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</a:t>
            </a:r>
            <a:r>
              <a:rPr lang="en-US" baseline="0"/>
              <a:t> sales by product Name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Table'!$D$4:$D$11</c:f>
              <c:strCache>
                <c:ptCount val="7"/>
                <c:pt idx="0">
                  <c:v>Face Cream</c:v>
                </c:pt>
                <c:pt idx="1">
                  <c:v>Football</c:v>
                </c:pt>
                <c:pt idx="2">
                  <c:v>Laptop</c:v>
                </c:pt>
                <c:pt idx="3">
                  <c:v>Mobile</c:v>
                </c:pt>
                <c:pt idx="4">
                  <c:v>Shoes</c:v>
                </c:pt>
                <c:pt idx="5">
                  <c:v>Sofa</c:v>
                </c:pt>
                <c:pt idx="6">
                  <c:v>T-Shirt</c:v>
                </c:pt>
              </c:strCache>
            </c:strRef>
          </c:cat>
          <c:val>
            <c:numRef>
              <c:f>'Pivot Table'!$E$4:$E$11</c:f>
              <c:numCache>
                <c:formatCode>#,##0</c:formatCode>
                <c:ptCount val="7"/>
                <c:pt idx="0">
                  <c:v>934521.81999999948</c:v>
                </c:pt>
                <c:pt idx="1">
                  <c:v>895000.00999999989</c:v>
                </c:pt>
                <c:pt idx="2">
                  <c:v>980515.01999999979</c:v>
                </c:pt>
                <c:pt idx="3">
                  <c:v>861297.64000000013</c:v>
                </c:pt>
                <c:pt idx="4">
                  <c:v>957518.79000000015</c:v>
                </c:pt>
                <c:pt idx="5">
                  <c:v>957239.85</c:v>
                </c:pt>
                <c:pt idx="6">
                  <c:v>920585.58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A3-4E60-859F-61001AD7EB5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54208991"/>
        <c:axId val="1354209951"/>
      </c:lineChart>
      <c:catAx>
        <c:axId val="135420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209951"/>
        <c:crosses val="autoZero"/>
        <c:auto val="1"/>
        <c:lblAlgn val="ctr"/>
        <c:lblOffset val="100"/>
        <c:noMultiLvlLbl val="0"/>
      </c:catAx>
      <c:valAx>
        <c:axId val="13542099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354208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[ECOMMERCE_PROJEC.xlsx]Pivot Table!Product Category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Table'!$H$4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Table'!$G$5:$G$10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'Pivot Table'!$H$5:$H$10</c:f>
              <c:numCache>
                <c:formatCode>#,##0</c:formatCode>
                <c:ptCount val="5"/>
                <c:pt idx="0">
                  <c:v>1276036.9699999995</c:v>
                </c:pt>
                <c:pt idx="1">
                  <c:v>1203010.2400000009</c:v>
                </c:pt>
                <c:pt idx="2">
                  <c:v>1335970.2300000002</c:v>
                </c:pt>
                <c:pt idx="3">
                  <c:v>1403821.6700000006</c:v>
                </c:pt>
                <c:pt idx="4">
                  <c:v>1287839.5999999996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B-4BA3-AF4F-FA8E4996FDF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71720063"/>
        <c:axId val="1471724863"/>
      </c:barChart>
      <c:catAx>
        <c:axId val="147172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724863"/>
        <c:crosses val="autoZero"/>
        <c:auto val="1"/>
        <c:lblAlgn val="ctr"/>
        <c:lblOffset val="100"/>
        <c:noMultiLvlLbl val="0"/>
      </c:catAx>
      <c:valAx>
        <c:axId val="14717248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47172006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[ECOMMERCE_PROJEC.xlsx]Pivot Table!Payment Method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Table'!$K$4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A8-4694-85EC-11DCADC431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A8-4694-85EC-11DCADC431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AA8-4694-85EC-11DCADC431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AA8-4694-85EC-11DCADC431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Table'!$J$5:$J$9</c:f>
              <c:strCache>
                <c:ptCount val="4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</c:strCache>
            </c:strRef>
          </c:cat>
          <c:val>
            <c:numRef>
              <c:f>'Pivot Table'!$K$5:$K$9</c:f>
              <c:numCache>
                <c:formatCode>#,##0</c:formatCode>
                <c:ptCount val="4"/>
                <c:pt idx="0">
                  <c:v>1700141.95</c:v>
                </c:pt>
                <c:pt idx="1">
                  <c:v>1443954.9500000018</c:v>
                </c:pt>
                <c:pt idx="2">
                  <c:v>1672192.48</c:v>
                </c:pt>
                <c:pt idx="3">
                  <c:v>1690389.3299999998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AA8-4694-85EC-11DCADC4313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[ECOMMERCE_PROJEC.xlsx]Pivot Table!city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 by</a:t>
            </a:r>
            <a:r>
              <a:rPr lang="en-US" baseline="0"/>
              <a:t>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Table'!$F$17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Table'!$E$18:$E$23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'Pivot Table'!$F$18:$F$23</c:f>
              <c:numCache>
                <c:formatCode>#,##0</c:formatCode>
                <c:ptCount val="5"/>
                <c:pt idx="0">
                  <c:v>1058828.7499999991</c:v>
                </c:pt>
                <c:pt idx="1">
                  <c:v>1325354.2899999989</c:v>
                </c:pt>
                <c:pt idx="2">
                  <c:v>1409791.6800000004</c:v>
                </c:pt>
                <c:pt idx="3">
                  <c:v>1305176.8100000005</c:v>
                </c:pt>
                <c:pt idx="4">
                  <c:v>1407527.18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9-4CD5-B831-A463CC0254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67657103"/>
        <c:axId val="1467652783"/>
      </c:barChart>
      <c:catAx>
        <c:axId val="14676571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67652783"/>
        <c:crosses val="autoZero"/>
        <c:auto val="1"/>
        <c:lblAlgn val="ctr"/>
        <c:lblOffset val="100"/>
        <c:noMultiLvlLbl val="0"/>
      </c:catAx>
      <c:valAx>
        <c:axId val="1467652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657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[ECOMMERCE_PROJEC.xlsx]Pivot Table!State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State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Table'!$I$18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1FD-4C63-B4D0-9983059502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1FD-4C63-B4D0-9983059502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1FD-4C63-B4D0-99830595025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1FD-4C63-B4D0-99830595025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1FD-4C63-B4D0-9983059502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Table'!$H$19:$H$24</c:f>
              <c:strCache>
                <c:ptCount val="5"/>
                <c:pt idx="0">
                  <c:v>Delhi</c:v>
                </c:pt>
                <c:pt idx="1">
                  <c:v>Karnataka</c:v>
                </c:pt>
                <c:pt idx="2">
                  <c:v>Maharashtra</c:v>
                </c:pt>
                <c:pt idx="3">
                  <c:v>Tamil Nadu</c:v>
                </c:pt>
                <c:pt idx="4">
                  <c:v>West Bengal</c:v>
                </c:pt>
              </c:strCache>
            </c:strRef>
          </c:cat>
          <c:val>
            <c:numRef>
              <c:f>'Pivot Table'!$I$19:$I$24</c:f>
              <c:numCache>
                <c:formatCode>#,##0</c:formatCode>
                <c:ptCount val="5"/>
                <c:pt idx="0">
                  <c:v>1157746.5399999993</c:v>
                </c:pt>
                <c:pt idx="1">
                  <c:v>1301834.4300000004</c:v>
                </c:pt>
                <c:pt idx="2">
                  <c:v>1380971.4799999997</c:v>
                </c:pt>
                <c:pt idx="3">
                  <c:v>1324007.9800000018</c:v>
                </c:pt>
                <c:pt idx="4">
                  <c:v>1342118.2799999998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1FD-4C63-B4D0-99830595025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[ECOMMERCE_PROJEC.xlsx]Pivot Table!Order Date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Order Date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Table'!$L$19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9AB-4C50-867A-9FE3C67845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9AB-4C50-867A-9FE3C67845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9AB-4C50-867A-9FE3C67845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9AB-4C50-867A-9FE3C67845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9AB-4C50-867A-9FE3C67845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9AB-4C50-867A-9FE3C67845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9AB-4C50-867A-9FE3C67845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9AB-4C50-867A-9FE3C67845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9AB-4C50-867A-9FE3C67845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9AB-4C50-867A-9FE3C67845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9AB-4C50-867A-9FE3C67845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9AB-4C50-867A-9FE3C678452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39AB-4C50-867A-9FE3C678452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39AB-4C50-867A-9FE3C678452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39AB-4C50-867A-9FE3C678452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39AB-4C50-867A-9FE3C678452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39AB-4C50-867A-9FE3C678452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39AB-4C50-867A-9FE3C678452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39AB-4C50-867A-9FE3C678452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39AB-4C50-867A-9FE3C678452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39AB-4C50-867A-9FE3C678452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39AB-4C50-867A-9FE3C678452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39AB-4C50-867A-9FE3C678452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39AB-4C50-867A-9FE3C678452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39AB-4C50-867A-9FE3C678452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39AB-4C50-867A-9FE3C678452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39AB-4C50-867A-9FE3C678452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39AB-4C50-867A-9FE3C678452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39AB-4C50-867A-9FE3C678452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39AB-4C50-867A-9FE3C678452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39AB-4C50-867A-9FE3C678452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39AB-4C50-867A-9FE3C678452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39AB-4C50-867A-9FE3C678452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39AB-4C50-867A-9FE3C678452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39AB-4C50-867A-9FE3C678452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39AB-4C50-867A-9FE3C678452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9-39AB-4C50-867A-9FE3C678452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B-39AB-4C50-867A-9FE3C678452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D-39AB-4C50-867A-9FE3C678452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F-39AB-4C50-867A-9FE3C678452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1-39AB-4C50-867A-9FE3C678452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3-39AB-4C50-867A-9FE3C678452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5-39AB-4C50-867A-9FE3C678452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7-39AB-4C50-867A-9FE3C678452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9-39AB-4C50-867A-9FE3C678452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B-39AB-4C50-867A-9FE3C678452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D-39AB-4C50-867A-9FE3C678452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F-39AB-4C50-867A-9FE3C678452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1-39AB-4C50-867A-9FE3C678452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3-39AB-4C50-867A-9FE3C678452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5-39AB-4C50-867A-9FE3C678452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7-39AB-4C50-867A-9FE3C678452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9-39AB-4C50-867A-9FE3C678452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B-39AB-4C50-867A-9FE3C678452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D-39AB-4C50-867A-9FE3C678452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F-39AB-4C50-867A-9FE3C678452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1-39AB-4C50-867A-9FE3C678452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3-39AB-4C50-867A-9FE3C678452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5-39AB-4C50-867A-9FE3C678452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7-39AB-4C50-867A-9FE3C678452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9-39AB-4C50-867A-9FE3C678452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B-39AB-4C50-867A-9FE3C6784520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D-39AB-4C50-867A-9FE3C6784520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F-39AB-4C50-867A-9FE3C6784520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1-39AB-4C50-867A-9FE3C6784520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3-39AB-4C50-867A-9FE3C6784520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5-39AB-4C50-867A-9FE3C6784520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7-39AB-4C50-867A-9FE3C6784520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9-39AB-4C50-867A-9FE3C6784520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B-39AB-4C50-867A-9FE3C6784520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D-39AB-4C50-867A-9FE3C6784520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F-39AB-4C50-867A-9FE3C6784520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1-39AB-4C50-867A-9FE3C6784520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3-39AB-4C50-867A-9FE3C6784520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5-39AB-4C50-867A-9FE3C6784520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7-39AB-4C50-867A-9FE3C6784520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9-39AB-4C50-867A-9FE3C6784520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B-39AB-4C50-867A-9FE3C6784520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D-39AB-4C50-867A-9FE3C6784520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F-39AB-4C50-867A-9FE3C6784520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1-39AB-4C50-867A-9FE3C6784520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3-39AB-4C50-867A-9FE3C6784520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5-39AB-4C50-867A-9FE3C6784520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7-39AB-4C50-867A-9FE3C6784520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9-39AB-4C50-867A-9FE3C6784520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B-39AB-4C50-867A-9FE3C6784520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D-39AB-4C50-867A-9FE3C6784520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F-39AB-4C50-867A-9FE3C6784520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1-39AB-4C50-867A-9FE3C6784520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3-39AB-4C50-867A-9FE3C6784520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5-39AB-4C50-867A-9FE3C6784520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7-39AB-4C50-867A-9FE3C6784520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9-39AB-4C50-867A-9FE3C6784520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B-39AB-4C50-867A-9FE3C6784520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D-39AB-4C50-867A-9FE3C6784520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F-39AB-4C50-867A-9FE3C6784520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1-39AB-4C50-867A-9FE3C6784520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3-39AB-4C50-867A-9FE3C6784520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5-39AB-4C50-867A-9FE3C6784520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7-39AB-4C50-867A-9FE3C6784520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9-39AB-4C50-867A-9FE3C6784520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B-39AB-4C50-867A-9FE3C6784520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D-39AB-4C50-867A-9FE3C6784520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F-39AB-4C50-867A-9FE3C6784520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1-39AB-4C50-867A-9FE3C6784520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3-39AB-4C50-867A-9FE3C6784520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5-39AB-4C50-867A-9FE3C6784520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7-39AB-4C50-867A-9FE3C6784520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9-39AB-4C50-867A-9FE3C6784520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B-39AB-4C50-867A-9FE3C6784520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D-39AB-4C50-867A-9FE3C6784520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F-39AB-4C50-867A-9FE3C6784520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1-39AB-4C50-867A-9FE3C6784520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3-39AB-4C50-867A-9FE3C6784520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5-39AB-4C50-867A-9FE3C6784520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7-39AB-4C50-867A-9FE3C6784520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9-39AB-4C50-867A-9FE3C6784520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B-39AB-4C50-867A-9FE3C6784520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D-39AB-4C50-867A-9FE3C6784520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F-39AB-4C50-867A-9FE3C6784520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1-39AB-4C50-867A-9FE3C6784520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3-39AB-4C50-867A-9FE3C6784520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5-39AB-4C50-867A-9FE3C6784520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7-39AB-4C50-867A-9FE3C6784520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9-39AB-4C50-867A-9FE3C6784520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B-39AB-4C50-867A-9FE3C6784520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D-39AB-4C50-867A-9FE3C6784520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F-39AB-4C50-867A-9FE3C6784520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1-39AB-4C50-867A-9FE3C6784520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3-39AB-4C50-867A-9FE3C6784520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5-39AB-4C50-867A-9FE3C6784520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7-39AB-4C50-867A-9FE3C6784520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9-39AB-4C50-867A-9FE3C6784520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B-39AB-4C50-867A-9FE3C6784520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D-39AB-4C50-867A-9FE3C6784520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F-39AB-4C50-867A-9FE3C6784520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1-39AB-4C50-867A-9FE3C6784520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3-39AB-4C50-867A-9FE3C6784520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5-39AB-4C50-867A-9FE3C6784520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7-39AB-4C50-867A-9FE3C6784520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9-39AB-4C50-867A-9FE3C6784520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B-39AB-4C50-867A-9FE3C6784520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D-39AB-4C50-867A-9FE3C6784520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F-39AB-4C50-867A-9FE3C6784520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1-39AB-4C50-867A-9FE3C6784520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3-39AB-4C50-867A-9FE3C6784520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5-39AB-4C50-867A-9FE3C6784520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7-39AB-4C50-867A-9FE3C6784520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9-39AB-4C50-867A-9FE3C6784520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B-39AB-4C50-867A-9FE3C6784520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D-39AB-4C50-867A-9FE3C6784520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F-39AB-4C50-867A-9FE3C6784520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1-39AB-4C50-867A-9FE3C6784520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3-39AB-4C50-867A-9FE3C6784520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5-39AB-4C50-867A-9FE3C6784520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7-39AB-4C50-867A-9FE3C6784520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9-39AB-4C50-867A-9FE3C6784520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B-39AB-4C50-867A-9FE3C6784520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D-39AB-4C50-867A-9FE3C6784520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F-39AB-4C50-867A-9FE3C6784520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1-39AB-4C50-867A-9FE3C6784520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3-39AB-4C50-867A-9FE3C6784520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5-39AB-4C50-867A-9FE3C6784520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7-39AB-4C50-867A-9FE3C6784520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9-39AB-4C50-867A-9FE3C6784520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B-39AB-4C50-867A-9FE3C6784520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D-39AB-4C50-867A-9FE3C6784520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F-39AB-4C50-867A-9FE3C6784520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1-39AB-4C50-867A-9FE3C6784520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3-39AB-4C50-867A-9FE3C6784520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5-39AB-4C50-867A-9FE3C6784520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7-39AB-4C50-867A-9FE3C6784520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9-39AB-4C50-867A-9FE3C6784520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B-39AB-4C50-867A-9FE3C6784520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D-39AB-4C50-867A-9FE3C6784520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5F-39AB-4C50-867A-9FE3C6784520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1-39AB-4C50-867A-9FE3C6784520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3-39AB-4C50-867A-9FE3C6784520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5-39AB-4C50-867A-9FE3C6784520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7-39AB-4C50-867A-9FE3C6784520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9-39AB-4C50-867A-9FE3C6784520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B-39AB-4C50-867A-9FE3C6784520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D-39AB-4C50-867A-9FE3C6784520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6F-39AB-4C50-867A-9FE3C6784520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1-39AB-4C50-867A-9FE3C6784520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3-39AB-4C50-867A-9FE3C6784520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5-39AB-4C50-867A-9FE3C6784520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7-39AB-4C50-867A-9FE3C6784520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9-39AB-4C50-867A-9FE3C6784520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B-39AB-4C50-867A-9FE3C6784520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D-39AB-4C50-867A-9FE3C6784520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7F-39AB-4C50-867A-9FE3C6784520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1-39AB-4C50-867A-9FE3C6784520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3-39AB-4C50-867A-9FE3C6784520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5-39AB-4C50-867A-9FE3C6784520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7-39AB-4C50-867A-9FE3C6784520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9-39AB-4C50-867A-9FE3C6784520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B-39AB-4C50-867A-9FE3C6784520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D-39AB-4C50-867A-9FE3C6784520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8F-39AB-4C50-867A-9FE3C6784520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1-39AB-4C50-867A-9FE3C6784520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3-39AB-4C50-867A-9FE3C6784520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5-39AB-4C50-867A-9FE3C6784520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7-39AB-4C50-867A-9FE3C6784520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9-39AB-4C50-867A-9FE3C6784520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B-39AB-4C50-867A-9FE3C6784520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D-39AB-4C50-867A-9FE3C6784520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9F-39AB-4C50-867A-9FE3C6784520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1-39AB-4C50-867A-9FE3C6784520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3-39AB-4C50-867A-9FE3C6784520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5-39AB-4C50-867A-9FE3C6784520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7-39AB-4C50-867A-9FE3C6784520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9-39AB-4C50-867A-9FE3C6784520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B-39AB-4C50-867A-9FE3C6784520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D-39AB-4C50-867A-9FE3C6784520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AF-39AB-4C50-867A-9FE3C6784520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1-39AB-4C50-867A-9FE3C6784520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3-39AB-4C50-867A-9FE3C6784520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5-39AB-4C50-867A-9FE3C6784520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7-39AB-4C50-867A-9FE3C6784520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9-39AB-4C50-867A-9FE3C6784520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B-39AB-4C50-867A-9FE3C6784520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D-39AB-4C50-867A-9FE3C6784520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BF-39AB-4C50-867A-9FE3C6784520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1-39AB-4C50-867A-9FE3C6784520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3-39AB-4C50-867A-9FE3C6784520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5-39AB-4C50-867A-9FE3C6784520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7-39AB-4C50-867A-9FE3C6784520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9-39AB-4C50-867A-9FE3C6784520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B-39AB-4C50-867A-9FE3C6784520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D-39AB-4C50-867A-9FE3C6784520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CF-39AB-4C50-867A-9FE3C6784520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1-39AB-4C50-867A-9FE3C6784520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3-39AB-4C50-867A-9FE3C6784520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5-39AB-4C50-867A-9FE3C6784520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7-39AB-4C50-867A-9FE3C6784520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9-39AB-4C50-867A-9FE3C6784520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B-39AB-4C50-867A-9FE3C6784520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D-39AB-4C50-867A-9FE3C6784520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DF-39AB-4C50-867A-9FE3C6784520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1-39AB-4C50-867A-9FE3C6784520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3-39AB-4C50-867A-9FE3C6784520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5-39AB-4C50-867A-9FE3C6784520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7-39AB-4C50-867A-9FE3C6784520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9-39AB-4C50-867A-9FE3C6784520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B-39AB-4C50-867A-9FE3C6784520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D-39AB-4C50-867A-9FE3C6784520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EF-39AB-4C50-867A-9FE3C6784520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1-39AB-4C50-867A-9FE3C6784520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3-39AB-4C50-867A-9FE3C6784520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5-39AB-4C50-867A-9FE3C6784520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7-39AB-4C50-867A-9FE3C6784520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9-39AB-4C50-867A-9FE3C6784520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B-39AB-4C50-867A-9FE3C6784520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D-39AB-4C50-867A-9FE3C6784520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1FF-39AB-4C50-867A-9FE3C6784520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1-39AB-4C50-867A-9FE3C6784520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3-39AB-4C50-867A-9FE3C6784520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5-39AB-4C50-867A-9FE3C6784520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7-39AB-4C50-867A-9FE3C6784520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9-39AB-4C50-867A-9FE3C6784520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B-39AB-4C50-867A-9FE3C6784520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D-39AB-4C50-867A-9FE3C6784520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0F-39AB-4C50-867A-9FE3C6784520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1-39AB-4C50-867A-9FE3C6784520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3-39AB-4C50-867A-9FE3C6784520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5-39AB-4C50-867A-9FE3C6784520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7-39AB-4C50-867A-9FE3C6784520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9-39AB-4C50-867A-9FE3C6784520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B-39AB-4C50-867A-9FE3C6784520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D-39AB-4C50-867A-9FE3C6784520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1F-39AB-4C50-867A-9FE3C6784520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1-39AB-4C50-867A-9FE3C6784520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3-39AB-4C50-867A-9FE3C6784520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5-39AB-4C50-867A-9FE3C6784520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7-39AB-4C50-867A-9FE3C6784520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9-39AB-4C50-867A-9FE3C6784520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B-39AB-4C50-867A-9FE3C6784520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D-39AB-4C50-867A-9FE3C6784520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2F-39AB-4C50-867A-9FE3C6784520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1-39AB-4C50-867A-9FE3C6784520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3-39AB-4C50-867A-9FE3C6784520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5-39AB-4C50-867A-9FE3C6784520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7-39AB-4C50-867A-9FE3C6784520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9-39AB-4C50-867A-9FE3C6784520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B-39AB-4C50-867A-9FE3C6784520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D-39AB-4C50-867A-9FE3C6784520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3F-39AB-4C50-867A-9FE3C6784520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1-39AB-4C50-867A-9FE3C6784520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3-39AB-4C50-867A-9FE3C6784520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5-39AB-4C50-867A-9FE3C6784520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7-39AB-4C50-867A-9FE3C6784520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9-39AB-4C50-867A-9FE3C6784520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B-39AB-4C50-867A-9FE3C6784520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D-39AB-4C50-867A-9FE3C6784520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4F-39AB-4C50-867A-9FE3C6784520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1-39AB-4C50-867A-9FE3C6784520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3-39AB-4C50-867A-9FE3C6784520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5-39AB-4C50-867A-9FE3C6784520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7-39AB-4C50-867A-9FE3C6784520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9-39AB-4C50-867A-9FE3C6784520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B-39AB-4C50-867A-9FE3C6784520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D-39AB-4C50-867A-9FE3C6784520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5F-39AB-4C50-867A-9FE3C6784520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1-39AB-4C50-867A-9FE3C6784520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3-39AB-4C50-867A-9FE3C6784520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5-39AB-4C50-867A-9FE3C6784520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7-39AB-4C50-867A-9FE3C6784520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9-39AB-4C50-867A-9FE3C6784520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B-39AB-4C50-867A-9FE3C6784520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D-39AB-4C50-867A-9FE3C6784520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6F-39AB-4C50-867A-9FE3C6784520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1-39AB-4C50-867A-9FE3C6784520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3-39AB-4C50-867A-9FE3C6784520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5-39AB-4C50-867A-9FE3C6784520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7-39AB-4C50-867A-9FE3C6784520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9-39AB-4C50-867A-9FE3C6784520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B-39AB-4C50-867A-9FE3C6784520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D-39AB-4C50-867A-9FE3C6784520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7F-39AB-4C50-867A-9FE3C6784520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1-39AB-4C50-867A-9FE3C6784520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3-39AB-4C50-867A-9FE3C6784520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5-39AB-4C50-867A-9FE3C6784520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7-39AB-4C50-867A-9FE3C6784520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9-39AB-4C50-867A-9FE3C6784520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B-39AB-4C50-867A-9FE3C6784520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D-39AB-4C50-867A-9FE3C6784520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8F-39AB-4C50-867A-9FE3C6784520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1-39AB-4C50-867A-9FE3C6784520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3-39AB-4C50-867A-9FE3C6784520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5-39AB-4C50-867A-9FE3C6784520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7-39AB-4C50-867A-9FE3C6784520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9-39AB-4C50-867A-9FE3C6784520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B-39AB-4C50-867A-9FE3C6784520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D-39AB-4C50-867A-9FE3C6784520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9F-39AB-4C50-867A-9FE3C6784520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1-39AB-4C50-867A-9FE3C6784520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3-39AB-4C50-867A-9FE3C6784520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5-39AB-4C50-867A-9FE3C6784520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7-39AB-4C50-867A-9FE3C6784520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9-39AB-4C50-867A-9FE3C6784520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B-39AB-4C50-867A-9FE3C6784520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D-39AB-4C50-867A-9FE3C6784520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AF-39AB-4C50-867A-9FE3C6784520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1-39AB-4C50-867A-9FE3C6784520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2B3-39AB-4C50-867A-9FE3C6784520}"/>
              </c:ext>
            </c:extLst>
          </c:dPt>
          <c:cat>
            <c:strRef>
              <c:f>'Pivot Table'!$K$20:$K$366</c:f>
              <c:strCache>
                <c:ptCount val="346"/>
                <c:pt idx="0">
                  <c:v>2023-01-01</c:v>
                </c:pt>
                <c:pt idx="1">
                  <c:v>2023-01-02</c:v>
                </c:pt>
                <c:pt idx="2">
                  <c:v>2023-01-03</c:v>
                </c:pt>
                <c:pt idx="3">
                  <c:v>2023-01-04</c:v>
                </c:pt>
                <c:pt idx="4">
                  <c:v>2023-01-05</c:v>
                </c:pt>
                <c:pt idx="5">
                  <c:v>2023-01-06</c:v>
                </c:pt>
                <c:pt idx="6">
                  <c:v>2023-01-08</c:v>
                </c:pt>
                <c:pt idx="7">
                  <c:v>2023-01-09</c:v>
                </c:pt>
                <c:pt idx="8">
                  <c:v>2023-01-10</c:v>
                </c:pt>
                <c:pt idx="9">
                  <c:v>2023-01-11</c:v>
                </c:pt>
                <c:pt idx="10">
                  <c:v>2023-01-12</c:v>
                </c:pt>
                <c:pt idx="11">
                  <c:v>2023-01-13</c:v>
                </c:pt>
                <c:pt idx="12">
                  <c:v>2023-01-14</c:v>
                </c:pt>
                <c:pt idx="13">
                  <c:v>2023-01-15</c:v>
                </c:pt>
                <c:pt idx="14">
                  <c:v>2023-01-16</c:v>
                </c:pt>
                <c:pt idx="15">
                  <c:v>2023-01-17</c:v>
                </c:pt>
                <c:pt idx="16">
                  <c:v>2023-01-18</c:v>
                </c:pt>
                <c:pt idx="17">
                  <c:v>2023-01-21</c:v>
                </c:pt>
                <c:pt idx="18">
                  <c:v>2023-01-22</c:v>
                </c:pt>
                <c:pt idx="19">
                  <c:v>2023-01-23</c:v>
                </c:pt>
                <c:pt idx="20">
                  <c:v>2023-01-24</c:v>
                </c:pt>
                <c:pt idx="21">
                  <c:v>2023-01-25</c:v>
                </c:pt>
                <c:pt idx="22">
                  <c:v>2023-01-26</c:v>
                </c:pt>
                <c:pt idx="23">
                  <c:v>2023-01-27</c:v>
                </c:pt>
                <c:pt idx="24">
                  <c:v>2023-01-28</c:v>
                </c:pt>
                <c:pt idx="25">
                  <c:v>2023-01-29</c:v>
                </c:pt>
                <c:pt idx="26">
                  <c:v>2023-01-30</c:v>
                </c:pt>
                <c:pt idx="27">
                  <c:v>2023-01-31</c:v>
                </c:pt>
                <c:pt idx="28">
                  <c:v>2023-02-01</c:v>
                </c:pt>
                <c:pt idx="29">
                  <c:v>2023-02-02</c:v>
                </c:pt>
                <c:pt idx="30">
                  <c:v>2023-02-03</c:v>
                </c:pt>
                <c:pt idx="31">
                  <c:v>2023-02-04</c:v>
                </c:pt>
                <c:pt idx="32">
                  <c:v>2023-02-05</c:v>
                </c:pt>
                <c:pt idx="33">
                  <c:v>2023-02-06</c:v>
                </c:pt>
                <c:pt idx="34">
                  <c:v>2023-02-07</c:v>
                </c:pt>
                <c:pt idx="35">
                  <c:v>2023-02-08</c:v>
                </c:pt>
                <c:pt idx="36">
                  <c:v>2023-02-09</c:v>
                </c:pt>
                <c:pt idx="37">
                  <c:v>2023-02-10</c:v>
                </c:pt>
                <c:pt idx="38">
                  <c:v>2023-02-11</c:v>
                </c:pt>
                <c:pt idx="39">
                  <c:v>2023-02-12</c:v>
                </c:pt>
                <c:pt idx="40">
                  <c:v>2023-02-13</c:v>
                </c:pt>
                <c:pt idx="41">
                  <c:v>2023-02-15</c:v>
                </c:pt>
                <c:pt idx="42">
                  <c:v>2023-02-16</c:v>
                </c:pt>
                <c:pt idx="43">
                  <c:v>2023-02-17</c:v>
                </c:pt>
                <c:pt idx="44">
                  <c:v>2023-02-18</c:v>
                </c:pt>
                <c:pt idx="45">
                  <c:v>2023-02-19</c:v>
                </c:pt>
                <c:pt idx="46">
                  <c:v>2023-02-20</c:v>
                </c:pt>
                <c:pt idx="47">
                  <c:v>2023-02-21</c:v>
                </c:pt>
                <c:pt idx="48">
                  <c:v>2023-02-22</c:v>
                </c:pt>
                <c:pt idx="49">
                  <c:v>2023-02-23</c:v>
                </c:pt>
                <c:pt idx="50">
                  <c:v>2023-02-24</c:v>
                </c:pt>
                <c:pt idx="51">
                  <c:v>2023-02-25</c:v>
                </c:pt>
                <c:pt idx="52">
                  <c:v>2023-02-26</c:v>
                </c:pt>
                <c:pt idx="53">
                  <c:v>2023-02-27</c:v>
                </c:pt>
                <c:pt idx="54">
                  <c:v>2023-02-28</c:v>
                </c:pt>
                <c:pt idx="55">
                  <c:v>2023-03-01</c:v>
                </c:pt>
                <c:pt idx="56">
                  <c:v>2023-03-02</c:v>
                </c:pt>
                <c:pt idx="57">
                  <c:v>2023-03-03</c:v>
                </c:pt>
                <c:pt idx="58">
                  <c:v>2023-03-04</c:v>
                </c:pt>
                <c:pt idx="59">
                  <c:v>2023-03-05</c:v>
                </c:pt>
                <c:pt idx="60">
                  <c:v>2023-03-06</c:v>
                </c:pt>
                <c:pt idx="61">
                  <c:v>2023-03-07</c:v>
                </c:pt>
                <c:pt idx="62">
                  <c:v>2023-03-08</c:v>
                </c:pt>
                <c:pt idx="63">
                  <c:v>2023-03-09</c:v>
                </c:pt>
                <c:pt idx="64">
                  <c:v>2023-03-10</c:v>
                </c:pt>
                <c:pt idx="65">
                  <c:v>2023-03-11</c:v>
                </c:pt>
                <c:pt idx="66">
                  <c:v>2023-03-12</c:v>
                </c:pt>
                <c:pt idx="67">
                  <c:v>2023-03-13</c:v>
                </c:pt>
                <c:pt idx="68">
                  <c:v>2023-03-14</c:v>
                </c:pt>
                <c:pt idx="69">
                  <c:v>2023-03-15</c:v>
                </c:pt>
                <c:pt idx="70">
                  <c:v>2023-03-16</c:v>
                </c:pt>
                <c:pt idx="71">
                  <c:v>2023-03-17</c:v>
                </c:pt>
                <c:pt idx="72">
                  <c:v>2023-03-18</c:v>
                </c:pt>
                <c:pt idx="73">
                  <c:v>2023-03-19</c:v>
                </c:pt>
                <c:pt idx="74">
                  <c:v>2023-03-20</c:v>
                </c:pt>
                <c:pt idx="75">
                  <c:v>2023-03-22</c:v>
                </c:pt>
                <c:pt idx="76">
                  <c:v>2023-03-23</c:v>
                </c:pt>
                <c:pt idx="77">
                  <c:v>2023-03-24</c:v>
                </c:pt>
                <c:pt idx="78">
                  <c:v>2023-03-25</c:v>
                </c:pt>
                <c:pt idx="79">
                  <c:v>2023-03-26</c:v>
                </c:pt>
                <c:pt idx="80">
                  <c:v>2023-03-27</c:v>
                </c:pt>
                <c:pt idx="81">
                  <c:v>2023-03-29</c:v>
                </c:pt>
                <c:pt idx="82">
                  <c:v>2023-03-30</c:v>
                </c:pt>
                <c:pt idx="83">
                  <c:v>2023-03-31</c:v>
                </c:pt>
                <c:pt idx="84">
                  <c:v>2023-04-01</c:v>
                </c:pt>
                <c:pt idx="85">
                  <c:v>2023-04-03</c:v>
                </c:pt>
                <c:pt idx="86">
                  <c:v>2023-04-04</c:v>
                </c:pt>
                <c:pt idx="87">
                  <c:v>2023-04-05</c:v>
                </c:pt>
                <c:pt idx="88">
                  <c:v>2023-04-06</c:v>
                </c:pt>
                <c:pt idx="89">
                  <c:v>2023-04-07</c:v>
                </c:pt>
                <c:pt idx="90">
                  <c:v>2023-04-08</c:v>
                </c:pt>
                <c:pt idx="91">
                  <c:v>2023-04-09</c:v>
                </c:pt>
                <c:pt idx="92">
                  <c:v>2023-04-10</c:v>
                </c:pt>
                <c:pt idx="93">
                  <c:v>2023-04-11</c:v>
                </c:pt>
                <c:pt idx="94">
                  <c:v>2023-04-12</c:v>
                </c:pt>
                <c:pt idx="95">
                  <c:v>2023-04-13</c:v>
                </c:pt>
                <c:pt idx="96">
                  <c:v>2023-04-14</c:v>
                </c:pt>
                <c:pt idx="97">
                  <c:v>2023-04-15</c:v>
                </c:pt>
                <c:pt idx="98">
                  <c:v>2023-04-16</c:v>
                </c:pt>
                <c:pt idx="99">
                  <c:v>2023-04-17</c:v>
                </c:pt>
                <c:pt idx="100">
                  <c:v>2023-04-18</c:v>
                </c:pt>
                <c:pt idx="101">
                  <c:v>2023-04-19</c:v>
                </c:pt>
                <c:pt idx="102">
                  <c:v>2023-04-20</c:v>
                </c:pt>
                <c:pt idx="103">
                  <c:v>2023-04-21</c:v>
                </c:pt>
                <c:pt idx="104">
                  <c:v>2023-04-22</c:v>
                </c:pt>
                <c:pt idx="105">
                  <c:v>2023-04-23</c:v>
                </c:pt>
                <c:pt idx="106">
                  <c:v>2023-04-24</c:v>
                </c:pt>
                <c:pt idx="107">
                  <c:v>2023-04-25</c:v>
                </c:pt>
                <c:pt idx="108">
                  <c:v>2023-04-26</c:v>
                </c:pt>
                <c:pt idx="109">
                  <c:v>2023-04-27</c:v>
                </c:pt>
                <c:pt idx="110">
                  <c:v>2023-04-28</c:v>
                </c:pt>
                <c:pt idx="111">
                  <c:v>2023-04-29</c:v>
                </c:pt>
                <c:pt idx="112">
                  <c:v>2023-04-30</c:v>
                </c:pt>
                <c:pt idx="113">
                  <c:v>2023-05-01</c:v>
                </c:pt>
                <c:pt idx="114">
                  <c:v>2023-05-02</c:v>
                </c:pt>
                <c:pt idx="115">
                  <c:v>2023-05-03</c:v>
                </c:pt>
                <c:pt idx="116">
                  <c:v>2023-05-04</c:v>
                </c:pt>
                <c:pt idx="117">
                  <c:v>2023-05-05</c:v>
                </c:pt>
                <c:pt idx="118">
                  <c:v>2023-05-06</c:v>
                </c:pt>
                <c:pt idx="119">
                  <c:v>2023-05-07</c:v>
                </c:pt>
                <c:pt idx="120">
                  <c:v>2023-05-08</c:v>
                </c:pt>
                <c:pt idx="121">
                  <c:v>2023-05-09</c:v>
                </c:pt>
                <c:pt idx="122">
                  <c:v>2023-05-10</c:v>
                </c:pt>
                <c:pt idx="123">
                  <c:v>2023-05-11</c:v>
                </c:pt>
                <c:pt idx="124">
                  <c:v>2023-05-12</c:v>
                </c:pt>
                <c:pt idx="125">
                  <c:v>2023-05-13</c:v>
                </c:pt>
                <c:pt idx="126">
                  <c:v>2023-05-14</c:v>
                </c:pt>
                <c:pt idx="127">
                  <c:v>2023-05-15</c:v>
                </c:pt>
                <c:pt idx="128">
                  <c:v>2023-05-16</c:v>
                </c:pt>
                <c:pt idx="129">
                  <c:v>2023-05-17</c:v>
                </c:pt>
                <c:pt idx="130">
                  <c:v>2023-05-18</c:v>
                </c:pt>
                <c:pt idx="131">
                  <c:v>2023-05-19</c:v>
                </c:pt>
                <c:pt idx="132">
                  <c:v>2023-05-20</c:v>
                </c:pt>
                <c:pt idx="133">
                  <c:v>2023-05-21</c:v>
                </c:pt>
                <c:pt idx="134">
                  <c:v>2023-05-22</c:v>
                </c:pt>
                <c:pt idx="135">
                  <c:v>2023-05-23</c:v>
                </c:pt>
                <c:pt idx="136">
                  <c:v>2023-05-24</c:v>
                </c:pt>
                <c:pt idx="137">
                  <c:v>2023-05-26</c:v>
                </c:pt>
                <c:pt idx="138">
                  <c:v>2023-05-27</c:v>
                </c:pt>
                <c:pt idx="139">
                  <c:v>2023-05-28</c:v>
                </c:pt>
                <c:pt idx="140">
                  <c:v>2023-05-29</c:v>
                </c:pt>
                <c:pt idx="141">
                  <c:v>2023-05-30</c:v>
                </c:pt>
                <c:pt idx="142">
                  <c:v>2023-05-31</c:v>
                </c:pt>
                <c:pt idx="143">
                  <c:v>2023-06-01</c:v>
                </c:pt>
                <c:pt idx="144">
                  <c:v>2023-06-02</c:v>
                </c:pt>
                <c:pt idx="145">
                  <c:v>2023-06-03</c:v>
                </c:pt>
                <c:pt idx="146">
                  <c:v>2023-06-04</c:v>
                </c:pt>
                <c:pt idx="147">
                  <c:v>2023-06-05</c:v>
                </c:pt>
                <c:pt idx="148">
                  <c:v>2023-06-06</c:v>
                </c:pt>
                <c:pt idx="149">
                  <c:v>2023-06-07</c:v>
                </c:pt>
                <c:pt idx="150">
                  <c:v>2023-06-08</c:v>
                </c:pt>
                <c:pt idx="151">
                  <c:v>2023-06-09</c:v>
                </c:pt>
                <c:pt idx="152">
                  <c:v>2023-06-10</c:v>
                </c:pt>
                <c:pt idx="153">
                  <c:v>2023-06-11</c:v>
                </c:pt>
                <c:pt idx="154">
                  <c:v>2023-06-12</c:v>
                </c:pt>
                <c:pt idx="155">
                  <c:v>2023-06-13</c:v>
                </c:pt>
                <c:pt idx="156">
                  <c:v>2023-06-14</c:v>
                </c:pt>
                <c:pt idx="157">
                  <c:v>2023-06-15</c:v>
                </c:pt>
                <c:pt idx="158">
                  <c:v>2023-06-16</c:v>
                </c:pt>
                <c:pt idx="159">
                  <c:v>2023-06-17</c:v>
                </c:pt>
                <c:pt idx="160">
                  <c:v>2023-06-18</c:v>
                </c:pt>
                <c:pt idx="161">
                  <c:v>2023-06-19</c:v>
                </c:pt>
                <c:pt idx="162">
                  <c:v>2023-06-21</c:v>
                </c:pt>
                <c:pt idx="163">
                  <c:v>2023-06-22</c:v>
                </c:pt>
                <c:pt idx="164">
                  <c:v>2023-06-23</c:v>
                </c:pt>
                <c:pt idx="165">
                  <c:v>2023-06-24</c:v>
                </c:pt>
                <c:pt idx="166">
                  <c:v>2023-06-25</c:v>
                </c:pt>
                <c:pt idx="167">
                  <c:v>2023-06-26</c:v>
                </c:pt>
                <c:pt idx="168">
                  <c:v>2023-06-27</c:v>
                </c:pt>
                <c:pt idx="169">
                  <c:v>2023-06-28</c:v>
                </c:pt>
                <c:pt idx="170">
                  <c:v>2023-06-29</c:v>
                </c:pt>
                <c:pt idx="171">
                  <c:v>2023-06-30</c:v>
                </c:pt>
                <c:pt idx="172">
                  <c:v>2023-07-01</c:v>
                </c:pt>
                <c:pt idx="173">
                  <c:v>2023-07-02</c:v>
                </c:pt>
                <c:pt idx="174">
                  <c:v>2023-07-04</c:v>
                </c:pt>
                <c:pt idx="175">
                  <c:v>2023-07-05</c:v>
                </c:pt>
                <c:pt idx="176">
                  <c:v>2023-07-06</c:v>
                </c:pt>
                <c:pt idx="177">
                  <c:v>2023-07-07</c:v>
                </c:pt>
                <c:pt idx="178">
                  <c:v>2023-07-08</c:v>
                </c:pt>
                <c:pt idx="179">
                  <c:v>2023-07-09</c:v>
                </c:pt>
                <c:pt idx="180">
                  <c:v>2023-07-11</c:v>
                </c:pt>
                <c:pt idx="181">
                  <c:v>2023-07-12</c:v>
                </c:pt>
                <c:pt idx="182">
                  <c:v>2023-07-13</c:v>
                </c:pt>
                <c:pt idx="183">
                  <c:v>2023-07-14</c:v>
                </c:pt>
                <c:pt idx="184">
                  <c:v>2023-07-15</c:v>
                </c:pt>
                <c:pt idx="185">
                  <c:v>2023-07-16</c:v>
                </c:pt>
                <c:pt idx="186">
                  <c:v>2023-07-17</c:v>
                </c:pt>
                <c:pt idx="187">
                  <c:v>2023-07-18</c:v>
                </c:pt>
                <c:pt idx="188">
                  <c:v>2023-07-19</c:v>
                </c:pt>
                <c:pt idx="189">
                  <c:v>2023-07-20</c:v>
                </c:pt>
                <c:pt idx="190">
                  <c:v>2023-07-21</c:v>
                </c:pt>
                <c:pt idx="191">
                  <c:v>2023-07-22</c:v>
                </c:pt>
                <c:pt idx="192">
                  <c:v>2023-07-23</c:v>
                </c:pt>
                <c:pt idx="193">
                  <c:v>2023-07-24</c:v>
                </c:pt>
                <c:pt idx="194">
                  <c:v>2023-07-25</c:v>
                </c:pt>
                <c:pt idx="195">
                  <c:v>2023-07-26</c:v>
                </c:pt>
                <c:pt idx="196">
                  <c:v>2023-07-27</c:v>
                </c:pt>
                <c:pt idx="197">
                  <c:v>2023-07-28</c:v>
                </c:pt>
                <c:pt idx="198">
                  <c:v>2023-07-29</c:v>
                </c:pt>
                <c:pt idx="199">
                  <c:v>2023-07-30</c:v>
                </c:pt>
                <c:pt idx="200">
                  <c:v>2023-07-31</c:v>
                </c:pt>
                <c:pt idx="201">
                  <c:v>2023-08-01</c:v>
                </c:pt>
                <c:pt idx="202">
                  <c:v>2023-08-02</c:v>
                </c:pt>
                <c:pt idx="203">
                  <c:v>2023-08-03</c:v>
                </c:pt>
                <c:pt idx="204">
                  <c:v>2023-08-04</c:v>
                </c:pt>
                <c:pt idx="205">
                  <c:v>2023-08-05</c:v>
                </c:pt>
                <c:pt idx="206">
                  <c:v>2023-08-06</c:v>
                </c:pt>
                <c:pt idx="207">
                  <c:v>2023-08-07</c:v>
                </c:pt>
                <c:pt idx="208">
                  <c:v>2023-08-08</c:v>
                </c:pt>
                <c:pt idx="209">
                  <c:v>2023-08-09</c:v>
                </c:pt>
                <c:pt idx="210">
                  <c:v>2023-08-10</c:v>
                </c:pt>
                <c:pt idx="211">
                  <c:v>2023-08-11</c:v>
                </c:pt>
                <c:pt idx="212">
                  <c:v>2023-08-12</c:v>
                </c:pt>
                <c:pt idx="213">
                  <c:v>2023-08-13</c:v>
                </c:pt>
                <c:pt idx="214">
                  <c:v>2023-08-14</c:v>
                </c:pt>
                <c:pt idx="215">
                  <c:v>2023-08-15</c:v>
                </c:pt>
                <c:pt idx="216">
                  <c:v>2023-08-16</c:v>
                </c:pt>
                <c:pt idx="217">
                  <c:v>2023-08-17</c:v>
                </c:pt>
                <c:pt idx="218">
                  <c:v>2023-08-18</c:v>
                </c:pt>
                <c:pt idx="219">
                  <c:v>2023-08-19</c:v>
                </c:pt>
                <c:pt idx="220">
                  <c:v>2023-08-20</c:v>
                </c:pt>
                <c:pt idx="221">
                  <c:v>2023-08-21</c:v>
                </c:pt>
                <c:pt idx="222">
                  <c:v>2023-08-22</c:v>
                </c:pt>
                <c:pt idx="223">
                  <c:v>2023-08-25</c:v>
                </c:pt>
                <c:pt idx="224">
                  <c:v>2023-08-26</c:v>
                </c:pt>
                <c:pt idx="225">
                  <c:v>2023-08-27</c:v>
                </c:pt>
                <c:pt idx="226">
                  <c:v>2023-08-28</c:v>
                </c:pt>
                <c:pt idx="227">
                  <c:v>2023-08-29</c:v>
                </c:pt>
                <c:pt idx="228">
                  <c:v>2023-08-30</c:v>
                </c:pt>
                <c:pt idx="229">
                  <c:v>2023-08-31</c:v>
                </c:pt>
                <c:pt idx="230">
                  <c:v>2023-09-01</c:v>
                </c:pt>
                <c:pt idx="231">
                  <c:v>2023-09-02</c:v>
                </c:pt>
                <c:pt idx="232">
                  <c:v>2023-09-03</c:v>
                </c:pt>
                <c:pt idx="233">
                  <c:v>2023-09-04</c:v>
                </c:pt>
                <c:pt idx="234">
                  <c:v>2023-09-05</c:v>
                </c:pt>
                <c:pt idx="235">
                  <c:v>2023-09-06</c:v>
                </c:pt>
                <c:pt idx="236">
                  <c:v>2023-09-07</c:v>
                </c:pt>
                <c:pt idx="237">
                  <c:v>2023-09-08</c:v>
                </c:pt>
                <c:pt idx="238">
                  <c:v>2023-09-09</c:v>
                </c:pt>
                <c:pt idx="239">
                  <c:v>2023-09-10</c:v>
                </c:pt>
                <c:pt idx="240">
                  <c:v>2023-09-11</c:v>
                </c:pt>
                <c:pt idx="241">
                  <c:v>2023-09-12</c:v>
                </c:pt>
                <c:pt idx="242">
                  <c:v>2023-09-13</c:v>
                </c:pt>
                <c:pt idx="243">
                  <c:v>2023-09-14</c:v>
                </c:pt>
                <c:pt idx="244">
                  <c:v>2023-09-15</c:v>
                </c:pt>
                <c:pt idx="245">
                  <c:v>2023-09-16</c:v>
                </c:pt>
                <c:pt idx="246">
                  <c:v>2023-09-17</c:v>
                </c:pt>
                <c:pt idx="247">
                  <c:v>2023-09-18</c:v>
                </c:pt>
                <c:pt idx="248">
                  <c:v>2023-09-19</c:v>
                </c:pt>
                <c:pt idx="249">
                  <c:v>2023-09-20</c:v>
                </c:pt>
                <c:pt idx="250">
                  <c:v>2023-09-21</c:v>
                </c:pt>
                <c:pt idx="251">
                  <c:v>2023-09-22</c:v>
                </c:pt>
                <c:pt idx="252">
                  <c:v>2023-09-23</c:v>
                </c:pt>
                <c:pt idx="253">
                  <c:v>2023-09-24</c:v>
                </c:pt>
                <c:pt idx="254">
                  <c:v>2023-09-25</c:v>
                </c:pt>
                <c:pt idx="255">
                  <c:v>2023-09-26</c:v>
                </c:pt>
                <c:pt idx="256">
                  <c:v>2023-09-28</c:v>
                </c:pt>
                <c:pt idx="257">
                  <c:v>2023-09-30</c:v>
                </c:pt>
                <c:pt idx="258">
                  <c:v>2023-10-01</c:v>
                </c:pt>
                <c:pt idx="259">
                  <c:v>2023-10-02</c:v>
                </c:pt>
                <c:pt idx="260">
                  <c:v>2023-10-03</c:v>
                </c:pt>
                <c:pt idx="261">
                  <c:v>2023-10-04</c:v>
                </c:pt>
                <c:pt idx="262">
                  <c:v>2023-10-05</c:v>
                </c:pt>
                <c:pt idx="263">
                  <c:v>2023-10-06</c:v>
                </c:pt>
                <c:pt idx="264">
                  <c:v>2023-10-07</c:v>
                </c:pt>
                <c:pt idx="265">
                  <c:v>2023-10-08</c:v>
                </c:pt>
                <c:pt idx="266">
                  <c:v>2023-10-09</c:v>
                </c:pt>
                <c:pt idx="267">
                  <c:v>2023-10-10</c:v>
                </c:pt>
                <c:pt idx="268">
                  <c:v>2023-10-11</c:v>
                </c:pt>
                <c:pt idx="269">
                  <c:v>2023-10-12</c:v>
                </c:pt>
                <c:pt idx="270">
                  <c:v>2023-10-13</c:v>
                </c:pt>
                <c:pt idx="271">
                  <c:v>2023-10-14</c:v>
                </c:pt>
                <c:pt idx="272">
                  <c:v>2023-10-15</c:v>
                </c:pt>
                <c:pt idx="273">
                  <c:v>2023-10-16</c:v>
                </c:pt>
                <c:pt idx="274">
                  <c:v>2023-10-17</c:v>
                </c:pt>
                <c:pt idx="275">
                  <c:v>2023-10-18</c:v>
                </c:pt>
                <c:pt idx="276">
                  <c:v>2023-10-19</c:v>
                </c:pt>
                <c:pt idx="277">
                  <c:v>2023-10-20</c:v>
                </c:pt>
                <c:pt idx="278">
                  <c:v>2023-10-21</c:v>
                </c:pt>
                <c:pt idx="279">
                  <c:v>2023-10-22</c:v>
                </c:pt>
                <c:pt idx="280">
                  <c:v>2023-10-23</c:v>
                </c:pt>
                <c:pt idx="281">
                  <c:v>2023-10-24</c:v>
                </c:pt>
                <c:pt idx="282">
                  <c:v>2023-10-25</c:v>
                </c:pt>
                <c:pt idx="283">
                  <c:v>2023-10-26</c:v>
                </c:pt>
                <c:pt idx="284">
                  <c:v>2023-10-27</c:v>
                </c:pt>
                <c:pt idx="285">
                  <c:v>2023-10-28</c:v>
                </c:pt>
                <c:pt idx="286">
                  <c:v>2023-10-29</c:v>
                </c:pt>
                <c:pt idx="287">
                  <c:v>2023-10-30</c:v>
                </c:pt>
                <c:pt idx="288">
                  <c:v>2023-10-31</c:v>
                </c:pt>
                <c:pt idx="289">
                  <c:v>2023-11-01</c:v>
                </c:pt>
                <c:pt idx="290">
                  <c:v>2023-11-02</c:v>
                </c:pt>
                <c:pt idx="291">
                  <c:v>2023-11-03</c:v>
                </c:pt>
                <c:pt idx="292">
                  <c:v>2023-11-04</c:v>
                </c:pt>
                <c:pt idx="293">
                  <c:v>2023-11-05</c:v>
                </c:pt>
                <c:pt idx="294">
                  <c:v>2023-11-06</c:v>
                </c:pt>
                <c:pt idx="295">
                  <c:v>2023-11-08</c:v>
                </c:pt>
                <c:pt idx="296">
                  <c:v>2023-11-09</c:v>
                </c:pt>
                <c:pt idx="297">
                  <c:v>2023-11-10</c:v>
                </c:pt>
                <c:pt idx="298">
                  <c:v>2023-11-11</c:v>
                </c:pt>
                <c:pt idx="299">
                  <c:v>2023-11-12</c:v>
                </c:pt>
                <c:pt idx="300">
                  <c:v>2023-11-13</c:v>
                </c:pt>
                <c:pt idx="301">
                  <c:v>2023-11-14</c:v>
                </c:pt>
                <c:pt idx="302">
                  <c:v>2023-11-15</c:v>
                </c:pt>
                <c:pt idx="303">
                  <c:v>2023-11-16</c:v>
                </c:pt>
                <c:pt idx="304">
                  <c:v>2023-11-17</c:v>
                </c:pt>
                <c:pt idx="305">
                  <c:v>2023-11-18</c:v>
                </c:pt>
                <c:pt idx="306">
                  <c:v>2023-11-19</c:v>
                </c:pt>
                <c:pt idx="307">
                  <c:v>2023-11-20</c:v>
                </c:pt>
                <c:pt idx="308">
                  <c:v>2023-11-21</c:v>
                </c:pt>
                <c:pt idx="309">
                  <c:v>2023-11-22</c:v>
                </c:pt>
                <c:pt idx="310">
                  <c:v>2023-11-23</c:v>
                </c:pt>
                <c:pt idx="311">
                  <c:v>2023-11-24</c:v>
                </c:pt>
                <c:pt idx="312">
                  <c:v>2023-11-27</c:v>
                </c:pt>
                <c:pt idx="313">
                  <c:v>2023-11-29</c:v>
                </c:pt>
                <c:pt idx="314">
                  <c:v>2023-11-30</c:v>
                </c:pt>
                <c:pt idx="315">
                  <c:v>2023-12-01</c:v>
                </c:pt>
                <c:pt idx="316">
                  <c:v>2023-12-02</c:v>
                </c:pt>
                <c:pt idx="317">
                  <c:v>2023-12-03</c:v>
                </c:pt>
                <c:pt idx="318">
                  <c:v>2023-12-04</c:v>
                </c:pt>
                <c:pt idx="319">
                  <c:v>2023-12-05</c:v>
                </c:pt>
                <c:pt idx="320">
                  <c:v>2023-12-06</c:v>
                </c:pt>
                <c:pt idx="321">
                  <c:v>2023-12-07</c:v>
                </c:pt>
                <c:pt idx="322">
                  <c:v>2023-12-08</c:v>
                </c:pt>
                <c:pt idx="323">
                  <c:v>2023-12-09</c:v>
                </c:pt>
                <c:pt idx="324">
                  <c:v>2023-12-10</c:v>
                </c:pt>
                <c:pt idx="325">
                  <c:v>2023-12-11</c:v>
                </c:pt>
                <c:pt idx="326">
                  <c:v>2023-12-12</c:v>
                </c:pt>
                <c:pt idx="327">
                  <c:v>2023-12-13</c:v>
                </c:pt>
                <c:pt idx="328">
                  <c:v>2023-12-14</c:v>
                </c:pt>
                <c:pt idx="329">
                  <c:v>2023-12-15</c:v>
                </c:pt>
                <c:pt idx="330">
                  <c:v>2023-12-16</c:v>
                </c:pt>
                <c:pt idx="331">
                  <c:v>2023-12-17</c:v>
                </c:pt>
                <c:pt idx="332">
                  <c:v>2023-12-18</c:v>
                </c:pt>
                <c:pt idx="333">
                  <c:v>2023-12-19</c:v>
                </c:pt>
                <c:pt idx="334">
                  <c:v>2023-12-20</c:v>
                </c:pt>
                <c:pt idx="335">
                  <c:v>2023-12-21</c:v>
                </c:pt>
                <c:pt idx="336">
                  <c:v>2023-12-22</c:v>
                </c:pt>
                <c:pt idx="337">
                  <c:v>2023-12-23</c:v>
                </c:pt>
                <c:pt idx="338">
                  <c:v>2023-12-24</c:v>
                </c:pt>
                <c:pt idx="339">
                  <c:v>2023-12-25</c:v>
                </c:pt>
                <c:pt idx="340">
                  <c:v>2023-12-26</c:v>
                </c:pt>
                <c:pt idx="341">
                  <c:v>2023-12-27</c:v>
                </c:pt>
                <c:pt idx="342">
                  <c:v>2023-12-29</c:v>
                </c:pt>
                <c:pt idx="343">
                  <c:v>2023-12-30</c:v>
                </c:pt>
                <c:pt idx="344">
                  <c:v>2023-12-31</c:v>
                </c:pt>
                <c:pt idx="345">
                  <c:v>2024-01-01</c:v>
                </c:pt>
              </c:strCache>
            </c:strRef>
          </c:cat>
          <c:val>
            <c:numRef>
              <c:f>'Pivot Table'!$L$20:$L$366</c:f>
              <c:numCache>
                <c:formatCode>#,##0</c:formatCode>
                <c:ptCount val="346"/>
                <c:pt idx="0">
                  <c:v>13052.76</c:v>
                </c:pt>
                <c:pt idx="1">
                  <c:v>10625.32</c:v>
                </c:pt>
                <c:pt idx="2">
                  <c:v>30946.33</c:v>
                </c:pt>
                <c:pt idx="3">
                  <c:v>34047.08</c:v>
                </c:pt>
                <c:pt idx="4">
                  <c:v>4584.8999999999996</c:v>
                </c:pt>
                <c:pt idx="5">
                  <c:v>24167.449999999997</c:v>
                </c:pt>
                <c:pt idx="6">
                  <c:v>20461.88</c:v>
                </c:pt>
                <c:pt idx="7">
                  <c:v>7159.74</c:v>
                </c:pt>
                <c:pt idx="8">
                  <c:v>22573.46</c:v>
                </c:pt>
                <c:pt idx="9">
                  <c:v>798.75</c:v>
                </c:pt>
                <c:pt idx="10">
                  <c:v>19398.32</c:v>
                </c:pt>
                <c:pt idx="11">
                  <c:v>15432.48</c:v>
                </c:pt>
                <c:pt idx="12">
                  <c:v>10220.300000000001</c:v>
                </c:pt>
                <c:pt idx="13">
                  <c:v>9101.76</c:v>
                </c:pt>
                <c:pt idx="14">
                  <c:v>16075</c:v>
                </c:pt>
                <c:pt idx="15">
                  <c:v>23571.9</c:v>
                </c:pt>
                <c:pt idx="16">
                  <c:v>6310.56</c:v>
                </c:pt>
                <c:pt idx="17">
                  <c:v>3630.51</c:v>
                </c:pt>
                <c:pt idx="18">
                  <c:v>28645.019999999997</c:v>
                </c:pt>
                <c:pt idx="19">
                  <c:v>1477.48</c:v>
                </c:pt>
                <c:pt idx="20">
                  <c:v>7906.1100000000006</c:v>
                </c:pt>
                <c:pt idx="21">
                  <c:v>16517.23</c:v>
                </c:pt>
                <c:pt idx="22">
                  <c:v>10798.26</c:v>
                </c:pt>
                <c:pt idx="23">
                  <c:v>27448.42</c:v>
                </c:pt>
                <c:pt idx="24">
                  <c:v>6343.4800000000005</c:v>
                </c:pt>
                <c:pt idx="25">
                  <c:v>27558.909999999996</c:v>
                </c:pt>
                <c:pt idx="26">
                  <c:v>45629.560000000005</c:v>
                </c:pt>
                <c:pt idx="27">
                  <c:v>5469.6</c:v>
                </c:pt>
                <c:pt idx="28">
                  <c:v>8949</c:v>
                </c:pt>
                <c:pt idx="29">
                  <c:v>315.24</c:v>
                </c:pt>
                <c:pt idx="30">
                  <c:v>36985.83</c:v>
                </c:pt>
                <c:pt idx="31">
                  <c:v>39351.440000000002</c:v>
                </c:pt>
                <c:pt idx="32">
                  <c:v>3521.28</c:v>
                </c:pt>
                <c:pt idx="33">
                  <c:v>13906.779999999999</c:v>
                </c:pt>
                <c:pt idx="34">
                  <c:v>17236</c:v>
                </c:pt>
                <c:pt idx="35">
                  <c:v>9604.11</c:v>
                </c:pt>
                <c:pt idx="36">
                  <c:v>3994.46</c:v>
                </c:pt>
                <c:pt idx="37">
                  <c:v>13762.14</c:v>
                </c:pt>
                <c:pt idx="38">
                  <c:v>13252.04</c:v>
                </c:pt>
                <c:pt idx="39">
                  <c:v>1140.76</c:v>
                </c:pt>
                <c:pt idx="40">
                  <c:v>6867.7599999999993</c:v>
                </c:pt>
                <c:pt idx="41">
                  <c:v>2561.1999999999998</c:v>
                </c:pt>
                <c:pt idx="42">
                  <c:v>18715.71</c:v>
                </c:pt>
                <c:pt idx="43">
                  <c:v>5616.4400000000005</c:v>
                </c:pt>
                <c:pt idx="44">
                  <c:v>12780.960000000001</c:v>
                </c:pt>
                <c:pt idx="45">
                  <c:v>24426</c:v>
                </c:pt>
                <c:pt idx="46">
                  <c:v>8828.82</c:v>
                </c:pt>
                <c:pt idx="47">
                  <c:v>31609.719999999998</c:v>
                </c:pt>
                <c:pt idx="48">
                  <c:v>28834.760000000002</c:v>
                </c:pt>
                <c:pt idx="49">
                  <c:v>18775.64</c:v>
                </c:pt>
                <c:pt idx="50">
                  <c:v>59656.17</c:v>
                </c:pt>
                <c:pt idx="51">
                  <c:v>18379.39</c:v>
                </c:pt>
                <c:pt idx="52">
                  <c:v>29487.1</c:v>
                </c:pt>
                <c:pt idx="53">
                  <c:v>22095.67</c:v>
                </c:pt>
                <c:pt idx="54">
                  <c:v>15642.109999999999</c:v>
                </c:pt>
                <c:pt idx="55">
                  <c:v>46514.009999999995</c:v>
                </c:pt>
                <c:pt idx="56">
                  <c:v>41679.32</c:v>
                </c:pt>
                <c:pt idx="57">
                  <c:v>11679.45</c:v>
                </c:pt>
                <c:pt idx="58">
                  <c:v>19311.78</c:v>
                </c:pt>
                <c:pt idx="59">
                  <c:v>1992.8</c:v>
                </c:pt>
                <c:pt idx="60">
                  <c:v>34045.270000000004</c:v>
                </c:pt>
                <c:pt idx="61">
                  <c:v>8870.4</c:v>
                </c:pt>
                <c:pt idx="62">
                  <c:v>4572.75</c:v>
                </c:pt>
                <c:pt idx="63">
                  <c:v>4569.7199999999993</c:v>
                </c:pt>
                <c:pt idx="64">
                  <c:v>3859.2</c:v>
                </c:pt>
                <c:pt idx="65">
                  <c:v>32342.04</c:v>
                </c:pt>
                <c:pt idx="66">
                  <c:v>33606.559999999998</c:v>
                </c:pt>
                <c:pt idx="67">
                  <c:v>29975.919999999998</c:v>
                </c:pt>
                <c:pt idx="68">
                  <c:v>12075.39</c:v>
                </c:pt>
                <c:pt idx="69">
                  <c:v>31363.200000000001</c:v>
                </c:pt>
                <c:pt idx="70">
                  <c:v>9770.52</c:v>
                </c:pt>
                <c:pt idx="71">
                  <c:v>2601.92</c:v>
                </c:pt>
                <c:pt idx="72">
                  <c:v>14006.44</c:v>
                </c:pt>
                <c:pt idx="73">
                  <c:v>31513.189999999995</c:v>
                </c:pt>
                <c:pt idx="74">
                  <c:v>23352.28</c:v>
                </c:pt>
                <c:pt idx="75">
                  <c:v>1525.44</c:v>
                </c:pt>
                <c:pt idx="76">
                  <c:v>24653.5</c:v>
                </c:pt>
                <c:pt idx="77">
                  <c:v>27750.760000000002</c:v>
                </c:pt>
                <c:pt idx="78">
                  <c:v>29618.68</c:v>
                </c:pt>
                <c:pt idx="79">
                  <c:v>24768.299999999996</c:v>
                </c:pt>
                <c:pt idx="80">
                  <c:v>5850.9</c:v>
                </c:pt>
                <c:pt idx="81">
                  <c:v>22210.559999999998</c:v>
                </c:pt>
                <c:pt idx="82">
                  <c:v>34152.879999999997</c:v>
                </c:pt>
                <c:pt idx="83">
                  <c:v>9159</c:v>
                </c:pt>
                <c:pt idx="84">
                  <c:v>11753.79</c:v>
                </c:pt>
                <c:pt idx="85">
                  <c:v>18959.84</c:v>
                </c:pt>
                <c:pt idx="86">
                  <c:v>4105.34</c:v>
                </c:pt>
                <c:pt idx="87">
                  <c:v>2331</c:v>
                </c:pt>
                <c:pt idx="88">
                  <c:v>16898.62</c:v>
                </c:pt>
                <c:pt idx="89">
                  <c:v>5166.75</c:v>
                </c:pt>
                <c:pt idx="90">
                  <c:v>28236.780000000002</c:v>
                </c:pt>
                <c:pt idx="91">
                  <c:v>20464.05</c:v>
                </c:pt>
                <c:pt idx="92">
                  <c:v>22912.6</c:v>
                </c:pt>
                <c:pt idx="93">
                  <c:v>23490.82</c:v>
                </c:pt>
                <c:pt idx="94">
                  <c:v>13226.759999999998</c:v>
                </c:pt>
                <c:pt idx="95">
                  <c:v>42734.31</c:v>
                </c:pt>
                <c:pt idx="96">
                  <c:v>18943.55</c:v>
                </c:pt>
                <c:pt idx="97">
                  <c:v>14421.6</c:v>
                </c:pt>
                <c:pt idx="98">
                  <c:v>1659.96</c:v>
                </c:pt>
                <c:pt idx="99">
                  <c:v>25796.92</c:v>
                </c:pt>
                <c:pt idx="100">
                  <c:v>1184.94</c:v>
                </c:pt>
                <c:pt idx="101">
                  <c:v>22064.080000000002</c:v>
                </c:pt>
                <c:pt idx="102">
                  <c:v>27472.3</c:v>
                </c:pt>
                <c:pt idx="103">
                  <c:v>20870.8</c:v>
                </c:pt>
                <c:pt idx="104">
                  <c:v>18331.650000000001</c:v>
                </c:pt>
                <c:pt idx="105">
                  <c:v>36316.619999999995</c:v>
                </c:pt>
                <c:pt idx="106">
                  <c:v>8749.52</c:v>
                </c:pt>
                <c:pt idx="107">
                  <c:v>29186.7</c:v>
                </c:pt>
                <c:pt idx="108">
                  <c:v>7393.32</c:v>
                </c:pt>
                <c:pt idx="109">
                  <c:v>12944.15</c:v>
                </c:pt>
                <c:pt idx="110">
                  <c:v>8198.99</c:v>
                </c:pt>
                <c:pt idx="111">
                  <c:v>54146.31</c:v>
                </c:pt>
                <c:pt idx="112">
                  <c:v>3893.8199999999997</c:v>
                </c:pt>
                <c:pt idx="113">
                  <c:v>1594.1</c:v>
                </c:pt>
                <c:pt idx="114">
                  <c:v>13184.93</c:v>
                </c:pt>
                <c:pt idx="115">
                  <c:v>43206.530000000006</c:v>
                </c:pt>
                <c:pt idx="116">
                  <c:v>19594.03</c:v>
                </c:pt>
                <c:pt idx="117">
                  <c:v>22906</c:v>
                </c:pt>
                <c:pt idx="118">
                  <c:v>38618.1</c:v>
                </c:pt>
                <c:pt idx="119">
                  <c:v>443.84</c:v>
                </c:pt>
                <c:pt idx="120">
                  <c:v>15224.95</c:v>
                </c:pt>
                <c:pt idx="121">
                  <c:v>9913.7100000000009</c:v>
                </c:pt>
                <c:pt idx="122">
                  <c:v>5518.8</c:v>
                </c:pt>
                <c:pt idx="123">
                  <c:v>4712.59</c:v>
                </c:pt>
                <c:pt idx="124">
                  <c:v>7085.1</c:v>
                </c:pt>
                <c:pt idx="125">
                  <c:v>9984.39</c:v>
                </c:pt>
                <c:pt idx="126">
                  <c:v>11785.76</c:v>
                </c:pt>
                <c:pt idx="127">
                  <c:v>3706.5</c:v>
                </c:pt>
                <c:pt idx="128">
                  <c:v>3081.78</c:v>
                </c:pt>
                <c:pt idx="129">
                  <c:v>10102.25</c:v>
                </c:pt>
                <c:pt idx="130">
                  <c:v>29905.54</c:v>
                </c:pt>
                <c:pt idx="131">
                  <c:v>17156.900000000001</c:v>
                </c:pt>
                <c:pt idx="132">
                  <c:v>17574.34</c:v>
                </c:pt>
                <c:pt idx="133">
                  <c:v>11382.44</c:v>
                </c:pt>
                <c:pt idx="134">
                  <c:v>3915</c:v>
                </c:pt>
                <c:pt idx="135">
                  <c:v>58611.359999999993</c:v>
                </c:pt>
                <c:pt idx="136">
                  <c:v>1098.79</c:v>
                </c:pt>
                <c:pt idx="137">
                  <c:v>18418.98</c:v>
                </c:pt>
                <c:pt idx="138">
                  <c:v>24009</c:v>
                </c:pt>
                <c:pt idx="139">
                  <c:v>14804.07</c:v>
                </c:pt>
                <c:pt idx="140">
                  <c:v>10140.66</c:v>
                </c:pt>
                <c:pt idx="141">
                  <c:v>51584.18</c:v>
                </c:pt>
                <c:pt idx="142">
                  <c:v>40014.409999999996</c:v>
                </c:pt>
                <c:pt idx="143">
                  <c:v>25390.86</c:v>
                </c:pt>
                <c:pt idx="144">
                  <c:v>3535.29</c:v>
                </c:pt>
                <c:pt idx="145">
                  <c:v>10527.25</c:v>
                </c:pt>
                <c:pt idx="146">
                  <c:v>40491.9</c:v>
                </c:pt>
                <c:pt idx="147">
                  <c:v>29191.83</c:v>
                </c:pt>
                <c:pt idx="148">
                  <c:v>24082.080000000002</c:v>
                </c:pt>
                <c:pt idx="149">
                  <c:v>36505.42</c:v>
                </c:pt>
                <c:pt idx="150">
                  <c:v>6168.2000000000007</c:v>
                </c:pt>
                <c:pt idx="151">
                  <c:v>7602</c:v>
                </c:pt>
                <c:pt idx="152">
                  <c:v>19923.849999999999</c:v>
                </c:pt>
                <c:pt idx="153">
                  <c:v>1023.4</c:v>
                </c:pt>
                <c:pt idx="154">
                  <c:v>33194.189999999995</c:v>
                </c:pt>
                <c:pt idx="155">
                  <c:v>18589.77</c:v>
                </c:pt>
                <c:pt idx="156">
                  <c:v>10536.439999999999</c:v>
                </c:pt>
                <c:pt idx="157">
                  <c:v>14120.58</c:v>
                </c:pt>
                <c:pt idx="158">
                  <c:v>12143.6</c:v>
                </c:pt>
                <c:pt idx="159">
                  <c:v>1790.8</c:v>
                </c:pt>
                <c:pt idx="160">
                  <c:v>10669.2</c:v>
                </c:pt>
                <c:pt idx="161">
                  <c:v>7595.65</c:v>
                </c:pt>
                <c:pt idx="162">
                  <c:v>32992.519999999997</c:v>
                </c:pt>
                <c:pt idx="163">
                  <c:v>18000.350000000002</c:v>
                </c:pt>
                <c:pt idx="164">
                  <c:v>16074.25</c:v>
                </c:pt>
                <c:pt idx="165">
                  <c:v>39451.479999999996</c:v>
                </c:pt>
                <c:pt idx="166">
                  <c:v>9537.36</c:v>
                </c:pt>
                <c:pt idx="167">
                  <c:v>29277.08</c:v>
                </c:pt>
                <c:pt idx="168">
                  <c:v>24714.93</c:v>
                </c:pt>
                <c:pt idx="169">
                  <c:v>11557.71</c:v>
                </c:pt>
                <c:pt idx="170">
                  <c:v>18908.939999999999</c:v>
                </c:pt>
                <c:pt idx="171">
                  <c:v>13422.64</c:v>
                </c:pt>
                <c:pt idx="172">
                  <c:v>23498.98</c:v>
                </c:pt>
                <c:pt idx="173">
                  <c:v>7473.45</c:v>
                </c:pt>
                <c:pt idx="174">
                  <c:v>22390.74</c:v>
                </c:pt>
                <c:pt idx="175">
                  <c:v>13454.34</c:v>
                </c:pt>
                <c:pt idx="176">
                  <c:v>33288.400000000001</c:v>
                </c:pt>
                <c:pt idx="177">
                  <c:v>33447.050000000003</c:v>
                </c:pt>
                <c:pt idx="178">
                  <c:v>8382.42</c:v>
                </c:pt>
                <c:pt idx="179">
                  <c:v>9873.0299999999988</c:v>
                </c:pt>
                <c:pt idx="180">
                  <c:v>22227.82</c:v>
                </c:pt>
                <c:pt idx="181">
                  <c:v>15383.02</c:v>
                </c:pt>
                <c:pt idx="182">
                  <c:v>33090.659999999996</c:v>
                </c:pt>
                <c:pt idx="183">
                  <c:v>29689</c:v>
                </c:pt>
                <c:pt idx="184">
                  <c:v>8825.56</c:v>
                </c:pt>
                <c:pt idx="185">
                  <c:v>39664.719999999994</c:v>
                </c:pt>
                <c:pt idx="186">
                  <c:v>55104.780000000006</c:v>
                </c:pt>
                <c:pt idx="187">
                  <c:v>19220.3</c:v>
                </c:pt>
                <c:pt idx="188">
                  <c:v>38288.44</c:v>
                </c:pt>
                <c:pt idx="189">
                  <c:v>15132.63</c:v>
                </c:pt>
                <c:pt idx="190">
                  <c:v>34380.120000000003</c:v>
                </c:pt>
                <c:pt idx="191">
                  <c:v>41948.12</c:v>
                </c:pt>
                <c:pt idx="192">
                  <c:v>22729.16</c:v>
                </c:pt>
                <c:pt idx="193">
                  <c:v>17554.599999999999</c:v>
                </c:pt>
                <c:pt idx="194">
                  <c:v>28382.080000000002</c:v>
                </c:pt>
                <c:pt idx="195">
                  <c:v>26773.01</c:v>
                </c:pt>
                <c:pt idx="196">
                  <c:v>27475.119999999995</c:v>
                </c:pt>
                <c:pt idx="197">
                  <c:v>14890.76</c:v>
                </c:pt>
                <c:pt idx="198">
                  <c:v>25312.649999999998</c:v>
                </c:pt>
                <c:pt idx="199">
                  <c:v>2263.48</c:v>
                </c:pt>
                <c:pt idx="200">
                  <c:v>54763.780000000006</c:v>
                </c:pt>
                <c:pt idx="201">
                  <c:v>29032.65</c:v>
                </c:pt>
                <c:pt idx="202">
                  <c:v>14884.890000000001</c:v>
                </c:pt>
                <c:pt idx="203">
                  <c:v>10468.23</c:v>
                </c:pt>
                <c:pt idx="204">
                  <c:v>43409.78</c:v>
                </c:pt>
                <c:pt idx="205">
                  <c:v>5314.8099999999995</c:v>
                </c:pt>
                <c:pt idx="206">
                  <c:v>35574.400000000001</c:v>
                </c:pt>
                <c:pt idx="207">
                  <c:v>10801.35</c:v>
                </c:pt>
                <c:pt idx="208">
                  <c:v>32537.640000000003</c:v>
                </c:pt>
                <c:pt idx="209">
                  <c:v>30458.250000000004</c:v>
                </c:pt>
                <c:pt idx="210">
                  <c:v>6867.5</c:v>
                </c:pt>
                <c:pt idx="211">
                  <c:v>10306.799999999999</c:v>
                </c:pt>
                <c:pt idx="212">
                  <c:v>32900.880000000005</c:v>
                </c:pt>
                <c:pt idx="213">
                  <c:v>12711</c:v>
                </c:pt>
                <c:pt idx="214">
                  <c:v>8265.64</c:v>
                </c:pt>
                <c:pt idx="215">
                  <c:v>15049.04</c:v>
                </c:pt>
                <c:pt idx="216">
                  <c:v>34856.6</c:v>
                </c:pt>
                <c:pt idx="217">
                  <c:v>8551.08</c:v>
                </c:pt>
                <c:pt idx="218">
                  <c:v>22149.08</c:v>
                </c:pt>
                <c:pt idx="219">
                  <c:v>12535.2</c:v>
                </c:pt>
                <c:pt idx="220">
                  <c:v>31097.360000000001</c:v>
                </c:pt>
                <c:pt idx="221">
                  <c:v>24609.91</c:v>
                </c:pt>
                <c:pt idx="222">
                  <c:v>19809.109999999997</c:v>
                </c:pt>
                <c:pt idx="223">
                  <c:v>1030.08</c:v>
                </c:pt>
                <c:pt idx="224">
                  <c:v>54293.48</c:v>
                </c:pt>
                <c:pt idx="225">
                  <c:v>5568.48</c:v>
                </c:pt>
                <c:pt idx="226">
                  <c:v>9985.16</c:v>
                </c:pt>
                <c:pt idx="227">
                  <c:v>15132.36</c:v>
                </c:pt>
                <c:pt idx="228">
                  <c:v>6497.2999999999993</c:v>
                </c:pt>
                <c:pt idx="229">
                  <c:v>51047.28</c:v>
                </c:pt>
                <c:pt idx="230">
                  <c:v>18705.599999999999</c:v>
                </c:pt>
                <c:pt idx="231">
                  <c:v>11334.72</c:v>
                </c:pt>
                <c:pt idx="232">
                  <c:v>19814.68</c:v>
                </c:pt>
                <c:pt idx="233">
                  <c:v>34002.799999999996</c:v>
                </c:pt>
                <c:pt idx="234">
                  <c:v>9075.33</c:v>
                </c:pt>
                <c:pt idx="235">
                  <c:v>13575.27</c:v>
                </c:pt>
                <c:pt idx="236">
                  <c:v>9364</c:v>
                </c:pt>
                <c:pt idx="237">
                  <c:v>1971</c:v>
                </c:pt>
                <c:pt idx="238">
                  <c:v>33784.19</c:v>
                </c:pt>
                <c:pt idx="239">
                  <c:v>822.8</c:v>
                </c:pt>
                <c:pt idx="240">
                  <c:v>22810.65</c:v>
                </c:pt>
                <c:pt idx="241">
                  <c:v>15521.24</c:v>
                </c:pt>
                <c:pt idx="242">
                  <c:v>207.2</c:v>
                </c:pt>
                <c:pt idx="243">
                  <c:v>16435.150000000001</c:v>
                </c:pt>
                <c:pt idx="244">
                  <c:v>14346.470000000001</c:v>
                </c:pt>
                <c:pt idx="245">
                  <c:v>18076.28</c:v>
                </c:pt>
                <c:pt idx="246">
                  <c:v>3974.0600000000004</c:v>
                </c:pt>
                <c:pt idx="247">
                  <c:v>17064.280000000002</c:v>
                </c:pt>
                <c:pt idx="248">
                  <c:v>29810.199999999997</c:v>
                </c:pt>
                <c:pt idx="249">
                  <c:v>2092.48</c:v>
                </c:pt>
                <c:pt idx="250">
                  <c:v>18408.960000000003</c:v>
                </c:pt>
                <c:pt idx="251">
                  <c:v>11836.47</c:v>
                </c:pt>
                <c:pt idx="252">
                  <c:v>20026.05</c:v>
                </c:pt>
                <c:pt idx="253">
                  <c:v>16446.060000000001</c:v>
                </c:pt>
                <c:pt idx="254">
                  <c:v>14749.18</c:v>
                </c:pt>
                <c:pt idx="255">
                  <c:v>15176.58</c:v>
                </c:pt>
                <c:pt idx="256">
                  <c:v>11971.42</c:v>
                </c:pt>
                <c:pt idx="257">
                  <c:v>4386.55</c:v>
                </c:pt>
                <c:pt idx="258">
                  <c:v>51741.15</c:v>
                </c:pt>
                <c:pt idx="259">
                  <c:v>20227.349999999999</c:v>
                </c:pt>
                <c:pt idx="260">
                  <c:v>35465.310000000005</c:v>
                </c:pt>
                <c:pt idx="261">
                  <c:v>13359.02</c:v>
                </c:pt>
                <c:pt idx="262">
                  <c:v>9216.9</c:v>
                </c:pt>
                <c:pt idx="263">
                  <c:v>8725.1</c:v>
                </c:pt>
                <c:pt idx="264">
                  <c:v>8978.76</c:v>
                </c:pt>
                <c:pt idx="265">
                  <c:v>1915.65</c:v>
                </c:pt>
                <c:pt idx="266">
                  <c:v>44512.520000000004</c:v>
                </c:pt>
                <c:pt idx="267">
                  <c:v>11241.24</c:v>
                </c:pt>
                <c:pt idx="268">
                  <c:v>26103.96</c:v>
                </c:pt>
                <c:pt idx="269">
                  <c:v>16359.2</c:v>
                </c:pt>
                <c:pt idx="270">
                  <c:v>12541.52</c:v>
                </c:pt>
                <c:pt idx="271">
                  <c:v>22612.52</c:v>
                </c:pt>
                <c:pt idx="272">
                  <c:v>23909.46</c:v>
                </c:pt>
                <c:pt idx="273">
                  <c:v>27493.539999999997</c:v>
                </c:pt>
                <c:pt idx="274">
                  <c:v>9665.4</c:v>
                </c:pt>
                <c:pt idx="275">
                  <c:v>19602.689999999999</c:v>
                </c:pt>
                <c:pt idx="276">
                  <c:v>9799.5</c:v>
                </c:pt>
                <c:pt idx="277">
                  <c:v>48921</c:v>
                </c:pt>
                <c:pt idx="278">
                  <c:v>11568.990000000002</c:v>
                </c:pt>
                <c:pt idx="279">
                  <c:v>21196.05</c:v>
                </c:pt>
                <c:pt idx="280">
                  <c:v>41089.310000000005</c:v>
                </c:pt>
                <c:pt idx="281">
                  <c:v>6131.52</c:v>
                </c:pt>
                <c:pt idx="282">
                  <c:v>22968.6</c:v>
                </c:pt>
                <c:pt idx="283">
                  <c:v>2401.7199999999998</c:v>
                </c:pt>
                <c:pt idx="284">
                  <c:v>21430.179999999997</c:v>
                </c:pt>
                <c:pt idx="285">
                  <c:v>2751.48</c:v>
                </c:pt>
                <c:pt idx="286">
                  <c:v>3150.6</c:v>
                </c:pt>
                <c:pt idx="287">
                  <c:v>75465.679999999993</c:v>
                </c:pt>
                <c:pt idx="288">
                  <c:v>31950.289999999997</c:v>
                </c:pt>
                <c:pt idx="289">
                  <c:v>28169.050000000003</c:v>
                </c:pt>
                <c:pt idx="290">
                  <c:v>12708.900000000001</c:v>
                </c:pt>
                <c:pt idx="291">
                  <c:v>15909.16</c:v>
                </c:pt>
                <c:pt idx="292">
                  <c:v>8331.66</c:v>
                </c:pt>
                <c:pt idx="293">
                  <c:v>32375.809999999998</c:v>
                </c:pt>
                <c:pt idx="294">
                  <c:v>6281.4</c:v>
                </c:pt>
                <c:pt idx="295">
                  <c:v>1650.94</c:v>
                </c:pt>
                <c:pt idx="296">
                  <c:v>10322.740000000002</c:v>
                </c:pt>
                <c:pt idx="297">
                  <c:v>16350</c:v>
                </c:pt>
                <c:pt idx="298">
                  <c:v>17311.719999999998</c:v>
                </c:pt>
                <c:pt idx="299">
                  <c:v>55068.3</c:v>
                </c:pt>
                <c:pt idx="300">
                  <c:v>39346.080000000002</c:v>
                </c:pt>
                <c:pt idx="301">
                  <c:v>22297.649999999998</c:v>
                </c:pt>
                <c:pt idx="302">
                  <c:v>16565.96</c:v>
                </c:pt>
                <c:pt idx="303">
                  <c:v>38339.51</c:v>
                </c:pt>
                <c:pt idx="304">
                  <c:v>21245.4</c:v>
                </c:pt>
                <c:pt idx="305">
                  <c:v>23613.800000000003</c:v>
                </c:pt>
                <c:pt idx="306">
                  <c:v>33916.130000000005</c:v>
                </c:pt>
                <c:pt idx="307">
                  <c:v>18639.690000000002</c:v>
                </c:pt>
                <c:pt idx="308">
                  <c:v>27155.200000000001</c:v>
                </c:pt>
                <c:pt idx="309">
                  <c:v>9961.7000000000007</c:v>
                </c:pt>
                <c:pt idx="310">
                  <c:v>8283.7999999999993</c:v>
                </c:pt>
                <c:pt idx="311">
                  <c:v>4198.67</c:v>
                </c:pt>
                <c:pt idx="312">
                  <c:v>28107.18</c:v>
                </c:pt>
                <c:pt idx="313">
                  <c:v>9418.4700000000012</c:v>
                </c:pt>
                <c:pt idx="314">
                  <c:v>5549.92</c:v>
                </c:pt>
                <c:pt idx="315">
                  <c:v>18935.900000000001</c:v>
                </c:pt>
                <c:pt idx="316">
                  <c:v>2340.06</c:v>
                </c:pt>
                <c:pt idx="317">
                  <c:v>39636.599999999991</c:v>
                </c:pt>
                <c:pt idx="318">
                  <c:v>13283.179999999998</c:v>
                </c:pt>
                <c:pt idx="319">
                  <c:v>20707.949999999997</c:v>
                </c:pt>
                <c:pt idx="320">
                  <c:v>31130.37</c:v>
                </c:pt>
                <c:pt idx="321">
                  <c:v>16426.400000000001</c:v>
                </c:pt>
                <c:pt idx="322">
                  <c:v>8468.81</c:v>
                </c:pt>
                <c:pt idx="323">
                  <c:v>10808.6</c:v>
                </c:pt>
                <c:pt idx="324">
                  <c:v>13760.66</c:v>
                </c:pt>
                <c:pt idx="325">
                  <c:v>16222.68</c:v>
                </c:pt>
                <c:pt idx="326">
                  <c:v>20019.66</c:v>
                </c:pt>
                <c:pt idx="327">
                  <c:v>4548.92</c:v>
                </c:pt>
                <c:pt idx="328">
                  <c:v>34846.769999999997</c:v>
                </c:pt>
                <c:pt idx="329">
                  <c:v>33812.029999999992</c:v>
                </c:pt>
                <c:pt idx="330">
                  <c:v>16495.86</c:v>
                </c:pt>
                <c:pt idx="331">
                  <c:v>25208.730000000003</c:v>
                </c:pt>
                <c:pt idx="332">
                  <c:v>16587.91</c:v>
                </c:pt>
                <c:pt idx="333">
                  <c:v>18111.939999999999</c:v>
                </c:pt>
                <c:pt idx="334">
                  <c:v>36522.97</c:v>
                </c:pt>
                <c:pt idx="335">
                  <c:v>37388.25</c:v>
                </c:pt>
                <c:pt idx="336">
                  <c:v>30825.46</c:v>
                </c:pt>
                <c:pt idx="337">
                  <c:v>314.17</c:v>
                </c:pt>
                <c:pt idx="338">
                  <c:v>1781.12</c:v>
                </c:pt>
                <c:pt idx="339">
                  <c:v>2346.7399999999998</c:v>
                </c:pt>
                <c:pt idx="340">
                  <c:v>17199.47</c:v>
                </c:pt>
                <c:pt idx="341">
                  <c:v>4510</c:v>
                </c:pt>
                <c:pt idx="342">
                  <c:v>14391.48</c:v>
                </c:pt>
                <c:pt idx="343">
                  <c:v>20393.78</c:v>
                </c:pt>
                <c:pt idx="344">
                  <c:v>13020.269999999999</c:v>
                </c:pt>
                <c:pt idx="345">
                  <c:v>4777.92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2B4-39AB-4C50-867A-9FE3C6784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14</xdr:col>
      <xdr:colOff>491972</xdr:colOff>
      <xdr:row>16</xdr:row>
      <xdr:rowOff>156068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590A63-8ABD-4736-ADE6-D6571DC8B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9</xdr:col>
      <xdr:colOff>46909</xdr:colOff>
      <xdr:row>36</xdr:row>
      <xdr:rowOff>156068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A5AABB-C355-404A-8A2D-991FB2F01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406977</xdr:colOff>
      <xdr:row>19</xdr:row>
      <xdr:rowOff>129887</xdr:rowOff>
    </xdr:from>
    <xdr:to>
      <xdr:col>16</xdr:col>
      <xdr:colOff>129887</xdr:colOff>
      <xdr:row>34</xdr:row>
      <xdr:rowOff>145473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11E44D-7973-44FA-9186-C8ED4E8039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3</xdr:row>
      <xdr:rowOff>0</xdr:rowOff>
    </xdr:from>
    <xdr:to>
      <xdr:col>23</xdr:col>
      <xdr:colOff>149045</xdr:colOff>
      <xdr:row>16</xdr:row>
      <xdr:rowOff>156068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89E889-1EBB-454D-A201-B17DFF499C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40</xdr:row>
      <xdr:rowOff>0</xdr:rowOff>
    </xdr:from>
    <xdr:to>
      <xdr:col>12</xdr:col>
      <xdr:colOff>437045</xdr:colOff>
      <xdr:row>53</xdr:row>
      <xdr:rowOff>156068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FDFEA2-4348-4B0D-BEE4-E5AC5675BB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43</xdr:row>
      <xdr:rowOff>0</xdr:rowOff>
    </xdr:from>
    <xdr:to>
      <xdr:col>19</xdr:col>
      <xdr:colOff>509045</xdr:colOff>
      <xdr:row>57</xdr:row>
      <xdr:rowOff>10227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79B109D-7E01-402F-B60E-0019F16060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BHAV KONER" refreshedDate="46107.844383101852" createdVersion="8" refreshedVersion="8" minRefreshableVersion="3" recordCount="999" xr:uid="{42FEEAA2-5338-4257-80CF-25B28513EE5D}">
  <cacheSource type="worksheet">
    <worksheetSource ref="A1:R1000" sheet="Working Data"/>
  </cacheSource>
  <cacheFields count="18">
    <cacheField name="ORD0224" numFmtId="0">
      <sharedItems/>
    </cacheField>
    <cacheField name="2023-02-03" numFmtId="0">
      <sharedItems/>
    </cacheField>
    <cacheField name="CUST238" numFmtId="0">
      <sharedItems/>
    </cacheField>
    <cacheField name="Clothing" numFmtId="0">
      <sharedItems count="5">
        <s v="Home"/>
        <s v="Beauty"/>
        <s v="Sports"/>
        <s v="Clothing"/>
        <s v="Electronics"/>
      </sharedItems>
    </cacheField>
    <cacheField name="Face Cream" numFmtId="0">
      <sharedItems/>
    </cacheField>
    <cacheField name="Bangalore" numFmtId="0">
      <sharedItems/>
    </cacheField>
    <cacheField name="Tamil Nadu" numFmtId="0">
      <sharedItems/>
    </cacheField>
    <cacheField name="Cash on Delivery" numFmtId="0">
      <sharedItems count="4">
        <s v="Cash on Delivery"/>
        <s v="Credit Card"/>
        <s v="Debit Card"/>
        <s v="UPI"/>
      </sharedItems>
    </cacheField>
    <cacheField name="5" numFmtId="0">
      <sharedItems containsSemiMixedTypes="0" containsString="0" containsNumber="1" containsInteger="1" minValue="1" maxValue="5"/>
    </cacheField>
    <cacheField name="4864" numFmtId="0">
      <sharedItems containsSemiMixedTypes="0" containsString="0" containsNumber="1" containsInteger="1" minValue="201" maxValue="4999"/>
    </cacheField>
    <cacheField name="4" numFmtId="0">
      <sharedItems containsSemiMixedTypes="0" containsString="0" containsNumber="1" containsInteger="1" minValue="0" maxValue="30"/>
    </cacheField>
    <cacheField name="23347.2" numFmtId="0">
      <sharedItems containsSemiMixedTypes="0" containsString="0" containsNumber="1" minValue="165.36" maxValue="22304.799999999999"/>
    </cacheField>
    <cacheField name="23347.22" numFmtId="0">
      <sharedItems containsSemiMixedTypes="0" containsString="0" containsNumber="1" minValue="165.36" maxValue="22304.799999999999"/>
    </cacheField>
    <cacheField name="6506678.71" numFmtId="0">
      <sharedItems containsSemiMixedTypes="0" containsString="0" containsNumber="1" minValue="165.36" maxValue="6483331.5100000016"/>
    </cacheField>
    <cacheField name="6506.67871" numFmtId="0">
      <sharedItems containsSemiMixedTypes="0" containsString="0" containsNumber="1" minValue="165.36" maxValue="6489.8213313313327"/>
    </cacheField>
    <cacheField name="3034" numFmtId="0">
      <sharedItems containsSemiMixedTypes="0" containsString="0" containsNumber="1" containsInteger="1" minValue="1" maxValue="3029"/>
    </cacheField>
    <cacheField name="Not Found" numFmtId="0">
      <sharedItems/>
    </cacheField>
    <cacheField name="High Sal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BHAV KONER" refreshedDate="46107.916378125003" createdVersion="8" refreshedVersion="8" minRefreshableVersion="3" recordCount="1000" xr:uid="{977DB710-3332-48A2-AE9E-2A5CC315ACEC}">
  <cacheSource type="worksheet">
    <worksheetSource ref="A1:P1001" sheet="Working Data"/>
  </cacheSource>
  <cacheFields count="16">
    <cacheField name="Order_ID" numFmtId="0">
      <sharedItems/>
    </cacheField>
    <cacheField name="Order_Date" numFmtId="0">
      <sharedItems count="346">
        <s v="2023-02-03"/>
        <s v="2023-05-23"/>
        <s v="2023-03-24"/>
        <s v="2023-11-17"/>
        <s v="2023-11-19"/>
        <s v="2023-07-21"/>
        <s v="2023-02-21"/>
        <s v="2023-03-15"/>
        <s v="2023-07-11"/>
        <s v="2023-10-30"/>
        <s v="2023-10-01"/>
        <s v="2023-08-26"/>
        <s v="2023-07-27"/>
        <s v="2023-05-03"/>
        <s v="2023-11-12"/>
        <s v="2023-01-04"/>
        <s v="2023-10-16"/>
        <s v="2023-08-16"/>
        <s v="2023-07-19"/>
        <s v="2023-08-01"/>
        <s v="2023-04-13"/>
        <s v="2023-05-30"/>
        <s v="2023-10-23"/>
        <s v="2023-07-13"/>
        <s v="2023-03-20"/>
        <s v="2023-08-04"/>
        <s v="2023-12-17"/>
        <s v="2023-03-29"/>
        <s v="2023-06-26"/>
        <s v="2023-07-04"/>
        <s v="2023-06-12"/>
        <s v="2023-07-17"/>
        <s v="2023-09-11"/>
        <s v="2023-06-05"/>
        <s v="2023-10-31"/>
        <s v="2023-10-03"/>
        <s v="2023-10-20"/>
        <s v="2023-04-21"/>
        <s v="2023-06-10"/>
        <s v="2023-05-06"/>
        <s v="2023-03-01"/>
        <s v="2023-04-08"/>
        <s v="2023-04-03"/>
        <s v="2023-05-27"/>
        <s v="2023-07-25"/>
        <s v="2023-08-06"/>
        <s v="2023-12-30"/>
        <s v="2023-09-18"/>
        <s v="2023-11-16"/>
        <s v="2023-08-08"/>
        <s v="2023-11-27"/>
        <s v="2023-12-06"/>
        <s v="2023-04-14"/>
        <s v="2023-10-12"/>
        <s v="2023-04-11"/>
        <s v="2023-01-27"/>
        <s v="2023-02-19"/>
        <s v="2023-08-12"/>
        <s v="2023-01-08"/>
        <s v="2023-02-04"/>
        <s v="2023-12-20"/>
        <s v="2023-12-22"/>
        <s v="2023-11-13"/>
        <s v="2023-04-19"/>
        <s v="2023-01-17"/>
        <s v="2023-07-31"/>
        <s v="2023-12-03"/>
        <s v="2023-02-27"/>
        <s v="2023-10-02"/>
        <s v="2023-12-19"/>
        <s v="2023-04-10"/>
        <s v="2023-11-01"/>
        <s v="2023-09-19"/>
        <s v="2023-12-07"/>
        <s v="2023-07-06"/>
        <s v="2023-03-30"/>
        <s v="2023-06-21"/>
        <s v="2023-10-22"/>
        <s v="2023-06-22"/>
        <s v="2023-06-29"/>
        <s v="2023-07-18"/>
        <s v="2023-11-15"/>
        <s v="2023-09-03"/>
        <s v="2023-03-06"/>
        <s v="2023-04-15"/>
        <s v="2023-06-04"/>
        <s v="2023-08-20"/>
        <s v="2023-09-16"/>
        <s v="2023-07-07"/>
        <s v="2023-01-30"/>
        <s v="2023-10-25"/>
        <s v="2023-01-16"/>
        <s v="2023-08-09"/>
        <s v="2023-09-04"/>
        <s v="2023-02-10"/>
        <s v="2023-12-18"/>
        <s v="2023-12-15"/>
        <s v="2023-03-25"/>
        <s v="2023-08-31"/>
        <s v="2023-02-07"/>
        <s v="2023-03-11"/>
        <s v="2023-04-20"/>
        <s v="2023-06-30"/>
        <s v="2023-01-22"/>
        <s v="2023-09-01"/>
        <s v="2023-06-24"/>
        <s v="2023-04-17"/>
        <s v="2023-03-13"/>
        <s v="2023-02-22"/>
        <s v="2023-05-28"/>
        <s v="2023-07-14"/>
        <s v="2023-04-27"/>
        <s v="2023-02-26"/>
        <s v="2023-12-16"/>
        <s v="2023-02-24"/>
        <s v="2023-08-13"/>
        <s v="2023-03-26"/>
        <s v="2023-03-19"/>
        <s v="2023-07-26"/>
        <s v="2023-08-19"/>
        <s v="2023-08-18"/>
        <s v="2023-04-29"/>
        <s v="2023-09-24"/>
        <s v="2023-11-10"/>
        <s v="2023-01-06"/>
        <s v="2023-10-15"/>
        <s v="2023-06-07"/>
        <s v="2023-11-05"/>
        <s v="2023-06-27"/>
        <s v="2023-10-09"/>
        <s v="2023-06-16"/>
        <s v="2023-06-06"/>
        <s v="2023-06-15"/>
        <s v="2023-06-13"/>
        <s v="2023-03-02"/>
        <s v="2023-10-04"/>
        <s v="2023-12-05"/>
        <s v="2023-12-10"/>
        <s v="2023-12-21"/>
        <s v="2023-05-26"/>
        <s v="2023-02-18"/>
        <s v="2023-01-29"/>
        <s v="2023-07-23"/>
        <s v="2023-07-01"/>
        <s v="2023-10-18"/>
        <s v="2023-04-22"/>
        <s v="2023-07-16"/>
        <s v="2023-12-09"/>
        <s v="2023-08-07"/>
        <s v="2023-11-14"/>
        <s v="2023-04-23"/>
        <s v="2023-06-18"/>
        <s v="2023-03-03"/>
        <s v="2023-11-18"/>
        <s v="2023-07-22"/>
        <s v="2023-01-10"/>
        <s v="2023-06-03"/>
        <s v="2023-12-26"/>
        <s v="2023-04-06"/>
        <s v="2023-05-31"/>
        <s v="2023-08-11"/>
        <s v="2023-12-14"/>
        <s v="2023-07-24"/>
        <s v="2023-05-18"/>
        <s v="2023-03-14"/>
        <s v="2023-01-13"/>
        <s v="2023-05-17"/>
        <s v="2023-05-04"/>
        <s v="2023-01-12"/>
        <s v="2023-02-25"/>
        <s v="2023-10-14"/>
        <s v="2023-08-29"/>
        <s v="2023-05-21"/>
        <s v="2023-10-19"/>
        <s v="2023-10-11"/>
        <s v="2023-07-29"/>
        <s v="2023-04-09"/>
        <s v="2023-10-17"/>
        <s v="2023-09-09"/>
        <s v="2023-06-25"/>
        <s v="2023-06-01"/>
        <s v="2023-09-23"/>
        <s v="2023-09-25"/>
        <s v="2023-09-07"/>
        <s v="2023-10-27"/>
        <s v="2023-10-05"/>
        <s v="2023-11-02"/>
        <s v="2023-03-31"/>
        <s v="2023-09-06"/>
        <s v="2023-05-02"/>
        <s v="2023-05-19"/>
        <s v="2023-01-03"/>
        <s v="2023-08-15"/>
        <s v="2023-03-23"/>
        <s v="2023-12-04"/>
        <s v="2023-03-07"/>
        <s v="2023-02-20"/>
        <s v="2023-07-28"/>
        <s v="2023-11-21"/>
        <s v="2023-09-28"/>
        <s v="2023-08-22"/>
        <s v="2023-04-01"/>
        <s v="2023-12-01"/>
        <s v="2023-12-12"/>
        <s v="2023-09-02"/>
        <s v="2023-03-12"/>
        <s v="2023-05-20"/>
        <s v="2023-05-29"/>
        <s v="2023-03-04"/>
        <s v="2023-01-25"/>
        <s v="2023-11-23"/>
        <s v="2023-06-23"/>
        <s v="2023-09-15"/>
        <s v="2023-08-03"/>
        <s v="2023-05-05"/>
        <s v="2023-07-12"/>
        <s v="2023-02-11"/>
        <s v="2023-06-28"/>
        <s v="2023-08-21"/>
        <s v="2023-02-23"/>
        <s v="2023-11-20"/>
        <s v="2023-04-25"/>
        <s v="2023-09-21"/>
        <s v="2023-09-12"/>
        <s v="2023-02-08"/>
        <s v="2023-06-09"/>
        <s v="2023-06-19"/>
        <s v="2023-09-22"/>
        <s v="2023-07-05"/>
        <s v="2023-10-21"/>
        <s v="2023-02-06"/>
        <s v="2023-04-26"/>
        <s v="2023-12-11"/>
        <s v="2023-07-20"/>
        <s v="2023-10-10"/>
        <s v="2023-10-07"/>
        <s v="2023-12-29"/>
        <s v="2023-01-15"/>
        <s v="2023-07-09"/>
        <s v="2023-02-01"/>
        <s v="2023-12-08"/>
        <s v="2023-04-24"/>
        <s v="2023-11-04"/>
        <s v="2023-09-05"/>
        <s v="2023-09-26"/>
        <s v="2023-03-18"/>
        <s v="2023-09-14"/>
        <s v="2023-02-16"/>
        <s v="2023-11-11"/>
        <s v="2023-04-12"/>
        <s v="2023-05-08"/>
        <s v="2023-12-31"/>
        <s v="2023-11-06"/>
        <s v="2023-01-02"/>
        <s v="2023-05-12"/>
        <s v="2023-01-01"/>
        <s v="2023-08-17"/>
        <s v="2023-10-13"/>
        <s v="2023-03-27"/>
        <s v="2023-02-28"/>
        <s v="2023-01-26"/>
        <s v="2023-05-14"/>
        <s v="2023-08-02"/>
        <s v="2023-08-27"/>
        <s v="2023-05-10"/>
        <s v="2023-01-31"/>
        <s v="2023-11-22"/>
        <s v="2023-01-24"/>
        <s v="2023-07-08"/>
        <s v="2023-05-13"/>
        <s v="2023-07-15"/>
        <s v="2023-04-07"/>
        <s v="2023-05-09"/>
        <s v="2023-11-09"/>
        <s v="2023-08-14"/>
        <s v="2023-03-16"/>
        <s v="2023-11-29"/>
        <s v="2023-11-30"/>
        <s v="2024-01-01"/>
        <s v="2023-01-28"/>
        <s v="2023-08-28"/>
        <s v="2023-01-14"/>
        <s v="2023-01-05"/>
        <s v="2023-02-13"/>
        <s v="2023-12-27"/>
        <s v="2023-08-05"/>
        <s v="2023-09-30"/>
        <s v="2023-04-28"/>
        <s v="2023-08-10"/>
        <s v="2023-07-02"/>
        <s v="2023-02-09"/>
        <s v="2023-05-11"/>
        <s v="2023-03-10"/>
        <s v="2023-03-08"/>
        <s v="2023-02-17"/>
        <s v="2023-06-14"/>
        <s v="2023-11-03"/>
        <s v="2023-01-21"/>
        <s v="2023-01-09"/>
        <s v="2023-06-02"/>
        <s v="2023-02-05"/>
        <s v="2023-01-18"/>
        <s v="2023-08-30"/>
        <s v="2023-10-29"/>
        <s v="2023-06-08"/>
        <s v="2023-05-16"/>
        <s v="2023-03-09"/>
        <s v="2023-09-17"/>
        <s v="2023-10-06"/>
        <s v="2023-10-24"/>
        <s v="2023-04-04"/>
        <s v="2023-05-22"/>
        <s v="2023-02-15"/>
        <s v="2023-10-26"/>
        <s v="2023-12-02"/>
        <s v="2023-04-05"/>
        <s v="2023-12-13"/>
        <s v="2023-04-30"/>
        <s v="2023-07-30"/>
        <s v="2023-10-28"/>
        <s v="2023-11-24"/>
        <s v="2023-05-15"/>
        <s v="2023-03-05"/>
        <s v="2023-09-08"/>
        <s v="2023-10-08"/>
        <s v="2023-06-17"/>
        <s v="2023-12-24"/>
        <s v="2023-12-25"/>
        <s v="2023-04-16"/>
        <s v="2023-11-08"/>
        <s v="2023-05-01"/>
        <s v="2023-03-22"/>
        <s v="2023-01-23"/>
        <s v="2023-04-18"/>
        <s v="2023-02-12"/>
        <s v="2023-03-17"/>
        <s v="2023-05-24"/>
        <s v="2023-09-20"/>
        <s v="2023-08-25"/>
        <s v="2023-06-11"/>
        <s v="2023-09-10"/>
        <s v="2023-01-11"/>
        <s v="2023-05-07"/>
        <s v="2023-02-02"/>
        <s v="2023-12-23"/>
        <s v="2023-09-13"/>
      </sharedItems>
    </cacheField>
    <cacheField name="Customer_ID" numFmtId="0">
      <sharedItems count="290">
        <s v="CUST238"/>
        <s v="CUST191"/>
        <s v="CUST014"/>
        <s v="CUST160"/>
        <s v="CUST216"/>
        <s v="CUST101"/>
        <s v="CUST244"/>
        <s v="CUST015"/>
        <s v="CUST106"/>
        <s v="CUST202"/>
        <s v="CUST155"/>
        <s v="CUST122"/>
        <s v="CUST074"/>
        <s v="CUST266"/>
        <s v="CUST071"/>
        <s v="CUST035"/>
        <s v="CUST215"/>
        <s v="CUST059"/>
        <s v="CUST026"/>
        <s v="CUST102"/>
        <s v="CUST009"/>
        <s v="CUST123"/>
        <s v="CUST042"/>
        <s v="CUST239"/>
        <s v="CUST056"/>
        <s v="CUST029"/>
        <s v="CUST249"/>
        <s v="CUST213"/>
        <s v="CUST067"/>
        <s v="CUST185"/>
        <s v="CUST006"/>
        <s v="CUST157"/>
        <s v="CUST300"/>
        <s v="CUST227"/>
        <s v="CUST038"/>
        <s v="CUST130"/>
        <s v="CUST129"/>
        <s v="CUST225"/>
        <s v="CUST272"/>
        <s v="CUST209"/>
        <s v="CUST138"/>
        <s v="CUST065"/>
        <s v="CUST105"/>
        <s v="CUST077"/>
        <s v="CUST219"/>
        <s v="CUST041"/>
        <s v="CUST118"/>
        <s v="CUST148"/>
        <s v="CUST211"/>
        <s v="CUST141"/>
        <s v="CUST103"/>
        <s v="CUST047"/>
        <s v="CUST098"/>
        <s v="CUST083"/>
        <s v="CUST073"/>
        <s v="CUST158"/>
        <s v="CUST236"/>
        <s v="CUST152"/>
        <s v="CUST120"/>
        <s v="CUST208"/>
        <s v="CUST243"/>
        <s v="CUST016"/>
        <s v="CUST280"/>
        <s v="CUST121"/>
        <s v="CUST224"/>
        <s v="CUST003"/>
        <s v="CUST046"/>
        <s v="CUST144"/>
        <s v="CUST019"/>
        <s v="CUST241"/>
        <s v="CUST079"/>
        <s v="CUST250"/>
        <s v="CUST282"/>
        <s v="CUST021"/>
        <s v="CUST110"/>
        <s v="CUST189"/>
        <s v="CUST262"/>
        <s v="CUST246"/>
        <s v="CUST163"/>
        <s v="CUST150"/>
        <s v="CUST159"/>
        <s v="CUST147"/>
        <s v="CUST078"/>
        <s v="CUST066"/>
        <s v="CUST171"/>
        <s v="CUST139"/>
        <s v="CUST063"/>
        <s v="CUST270"/>
        <s v="CUST055"/>
        <s v="CUST176"/>
        <s v="CUST220"/>
        <s v="CUST137"/>
        <s v="CUST039"/>
        <s v="CUST156"/>
        <s v="CUST281"/>
        <s v="CUST069"/>
        <s v="CUST232"/>
        <s v="CUST032"/>
        <s v="CUST053"/>
        <s v="CUST095"/>
        <s v="CUST104"/>
        <s v="CUST235"/>
        <s v="CUST117"/>
        <s v="CUST054"/>
        <s v="CUST162"/>
        <s v="CUST100"/>
        <s v="CUST033"/>
        <s v="CUST204"/>
        <s v="CUST023"/>
        <s v="CUST136"/>
        <s v="CUST057"/>
        <s v="CUST190"/>
        <s v="CUST286"/>
        <s v="CUST143"/>
        <s v="CUST050"/>
        <s v="CUST061"/>
        <s v="CUST285"/>
        <s v="CUST020"/>
        <s v="CUST007"/>
        <s v="CUST247"/>
        <s v="CUST165"/>
        <s v="CUST170"/>
        <s v="CUST004"/>
        <s v="CUST154"/>
        <s v="CUST008"/>
        <s v="CUST222"/>
        <s v="CUST296"/>
        <s v="CUST289"/>
        <s v="CUST018"/>
        <s v="CUST252"/>
        <s v="CUST203"/>
        <s v="CUST237"/>
        <s v="CUST114"/>
        <s v="CUST210"/>
        <s v="CUST086"/>
        <s v="CUST265"/>
        <s v="CUST094"/>
        <s v="CUST149"/>
        <s v="CUST293"/>
        <s v="CUST260"/>
        <s v="CUST167"/>
        <s v="CUST093"/>
        <s v="CUST109"/>
        <s v="CUST179"/>
        <s v="CUST119"/>
        <s v="CUST187"/>
        <s v="CUST291"/>
        <s v="CUST284"/>
        <s v="CUST271"/>
        <s v="CUST022"/>
        <s v="CUST255"/>
        <s v="CUST076"/>
        <s v="CUST096"/>
        <s v="CUST048"/>
        <s v="CUST058"/>
        <s v="CUST199"/>
        <s v="CUST184"/>
        <s v="CUST263"/>
        <s v="CUST051"/>
        <s v="CUST276"/>
        <s v="CUST174"/>
        <s v="CUST259"/>
        <s v="CUST127"/>
        <s v="CUST013"/>
        <s v="CUST107"/>
        <s v="CUST080"/>
        <s v="CUST068"/>
        <s v="CUST269"/>
        <s v="CUST092"/>
        <s v="CUST164"/>
        <s v="CUST146"/>
        <s v="CUST126"/>
        <s v="CUST099"/>
        <s v="CUST045"/>
        <s v="CUST031"/>
        <s v="CUST233"/>
        <s v="CUST133"/>
        <s v="CUST001"/>
        <s v="CUST161"/>
        <s v="CUST221"/>
        <s v="CUST180"/>
        <s v="CUST028"/>
        <s v="CUST274"/>
        <s v="CUST125"/>
        <s v="CUST195"/>
        <s v="CUST037"/>
        <s v="CUST248"/>
        <s v="CUST288"/>
        <s v="CUST135"/>
        <s v="CUST064"/>
        <s v="CUST140"/>
        <s v="CUST128"/>
        <s v="CUST205"/>
        <s v="CUST088"/>
        <s v="CUST072"/>
        <s v="CUST011"/>
        <s v="CUST132"/>
        <s v="CUST273"/>
        <s v="CUST264"/>
        <s v="CUST212"/>
        <s v="CUST168"/>
        <s v="CUST175"/>
        <s v="CUST005"/>
        <s v="CUST240"/>
        <s v="CUST153"/>
        <s v="CUST200"/>
        <s v="CUST223"/>
        <s v="CUST294"/>
        <s v="CUST254"/>
        <s v="CUST251"/>
        <s v="CUST108"/>
        <s v="CUST166"/>
        <s v="CUST084"/>
        <s v="CUST085"/>
        <s v="CUST111"/>
        <s v="CUST242"/>
        <s v="CUST279"/>
        <s v="CUST299"/>
        <s v="CUST062"/>
        <s v="CUST034"/>
        <s v="CUST258"/>
        <s v="CUST151"/>
        <s v="CUST267"/>
        <s v="CUST027"/>
        <s v="CUST113"/>
        <s v="CUST230"/>
        <s v="CUST194"/>
        <s v="CUST145"/>
        <s v="CUST173"/>
        <s v="CUST287"/>
        <s v="CUST002"/>
        <s v="CUST075"/>
        <s v="CUST253"/>
        <s v="CUST036"/>
        <s v="CUST081"/>
        <s v="CUST183"/>
        <s v="CUST010"/>
        <s v="CUST214"/>
        <s v="CUST290"/>
        <s v="CUST177"/>
        <s v="CUST049"/>
        <s v="CUST186"/>
        <s v="CUST283"/>
        <s v="CUST017"/>
        <s v="CUST043"/>
        <s v="CUST193"/>
        <s v="CUST245"/>
        <s v="CUST142"/>
        <s v="CUST115"/>
        <s v="CUST218"/>
        <s v="CUST169"/>
        <s v="CUST025"/>
        <s v="CUST040"/>
        <s v="CUST012"/>
        <s v="CUST116"/>
        <s v="CUST091"/>
        <s v="CUST207"/>
        <s v="CUST297"/>
        <s v="CUST024"/>
        <s v="CUST178"/>
        <s v="CUST234"/>
        <s v="CUST070"/>
        <s v="CUST197"/>
        <s v="CUST268"/>
        <s v="CUST196"/>
        <s v="CUST192"/>
        <s v="CUST172"/>
        <s v="CUST229"/>
        <s v="CUST060"/>
        <s v="CUST292"/>
        <s v="CUST089"/>
        <s v="CUST228"/>
        <s v="CUST030"/>
        <s v="CUST090"/>
        <s v="CUST124"/>
        <s v="CUST087"/>
        <s v="CUST217"/>
        <s v="CUST206"/>
        <s v="CUST182"/>
        <s v="CUST275"/>
        <s v="CUST231"/>
        <s v="CUST097"/>
        <s v="CUST134"/>
        <s v="CUST188"/>
        <s v="CUST181"/>
        <s v="CUST052"/>
        <s v="CUST044"/>
        <s v="CUST198"/>
        <s v="CUST082"/>
        <s v="CUST257"/>
      </sharedItems>
    </cacheField>
    <cacheField name="Product_Category" numFmtId="0">
      <sharedItems count="5">
        <s v="Clothing"/>
        <s v="Home"/>
        <s v="Beauty"/>
        <s v="Sports"/>
        <s v="Electronics"/>
      </sharedItems>
    </cacheField>
    <cacheField name="Product_Name" numFmtId="0">
      <sharedItems count="7">
        <s v="Face Cream"/>
        <s v="T-Shirt"/>
        <s v="Sofa"/>
        <s v="Shoes"/>
        <s v="Mobile"/>
        <s v="Laptop"/>
        <s v="Football"/>
      </sharedItems>
    </cacheField>
    <cacheField name="City" numFmtId="0">
      <sharedItems count="5">
        <s v="Bangalore"/>
        <s v="Mumbai"/>
        <s v="Kolkata"/>
        <s v="Chennai"/>
        <s v="Delhi"/>
      </sharedItems>
    </cacheField>
    <cacheField name="State" numFmtId="0">
      <sharedItems count="5">
        <s v="Tamil Nadu"/>
        <s v="Delhi"/>
        <s v="Karnataka"/>
        <s v="West Bengal"/>
        <s v="Maharashtra"/>
      </sharedItems>
    </cacheField>
    <cacheField name="Payment_Method" numFmtId="0">
      <sharedItems count="4">
        <s v="Cash on Delivery"/>
        <s v="Credit Card"/>
        <s v="Debit Card"/>
        <s v="UPI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201" maxValue="4999"/>
    </cacheField>
    <cacheField name="Discount" numFmtId="0">
      <sharedItems containsSemiMixedTypes="0" containsString="0" containsNumber="1" containsInteger="1" minValue="0" maxValue="30"/>
    </cacheField>
    <cacheField name="Total_Sales" numFmtId="0">
      <sharedItems containsSemiMixedTypes="0" containsString="0" containsNumber="1" minValue="165.36" maxValue="23347.200000000001"/>
    </cacheField>
    <cacheField name="Total Revenue" numFmtId="0">
      <sharedItems containsSemiMixedTypes="0" containsString="0" containsNumber="1" minValue="165.36" maxValue="6506678.7100000009"/>
    </cacheField>
    <cacheField name="Average Total Sales" numFmtId="0">
      <sharedItems containsSemiMixedTypes="0" containsString="0" containsNumber="1" minValue="165.36" maxValue="6506.678710000001"/>
    </cacheField>
    <cacheField name="Total  Quantity Sold" numFmtId="0">
      <sharedItems containsSemiMixedTypes="0" containsString="0" containsNumber="1" containsInteger="1" minValue="1" maxValue="3034"/>
    </cacheField>
    <cacheField name="High / Low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s v="ORD0066"/>
    <s v="2023-05-23"/>
    <s v="CUST191"/>
    <x v="0"/>
    <s v="T-Shirt"/>
    <s v="Mumbai"/>
    <s v="Delhi"/>
    <x v="0"/>
    <n v="5"/>
    <n v="4552"/>
    <n v="2"/>
    <n v="22304.799999999999"/>
    <n v="22304.799999999999"/>
    <n v="6483331.5100000016"/>
    <n v="6489.8213313313327"/>
    <n v="3029"/>
    <s v="Not Found"/>
    <s v="High Sale"/>
  </r>
  <r>
    <s v="ORD0218"/>
    <s v="2023-03-24"/>
    <s v="CUST014"/>
    <x v="0"/>
    <s v="Face Cream"/>
    <s v="Kolkata"/>
    <s v="Karnataka"/>
    <x v="1"/>
    <n v="5"/>
    <n v="4538"/>
    <n v="2"/>
    <n v="22236.2"/>
    <n v="22236.2"/>
    <n v="6461026.71"/>
    <n v="6473.9746593186374"/>
    <n v="3024"/>
    <s v="Not Found"/>
    <s v="High Sale"/>
  </r>
  <r>
    <s v="ORD0630"/>
    <s v="2023-11-17"/>
    <s v="CUST160"/>
    <x v="1"/>
    <s v="T-Shirt"/>
    <s v="Chennai"/>
    <s v="West Bengal"/>
    <x v="2"/>
    <n v="5"/>
    <n v="4292"/>
    <n v="1"/>
    <n v="21245.4"/>
    <n v="21245.4"/>
    <n v="6438790.5099999988"/>
    <n v="6458.1650050150438"/>
    <n v="3019"/>
    <s v="Not Found"/>
    <s v="High Sale"/>
  </r>
  <r>
    <s v="ORD0752"/>
    <s v="2023-11-19"/>
    <s v="CUST216"/>
    <x v="2"/>
    <s v="T-Shirt"/>
    <s v="Chennai"/>
    <s v="Delhi"/>
    <x v="2"/>
    <n v="5"/>
    <n v="4849"/>
    <n v="15"/>
    <n v="20608.25"/>
    <n v="20608.25"/>
    <n v="6417545.1099999994"/>
    <n v="6443.318383534136"/>
    <n v="3014"/>
    <s v="Not Found"/>
    <s v="High Sale"/>
  </r>
  <r>
    <s v="ORD0417"/>
    <s v="2023-07-21"/>
    <s v="CUST101"/>
    <x v="3"/>
    <s v="Sofa"/>
    <s v="Chennai"/>
    <s v="Delhi"/>
    <x v="1"/>
    <n v="5"/>
    <n v="4095"/>
    <n v="0"/>
    <n v="20475"/>
    <n v="20475"/>
    <n v="6396936.8599999985"/>
    <n v="6429.0822713567823"/>
    <n v="3009"/>
    <s v="Not Found"/>
    <s v="High Sale"/>
  </r>
  <r>
    <s v="ORD0079"/>
    <s v="2023-02-21"/>
    <s v="CUST244"/>
    <x v="0"/>
    <s v="Sofa"/>
    <s v="Kolkata"/>
    <s v="Karnataka"/>
    <x v="3"/>
    <n v="5"/>
    <n v="4573"/>
    <n v="11"/>
    <n v="20349.849999999999"/>
    <n v="20349.849999999999"/>
    <n v="6376461.8599999985"/>
    <n v="6414.9515694164975"/>
    <n v="3004"/>
    <s v="Not Found"/>
    <s v="High Sale"/>
  </r>
  <r>
    <s v="ORD0506"/>
    <s v="2023-03-15"/>
    <s v="CUST015"/>
    <x v="1"/>
    <s v="Shoes"/>
    <s v="Bangalore"/>
    <s v="Tamil Nadu"/>
    <x v="3"/>
    <n v="5"/>
    <n v="4228"/>
    <n v="4"/>
    <n v="20294.400000000001"/>
    <n v="20294.399999999998"/>
    <n v="6356112.0099999979"/>
    <n v="6400.9184390735127"/>
    <n v="2999"/>
    <s v="Not Found"/>
    <s v="High Sale"/>
  </r>
  <r>
    <s v="ORD0355"/>
    <s v="2023-07-11"/>
    <s v="CUST106"/>
    <x v="0"/>
    <s v="Face Cream"/>
    <s v="Delhi"/>
    <s v="Karnataka"/>
    <x v="1"/>
    <n v="5"/>
    <n v="4488"/>
    <n v="11"/>
    <n v="19971.599999999999"/>
    <n v="19971.599999999999"/>
    <n v="6335817.6099999985"/>
    <n v="6386.9129133064498"/>
    <n v="2994"/>
    <s v="Not Found"/>
    <s v="High Sale"/>
  </r>
  <r>
    <s v="ORD0154"/>
    <s v="2023-10-30"/>
    <s v="CUST202"/>
    <x v="1"/>
    <s v="Mobile"/>
    <s v="Chennai"/>
    <s v="West Bengal"/>
    <x v="2"/>
    <n v="5"/>
    <n v="4504"/>
    <n v="13"/>
    <n v="19592.400000000001"/>
    <n v="19592.400000000001"/>
    <n v="6315846.009999997"/>
    <n v="6373.2048536831453"/>
    <n v="2989"/>
    <s v="Not Found"/>
    <s v="High Sale"/>
  </r>
  <r>
    <s v="ORD0318"/>
    <s v="2023-10-01"/>
    <s v="CUST155"/>
    <x v="2"/>
    <s v="Sofa"/>
    <s v="Mumbai"/>
    <s v="Maharashtra"/>
    <x v="2"/>
    <n v="5"/>
    <n v="4999"/>
    <n v="22"/>
    <n v="19496.099999999999"/>
    <n v="19496.100000000002"/>
    <n v="6296253.6099999975"/>
    <n v="6359.8521313131287"/>
    <n v="2984"/>
    <s v="Not Found"/>
    <s v="High Sale"/>
  </r>
  <r>
    <s v="ORD0101"/>
    <s v="2023-08-26"/>
    <s v="CUST122"/>
    <x v="1"/>
    <s v="T-Shirt"/>
    <s v="Kolkata"/>
    <s v="Karnataka"/>
    <x v="1"/>
    <n v="5"/>
    <n v="4756"/>
    <n v="19"/>
    <n v="19261.8"/>
    <n v="19261.800000000003"/>
    <n v="6276757.5099999961"/>
    <n v="6346.5697775530798"/>
    <n v="2979"/>
    <s v="Not Found"/>
    <s v="High Sale"/>
  </r>
  <r>
    <s v="ORD0158"/>
    <s v="2023-07-27"/>
    <s v="CUST074"/>
    <x v="4"/>
    <s v="Mobile"/>
    <s v="Kolkata"/>
    <s v="Karnataka"/>
    <x v="3"/>
    <n v="5"/>
    <n v="4991"/>
    <n v="23"/>
    <n v="19215.349999999999"/>
    <n v="19215.350000000002"/>
    <n v="6257495.7099999962"/>
    <n v="6333.497682186231"/>
    <n v="2974"/>
    <s v="Not Found"/>
    <s v="High Sale"/>
  </r>
  <r>
    <s v="ORD0824"/>
    <s v="2023-05-03"/>
    <s v="CUST266"/>
    <x v="4"/>
    <s v="Laptop"/>
    <s v="Kolkata"/>
    <s v="Delhi"/>
    <x v="2"/>
    <n v="5"/>
    <n v="4210"/>
    <n v="9"/>
    <n v="19155.5"/>
    <n v="19155.5"/>
    <n v="6238280.3599999966"/>
    <n v="6320.44616008105"/>
    <n v="2969"/>
    <s v="Not Found"/>
    <s v="High Sale"/>
  </r>
  <r>
    <s v="ORD0245"/>
    <s v="2023-11-12"/>
    <s v="CUST071"/>
    <x v="2"/>
    <s v="Shoes"/>
    <s v="Kolkata"/>
    <s v="Maharashtra"/>
    <x v="2"/>
    <n v="5"/>
    <n v="4482"/>
    <n v="15"/>
    <n v="19048.5"/>
    <n v="19048.5"/>
    <n v="6219124.8599999975"/>
    <n v="6307.4288640973609"/>
    <n v="2964"/>
    <s v="Not Found"/>
    <s v="High Sale"/>
  </r>
  <r>
    <s v="ORD0182"/>
    <s v="2023-11-12"/>
    <s v="CUST035"/>
    <x v="2"/>
    <s v="T-Shirt"/>
    <s v="Bangalore"/>
    <s v="Delhi"/>
    <x v="3"/>
    <n v="5"/>
    <n v="4428"/>
    <n v="14"/>
    <n v="19040.400000000001"/>
    <n v="19040.400000000001"/>
    <n v="6200076.3599999975"/>
    <n v="6294.4937664974595"/>
    <n v="2959"/>
    <s v="Not Found"/>
    <s v="High Sale"/>
  </r>
  <r>
    <s v="ORD0405"/>
    <s v="2023-01-04"/>
    <s v="CUST215"/>
    <x v="0"/>
    <s v="Laptop"/>
    <s v="Kolkata"/>
    <s v="Maharashtra"/>
    <x v="0"/>
    <n v="5"/>
    <n v="4312"/>
    <n v="12"/>
    <n v="18972.8"/>
    <n v="18972.8"/>
    <n v="6181035.9599999972"/>
    <n v="6281.5406097560945"/>
    <n v="2954"/>
    <s v="Not Found"/>
    <s v="High Sale"/>
  </r>
  <r>
    <s v="ORD0924"/>
    <s v="2023-10-16"/>
    <s v="CUST059"/>
    <x v="1"/>
    <s v="Face Cream"/>
    <s v="Kolkata"/>
    <s v="Delhi"/>
    <x v="3"/>
    <n v="5"/>
    <n v="4412"/>
    <n v="14"/>
    <n v="18971.599999999999"/>
    <n v="18971.599999999999"/>
    <n v="6162063.1599999974"/>
    <n v="6268.629867751778"/>
    <n v="2949"/>
    <s v="Not Found"/>
    <s v="High Sale"/>
  </r>
  <r>
    <s v="ORD0687"/>
    <s v="2023-08-16"/>
    <s v="CUST026"/>
    <x v="3"/>
    <s v="Sofa"/>
    <s v="Mumbai"/>
    <s v="Tamil Nadu"/>
    <x v="1"/>
    <n v="5"/>
    <n v="4511"/>
    <n v="16"/>
    <n v="18946.2"/>
    <n v="18946.2"/>
    <n v="6143091.5599999977"/>
    <n v="6255.6940529531548"/>
    <n v="2944"/>
    <s v="Not Found"/>
    <s v="High Sale"/>
  </r>
  <r>
    <s v="ORD0857"/>
    <s v="2023-07-19"/>
    <s v="CUST102"/>
    <x v="4"/>
    <s v="Laptop"/>
    <s v="Mumbai"/>
    <s v="Karnataka"/>
    <x v="0"/>
    <n v="4"/>
    <n v="4965"/>
    <n v="5"/>
    <n v="18867"/>
    <n v="18867"/>
    <n v="6124145.3599999985"/>
    <n v="6242.7577573904164"/>
    <n v="2939"/>
    <s v="Not Found"/>
    <s v="High Sale"/>
  </r>
  <r>
    <s v="ORD0016"/>
    <s v="2023-08-01"/>
    <s v="CUST009"/>
    <x v="2"/>
    <s v="Laptop"/>
    <s v="Delhi"/>
    <s v="Karnataka"/>
    <x v="0"/>
    <n v="5"/>
    <n v="4185"/>
    <n v="10"/>
    <n v="18832.5"/>
    <n v="18832.5"/>
    <n v="6105278.3599999975"/>
    <n v="6229.8758775510178"/>
    <n v="2935"/>
    <s v="Not Found"/>
    <s v="High Sale"/>
  </r>
  <r>
    <s v="ORD0396"/>
    <s v="2023-04-13"/>
    <s v="CUST123"/>
    <x v="0"/>
    <s v="Face Cream"/>
    <s v="Mumbai"/>
    <s v="Tamil Nadu"/>
    <x v="0"/>
    <n v="4"/>
    <n v="4711"/>
    <n v="1"/>
    <n v="18655.560000000001"/>
    <n v="18655.560000000001"/>
    <n v="6086445.8599999975"/>
    <n v="6217.0029213483122"/>
    <n v="2930"/>
    <s v="Not Found"/>
    <s v="High Sale"/>
  </r>
  <r>
    <s v="ORD0992"/>
    <s v="2023-05-30"/>
    <s v="CUST042"/>
    <x v="2"/>
    <s v="T-Shirt"/>
    <s v="Mumbai"/>
    <s v="West Bengal"/>
    <x v="2"/>
    <n v="5"/>
    <n v="3709"/>
    <n v="0"/>
    <n v="18545"/>
    <n v="18545"/>
    <n v="6067790.299999997"/>
    <n v="6204.2845603271953"/>
    <n v="2926"/>
    <s v="Not Found"/>
    <s v="High Sale"/>
  </r>
  <r>
    <s v="ORD0547"/>
    <s v="2023-10-23"/>
    <s v="CUST239"/>
    <x v="1"/>
    <s v="Sofa"/>
    <s v="Chennai"/>
    <s v="Delhi"/>
    <x v="3"/>
    <n v="5"/>
    <n v="4071"/>
    <n v="9"/>
    <n v="18523.05"/>
    <n v="18523.05"/>
    <n v="6049245.299999997"/>
    <n v="6191.6533265097205"/>
    <n v="2921"/>
    <s v="Not Found"/>
    <s v="High Sale"/>
  </r>
  <r>
    <s v="ORD0018"/>
    <s v="2023-07-13"/>
    <s v="CUST056"/>
    <x v="4"/>
    <s v="Laptop"/>
    <s v="Delhi"/>
    <s v="Maharashtra"/>
    <x v="0"/>
    <n v="5"/>
    <n v="4238"/>
    <n v="13"/>
    <n v="18435.3"/>
    <n v="18435.3"/>
    <n v="6030722.2499999972"/>
    <n v="6179.0186987704892"/>
    <n v="2916"/>
    <s v="Not Found"/>
    <s v="High Sale"/>
  </r>
  <r>
    <s v="ORD0990"/>
    <s v="2023-03-20"/>
    <s v="CUST029"/>
    <x v="3"/>
    <s v="Face Cream"/>
    <s v="Delhi"/>
    <s v="Delhi"/>
    <x v="3"/>
    <n v="5"/>
    <n v="4129"/>
    <n v="12"/>
    <n v="18167.599999999999"/>
    <n v="18167.599999999999"/>
    <n v="6012286.9499999974"/>
    <n v="6166.4481538461514"/>
    <n v="2911"/>
    <s v="Not Found"/>
    <s v="High Sale"/>
  </r>
  <r>
    <s v="ORD0145"/>
    <s v="2023-08-04"/>
    <s v="CUST249"/>
    <x v="1"/>
    <s v="T-Shirt"/>
    <s v="Delhi"/>
    <s v="Delhi"/>
    <x v="1"/>
    <n v="5"/>
    <n v="3938"/>
    <n v="8"/>
    <n v="18114.8"/>
    <n v="18114.8"/>
    <n v="5994119.3499999978"/>
    <n v="6154.1266427104702"/>
    <n v="2906"/>
    <s v="Not Found"/>
    <s v="High Sale"/>
  </r>
  <r>
    <s v="ORD0398"/>
    <s v="2023-12-17"/>
    <s v="CUST213"/>
    <x v="3"/>
    <s v="Shoes"/>
    <s v="Delhi"/>
    <s v="Maharashtra"/>
    <x v="1"/>
    <n v="4"/>
    <n v="4705"/>
    <n v="4"/>
    <n v="18067.2"/>
    <n v="18067.2"/>
    <n v="5976004.549999997"/>
    <n v="6141.8340698869442"/>
    <n v="2901"/>
    <s v="Not Found"/>
    <s v="High Sale"/>
  </r>
  <r>
    <s v="ORD0686"/>
    <s v="2023-03-29"/>
    <s v="CUST059"/>
    <x v="3"/>
    <s v="Face Cream"/>
    <s v="Kolkata"/>
    <s v="Karnataka"/>
    <x v="3"/>
    <n v="5"/>
    <n v="4293"/>
    <n v="16"/>
    <n v="18030.599999999999"/>
    <n v="18030.599999999999"/>
    <n v="5957937.3499999968"/>
    <n v="6129.5651748971159"/>
    <n v="2897"/>
    <s v="Not Found"/>
    <s v="High Sale"/>
  </r>
  <r>
    <s v="ORD0386"/>
    <s v="2023-06-26"/>
    <s v="CUST067"/>
    <x v="0"/>
    <s v="T-Shirt"/>
    <s v="Chennai"/>
    <s v="Tamil Nadu"/>
    <x v="3"/>
    <n v="5"/>
    <n v="4503"/>
    <n v="20"/>
    <n v="18012"/>
    <n v="18012"/>
    <n v="5939906.7499999963"/>
    <n v="6117.3087023686885"/>
    <n v="2892"/>
    <s v="Not Found"/>
    <s v="High Sale"/>
  </r>
  <r>
    <s v="ORD0954"/>
    <s v="2023-07-04"/>
    <s v="CUST185"/>
    <x v="3"/>
    <s v="Face Cream"/>
    <s v="Kolkata"/>
    <s v="Delhi"/>
    <x v="0"/>
    <n v="5"/>
    <n v="4164"/>
    <n v="14"/>
    <n v="17905.2"/>
    <n v="17905.2"/>
    <n v="5921894.7499999963"/>
    <n v="6105.0461340206148"/>
    <n v="2887"/>
    <s v="Not Found"/>
    <s v="High Sale"/>
  </r>
  <r>
    <s v="ORD0674"/>
    <s v="2023-06-12"/>
    <s v="CUST006"/>
    <x v="4"/>
    <s v="T-Shirt"/>
    <s v="Delhi"/>
    <s v="Maharashtra"/>
    <x v="0"/>
    <n v="4"/>
    <n v="4845"/>
    <n v="8"/>
    <n v="17829.599999999999"/>
    <n v="17829.600000000002"/>
    <n v="5903989.549999997"/>
    <n v="6092.868472652216"/>
    <n v="2882"/>
    <s v="Not Found"/>
    <s v="High Sale"/>
  </r>
  <r>
    <s v="ORD0176"/>
    <s v="2023-07-17"/>
    <s v="CUST122"/>
    <x v="4"/>
    <s v="Shoes"/>
    <s v="Delhi"/>
    <s v="West Bengal"/>
    <x v="0"/>
    <n v="5"/>
    <n v="3708"/>
    <n v="4"/>
    <n v="17798.400000000001"/>
    <n v="17798.399999999998"/>
    <n v="5886159.9499999974"/>
    <n v="6080.7437499999969"/>
    <n v="2878"/>
    <s v="Not Found"/>
    <s v="High Sale"/>
  </r>
  <r>
    <s v="ORD0461"/>
    <s v="2023-09-11"/>
    <s v="CUST157"/>
    <x v="2"/>
    <s v="Sofa"/>
    <s v="Delhi"/>
    <s v="West Bengal"/>
    <x v="2"/>
    <n v="5"/>
    <n v="4999"/>
    <n v="29"/>
    <n v="17746.45"/>
    <n v="17746.45"/>
    <n v="5868361.549999997"/>
    <n v="6068.6262150982393"/>
    <n v="2873"/>
    <s v="Not Found"/>
    <s v="High Sale"/>
  </r>
  <r>
    <s v="ORD0676"/>
    <s v="2023-10-30"/>
    <s v="CUST300"/>
    <x v="4"/>
    <s v="Sofa"/>
    <s v="Kolkata"/>
    <s v="Tamil Nadu"/>
    <x v="3"/>
    <n v="5"/>
    <n v="3656"/>
    <n v="3"/>
    <n v="17731.599999999999"/>
    <n v="17731.599999999999"/>
    <n v="5850615.0999999987"/>
    <n v="6056.5373706004129"/>
    <n v="2868"/>
    <s v="Not Found"/>
    <s v="High Sale"/>
  </r>
  <r>
    <s v="ORD0859"/>
    <s v="2023-06-05"/>
    <s v="CUST227"/>
    <x v="2"/>
    <s v="T-Shirt"/>
    <s v="Chennai"/>
    <s v="Karnataka"/>
    <x v="1"/>
    <n v="5"/>
    <n v="4028"/>
    <n v="12"/>
    <n v="17723.2"/>
    <n v="17723.2"/>
    <n v="5832883.4999999991"/>
    <n v="6044.4388601036262"/>
    <n v="2863"/>
    <s v="Not Found"/>
    <s v="High Sale"/>
  </r>
  <r>
    <s v="ORD0736"/>
    <s v="2023-10-31"/>
    <s v="CUST185"/>
    <x v="4"/>
    <s v="Shoes"/>
    <s v="Kolkata"/>
    <s v="Maharashtra"/>
    <x v="0"/>
    <n v="4"/>
    <n v="4642"/>
    <n v="5"/>
    <n v="17639.599999999999"/>
    <n v="17639.599999999999"/>
    <n v="5815160.2999999989"/>
    <n v="6032.3239626556006"/>
    <n v="2858"/>
    <s v="Not Found"/>
    <s v="High Sale"/>
  </r>
  <r>
    <s v="ORD0471"/>
    <s v="2023-10-03"/>
    <s v="CUST038"/>
    <x v="1"/>
    <s v="Shoes"/>
    <s v="Kolkata"/>
    <s v="Maharashtra"/>
    <x v="2"/>
    <n v="5"/>
    <n v="4899"/>
    <n v="28"/>
    <n v="17636.400000000001"/>
    <n v="17636.399999999998"/>
    <n v="5797520.6999999993"/>
    <n v="6020.2707165109023"/>
    <n v="2854"/>
    <s v="Not Found"/>
    <s v="High Sale"/>
  </r>
  <r>
    <s v="ORD0628"/>
    <s v="2023-10-20"/>
    <s v="CUST130"/>
    <x v="3"/>
    <s v="Shoes"/>
    <s v="Delhi"/>
    <s v="Tamil Nadu"/>
    <x v="1"/>
    <n v="5"/>
    <n v="4756"/>
    <n v="26"/>
    <n v="17597.2"/>
    <n v="17597.2"/>
    <n v="5779884.2999999989"/>
    <n v="6008.195738045737"/>
    <n v="2849"/>
    <s v="Not Found"/>
    <s v="High Sale"/>
  </r>
  <r>
    <s v="ORD0144"/>
    <s v="2023-04-21"/>
    <s v="CUST074"/>
    <x v="1"/>
    <s v="Laptop"/>
    <s v="Chennai"/>
    <s v="West Bengal"/>
    <x v="2"/>
    <n v="5"/>
    <n v="4586"/>
    <n v="24"/>
    <n v="17426.8"/>
    <n v="17426.8"/>
    <n v="5762287.0999999996"/>
    <n v="5996.1364203954208"/>
    <n v="2844"/>
    <s v="Not Found"/>
    <s v="High Sale"/>
  </r>
  <r>
    <s v="ORD0914"/>
    <s v="2023-06-10"/>
    <s v="CUST129"/>
    <x v="2"/>
    <s v="Mobile"/>
    <s v="Mumbai"/>
    <s v="Tamil Nadu"/>
    <x v="1"/>
    <n v="4"/>
    <n v="4405"/>
    <n v="2"/>
    <n v="17267.599999999999"/>
    <n v="17267.599999999999"/>
    <n v="5744860.3000000007"/>
    <n v="5984.2294791666673"/>
    <n v="2839"/>
    <s v="Not Found"/>
    <s v="High Sale"/>
  </r>
  <r>
    <s v="ORD0207"/>
    <s v="2023-05-06"/>
    <s v="CUST225"/>
    <x v="3"/>
    <s v="Mobile"/>
    <s v="Bangalore"/>
    <s v="West Bengal"/>
    <x v="3"/>
    <n v="5"/>
    <n v="3795"/>
    <n v="9"/>
    <n v="17267.25"/>
    <n v="17267.25"/>
    <n v="5727592.7000000002"/>
    <n v="5972.4637122002086"/>
    <n v="2835"/>
    <s v="Not Found"/>
    <s v="High Sale"/>
  </r>
  <r>
    <s v="ORD0189"/>
    <s v="2023-03-01"/>
    <s v="CUST272"/>
    <x v="2"/>
    <s v="Laptop"/>
    <s v="Chennai"/>
    <s v="Karnataka"/>
    <x v="2"/>
    <n v="5"/>
    <n v="4725"/>
    <n v="27"/>
    <n v="17246.25"/>
    <n v="17246.25"/>
    <n v="5710325.4499999993"/>
    <n v="5960.6737473903959"/>
    <n v="2830"/>
    <s v="Not Found"/>
    <s v="High Sale"/>
  </r>
  <r>
    <s v="ORD0447"/>
    <s v="2023-04-08"/>
    <s v="CUST209"/>
    <x v="1"/>
    <s v="Sofa"/>
    <s v="Delhi"/>
    <s v="Delhi"/>
    <x v="2"/>
    <n v="4"/>
    <n v="4368"/>
    <n v="2"/>
    <n v="17122.560000000001"/>
    <n v="17122.560000000001"/>
    <n v="5693079.1999999993"/>
    <n v="5948.8810867293614"/>
    <n v="2825"/>
    <s v="Not Found"/>
    <s v="High Sale"/>
  </r>
  <r>
    <s v="ORD0146"/>
    <s v="2023-04-03"/>
    <s v="CUST138"/>
    <x v="0"/>
    <s v="Face Cream"/>
    <s v="Delhi"/>
    <s v="Karnataka"/>
    <x v="2"/>
    <n v="5"/>
    <n v="3889"/>
    <n v="12"/>
    <n v="17111.599999999999"/>
    <n v="17111.599999999999"/>
    <n v="5675956.6399999997"/>
    <n v="5937.1931380753131"/>
    <n v="2821"/>
    <s v="Not Found"/>
    <s v="High Sale"/>
  </r>
  <r>
    <s v="ORD0897"/>
    <s v="2023-05-27"/>
    <s v="CUST065"/>
    <x v="4"/>
    <s v="T-Shirt"/>
    <s v="Chennai"/>
    <s v="Tamil Nadu"/>
    <x v="1"/>
    <n v="4"/>
    <n v="4458"/>
    <n v="5"/>
    <n v="16940.400000000001"/>
    <n v="16940.399999999998"/>
    <n v="5658845.04"/>
    <n v="5925.4921884816758"/>
    <n v="2816"/>
    <s v="Not Found"/>
    <s v="High Sale"/>
  </r>
  <r>
    <s v="ORD0698"/>
    <s v="2023-07-25"/>
    <s v="CUST105"/>
    <x v="3"/>
    <s v="Laptop"/>
    <s v="Delhi"/>
    <s v="Delhi"/>
    <x v="0"/>
    <n v="5"/>
    <n v="4069"/>
    <n v="17"/>
    <n v="16886.349999999999"/>
    <n v="16886.349999999999"/>
    <n v="5641904.6399999997"/>
    <n v="5913.9461635220123"/>
    <n v="2812"/>
    <s v="Not Found"/>
    <s v="High Sale"/>
  </r>
  <r>
    <s v="ORD0870"/>
    <s v="2023-08-06"/>
    <s v="CUST077"/>
    <x v="4"/>
    <s v="Shoes"/>
    <s v="Kolkata"/>
    <s v="West Bengal"/>
    <x v="1"/>
    <n v="5"/>
    <n v="3350"/>
    <n v="0"/>
    <n v="16750"/>
    <n v="16750"/>
    <n v="5625018.29"/>
    <n v="5902.4326232948588"/>
    <n v="2807"/>
    <s v="Not Found"/>
    <s v="High Sale"/>
  </r>
  <r>
    <s v="ORD0715"/>
    <s v="2023-12-30"/>
    <s v="CUST219"/>
    <x v="3"/>
    <s v="Laptop"/>
    <s v="Chennai"/>
    <s v="Tamil Nadu"/>
    <x v="2"/>
    <n v="5"/>
    <n v="4394"/>
    <n v="24"/>
    <n v="16697.2"/>
    <n v="16697.2"/>
    <n v="5608268.2899999991"/>
    <n v="5891.0381197478982"/>
    <n v="2802"/>
    <s v="Not Found"/>
    <s v="High Sale"/>
  </r>
  <r>
    <s v="ORD0410"/>
    <s v="2023-09-18"/>
    <s v="CUST249"/>
    <x v="2"/>
    <s v="Mobile"/>
    <s v="Delhi"/>
    <s v="West Bengal"/>
    <x v="3"/>
    <n v="4"/>
    <n v="4712"/>
    <n v="12"/>
    <n v="16586.240000000002"/>
    <n v="16586.240000000002"/>
    <n v="5591571.0899999999"/>
    <n v="5879.6751735015769"/>
    <n v="2797"/>
    <s v="Not Found"/>
    <s v="High Sale"/>
  </r>
  <r>
    <s v="ORD0143"/>
    <s v="2023-11-16"/>
    <s v="CUST067"/>
    <x v="1"/>
    <s v="Shoes"/>
    <s v="Delhi"/>
    <s v="Tamil Nadu"/>
    <x v="2"/>
    <n v="5"/>
    <n v="3561"/>
    <n v="7"/>
    <n v="16558.650000000001"/>
    <n v="16558.649999999998"/>
    <n v="5574984.8499999987"/>
    <n v="5868.4051052631567"/>
    <n v="2793"/>
    <s v="Not Found"/>
    <s v="High Sale"/>
  </r>
  <r>
    <s v="ORD0844"/>
    <s v="2023-08-08"/>
    <s v="CUST041"/>
    <x v="0"/>
    <s v="Shoes"/>
    <s v="Bangalore"/>
    <s v="Tamil Nadu"/>
    <x v="2"/>
    <n v="4"/>
    <n v="4987"/>
    <n v="17"/>
    <n v="16556.84"/>
    <n v="16556.84"/>
    <n v="5558426.2000000002"/>
    <n v="5857.1403582718649"/>
    <n v="2788"/>
    <s v="Not Found"/>
    <s v="High Sale"/>
  </r>
  <r>
    <s v="ORD0957"/>
    <s v="2023-11-27"/>
    <s v="CUST118"/>
    <x v="1"/>
    <s v="T-Shirt"/>
    <s v="Kolkata"/>
    <s v="Maharashtra"/>
    <x v="0"/>
    <n v="4"/>
    <n v="4160"/>
    <n v="1"/>
    <n v="16473.599999999999"/>
    <n v="16473.599999999999"/>
    <n v="5541869.3599999994"/>
    <n v="5845.8537552742609"/>
    <n v="2784"/>
    <s v="Not Found"/>
    <s v="High Sale"/>
  </r>
  <r>
    <s v="ORD0299"/>
    <s v="2023-05-23"/>
    <s v="CUST148"/>
    <x v="2"/>
    <s v="Football"/>
    <s v="Delhi"/>
    <s v="Tamil Nadu"/>
    <x v="0"/>
    <n v="4"/>
    <n v="4155"/>
    <n v="1"/>
    <n v="16453.8"/>
    <n v="16453.8"/>
    <n v="5525395.7599999998"/>
    <n v="5834.6312143611403"/>
    <n v="2780"/>
    <s v="Not Found"/>
    <s v="High Sale"/>
  </r>
  <r>
    <s v="ORD0216"/>
    <s v="2023-12-06"/>
    <s v="CUST211"/>
    <x v="3"/>
    <s v="Laptop"/>
    <s v="Chennai"/>
    <s v="Karnataka"/>
    <x v="3"/>
    <n v="5"/>
    <n v="3611"/>
    <n v="9"/>
    <n v="16430.05"/>
    <n v="16430.05"/>
    <n v="5508941.959999999"/>
    <n v="5823.4058773784345"/>
    <n v="2776"/>
    <s v="Not Found"/>
    <s v="High Sale"/>
  </r>
  <r>
    <s v="ORD0033"/>
    <s v="2023-04-14"/>
    <s v="CUST141"/>
    <x v="2"/>
    <s v="Football"/>
    <s v="Kolkata"/>
    <s v="West Bengal"/>
    <x v="0"/>
    <n v="5"/>
    <n v="4483"/>
    <n v="27"/>
    <n v="16362.95"/>
    <n v="16362.949999999999"/>
    <n v="5492511.9099999992"/>
    <n v="5812.1819153439146"/>
    <n v="2771"/>
    <s v="Not Found"/>
    <s v="High Sale"/>
  </r>
  <r>
    <s v="ORD0233"/>
    <s v="2023-10-12"/>
    <s v="CUST103"/>
    <x v="1"/>
    <s v="Laptop"/>
    <s v="Mumbai"/>
    <s v="West Bengal"/>
    <x v="1"/>
    <n v="5"/>
    <n v="3718"/>
    <n v="12"/>
    <n v="16359.2"/>
    <n v="16359.2"/>
    <n v="5476148.959999999"/>
    <n v="5801.0052542372869"/>
    <n v="2766"/>
    <s v="Not Found"/>
    <s v="High Sale"/>
  </r>
  <r>
    <s v="ORD0901"/>
    <s v="2023-04-11"/>
    <s v="CUST047"/>
    <x v="0"/>
    <s v="Sofa"/>
    <s v="Chennai"/>
    <s v="Delhi"/>
    <x v="2"/>
    <n v="5"/>
    <n v="3756"/>
    <n v="14"/>
    <n v="16150.8"/>
    <n v="16150.8"/>
    <n v="5459789.7599999988"/>
    <n v="5789.8088653234345"/>
    <n v="2761"/>
    <s v="Not Found"/>
    <s v="High Sale"/>
  </r>
  <r>
    <s v="ORD0005"/>
    <s v="2023-01-27"/>
    <s v="CUST098"/>
    <x v="3"/>
    <s v="T-Shirt"/>
    <s v="Chennai"/>
    <s v="Delhi"/>
    <x v="0"/>
    <n v="5"/>
    <n v="3797"/>
    <n v="15"/>
    <n v="16137.25"/>
    <n v="16137.25"/>
    <n v="5443638.959999999"/>
    <n v="5778.8099363057318"/>
    <n v="2756"/>
    <s v="Not Found"/>
    <s v="High Sale"/>
  </r>
  <r>
    <s v="ORD0765"/>
    <s v="2023-02-19"/>
    <s v="CUST238"/>
    <x v="0"/>
    <s v="Sofa"/>
    <s v="Delhi"/>
    <s v="Tamil Nadu"/>
    <x v="3"/>
    <n v="5"/>
    <n v="3731"/>
    <n v="14"/>
    <n v="16043.3"/>
    <n v="16043.3"/>
    <n v="5427501.71"/>
    <n v="5767.8020297555795"/>
    <n v="2751"/>
    <s v="Not Found"/>
    <s v="High Sale"/>
  </r>
  <r>
    <s v="ORD0811"/>
    <s v="2023-08-12"/>
    <s v="CUST067"/>
    <x v="4"/>
    <s v="Sofa"/>
    <s v="Delhi"/>
    <s v="West Bengal"/>
    <x v="2"/>
    <n v="4"/>
    <n v="4289"/>
    <n v="7"/>
    <n v="15955.08"/>
    <n v="15955.079999999998"/>
    <n v="5411458.4100000011"/>
    <n v="5756.8706489361712"/>
    <n v="2746"/>
    <s v="Not Found"/>
    <s v="High Sale"/>
  </r>
  <r>
    <s v="ORD0812"/>
    <s v="2023-01-08"/>
    <s v="CUST083"/>
    <x v="1"/>
    <s v="Shoes"/>
    <s v="Bangalore"/>
    <s v="Tamil Nadu"/>
    <x v="0"/>
    <n v="4"/>
    <n v="4859"/>
    <n v="18"/>
    <n v="15937.52"/>
    <n v="15937.52"/>
    <n v="5395503.330000001"/>
    <n v="5746.0099361022376"/>
    <n v="2742"/>
    <s v="Not Found"/>
    <s v="High Sale"/>
  </r>
  <r>
    <s v="ORD0456"/>
    <s v="2023-08-16"/>
    <s v="CUST014"/>
    <x v="2"/>
    <s v="Mobile"/>
    <s v="Delhi"/>
    <s v="Maharashtra"/>
    <x v="3"/>
    <n v="4"/>
    <n v="4972"/>
    <n v="20"/>
    <n v="15910.4"/>
    <n v="15910.400000000001"/>
    <n v="5379565.8100000005"/>
    <n v="5735.1447867803845"/>
    <n v="2738"/>
    <s v="Not Found"/>
    <s v="High Sale"/>
  </r>
  <r>
    <s v="ORD0059"/>
    <s v="2023-02-04"/>
    <s v="CUST073"/>
    <x v="3"/>
    <s v="Sofa"/>
    <s v="Kolkata"/>
    <s v="Karnataka"/>
    <x v="2"/>
    <n v="4"/>
    <n v="4126"/>
    <n v="4"/>
    <n v="15843.84"/>
    <n v="15843.84"/>
    <n v="5363655.4100000011"/>
    <n v="5724.2853895410899"/>
    <n v="2734"/>
    <s v="Not Found"/>
    <s v="High Sale"/>
  </r>
  <r>
    <s v="ORD0288"/>
    <s v="2023-12-20"/>
    <s v="CUST158"/>
    <x v="2"/>
    <s v="Shoes"/>
    <s v="Kolkata"/>
    <s v="Maharashtra"/>
    <x v="2"/>
    <n v="5"/>
    <n v="3705"/>
    <n v="15"/>
    <n v="15746.25"/>
    <n v="15746.25"/>
    <n v="5347811.5700000012"/>
    <n v="5713.4738995726511"/>
    <n v="2730"/>
    <s v="Not Found"/>
    <s v="High Sale"/>
  </r>
  <r>
    <s v="ORD0399"/>
    <s v="2023-12-22"/>
    <s v="CUST225"/>
    <x v="1"/>
    <s v="Shoes"/>
    <s v="Bangalore"/>
    <s v="West Bengal"/>
    <x v="3"/>
    <n v="4"/>
    <n v="4960"/>
    <n v="21"/>
    <n v="15673.6"/>
    <n v="15673.6"/>
    <n v="5332065.3200000012"/>
    <n v="5702.743657754012"/>
    <n v="2725"/>
    <s v="Not Found"/>
    <s v="High Sale"/>
  </r>
  <r>
    <s v="ORD0980"/>
    <s v="2023-11-13"/>
    <s v="CUST083"/>
    <x v="4"/>
    <s v="T-Shirt"/>
    <s v="Kolkata"/>
    <s v="Karnataka"/>
    <x v="0"/>
    <n v="4"/>
    <n v="4347"/>
    <n v="10"/>
    <n v="15649.2"/>
    <n v="15649.2"/>
    <n v="5316391.7200000025"/>
    <n v="5692.0682226980753"/>
    <n v="2721"/>
    <s v="Not Found"/>
    <s v="High Sale"/>
  </r>
  <r>
    <s v="ORD0472"/>
    <s v="2023-04-19"/>
    <s v="CUST236"/>
    <x v="1"/>
    <s v="Shoes"/>
    <s v="Delhi"/>
    <s v="Maharashtra"/>
    <x v="3"/>
    <n v="4"/>
    <n v="4975"/>
    <n v="22"/>
    <n v="15522"/>
    <n v="15522"/>
    <n v="5300742.5200000023"/>
    <n v="5681.3960557341934"/>
    <n v="2717"/>
    <s v="Not Found"/>
    <s v="High Sale"/>
  </r>
  <r>
    <s v="ORD0631"/>
    <s v="2023-01-17"/>
    <s v="CUST152"/>
    <x v="0"/>
    <s v="Face Cream"/>
    <s v="Delhi"/>
    <s v="West Bengal"/>
    <x v="2"/>
    <n v="4"/>
    <n v="4512"/>
    <n v="14"/>
    <n v="15521.28"/>
    <n v="15521.28"/>
    <n v="5285220.5200000023"/>
    <n v="5670.8374678111613"/>
    <n v="2713"/>
    <s v="Not Found"/>
    <s v="High Sale"/>
  </r>
  <r>
    <s v="ORD0391"/>
    <s v="2023-07-31"/>
    <s v="CUST120"/>
    <x v="4"/>
    <s v="Shoes"/>
    <s v="Kolkata"/>
    <s v="Delhi"/>
    <x v="2"/>
    <n v="4"/>
    <n v="3949"/>
    <n v="2"/>
    <n v="15480.08"/>
    <n v="15480.08"/>
    <n v="5269699.2400000021"/>
    <n v="5660.2569709989284"/>
    <n v="2709"/>
    <s v="Not Found"/>
    <s v="High Sale"/>
  </r>
  <r>
    <s v="ORD0096"/>
    <s v="2023-12-03"/>
    <s v="CUST208"/>
    <x v="3"/>
    <s v="T-Shirt"/>
    <s v="Delhi"/>
    <s v="Karnataka"/>
    <x v="1"/>
    <n v="5"/>
    <n v="4233"/>
    <n v="27"/>
    <n v="15450.45"/>
    <n v="15450.449999999999"/>
    <n v="5254219.1600000011"/>
    <n v="5649.6980215053773"/>
    <n v="2705"/>
    <s v="Not Found"/>
    <s v="High Sale"/>
  </r>
  <r>
    <s v="ORD0309"/>
    <s v="2023-07-31"/>
    <s v="CUST243"/>
    <x v="3"/>
    <s v="Sofa"/>
    <s v="Chennai"/>
    <s v="Karnataka"/>
    <x v="3"/>
    <n v="5"/>
    <n v="3464"/>
    <n v="11"/>
    <n v="15414.8"/>
    <n v="15414.800000000001"/>
    <n v="5238768.7100000018"/>
    <n v="5639.1482346609273"/>
    <n v="2700"/>
    <s v="Not Found"/>
    <s v="High Sale"/>
  </r>
  <r>
    <s v="ORD0941"/>
    <s v="2023-02-27"/>
    <s v="CUST016"/>
    <x v="2"/>
    <s v="Sofa"/>
    <s v="Kolkata"/>
    <s v="Karnataka"/>
    <x v="0"/>
    <n v="4"/>
    <n v="4047"/>
    <n v="5"/>
    <n v="15378.6"/>
    <n v="15378.599999999999"/>
    <n v="5223353.9100000011"/>
    <n v="5628.6141271551733"/>
    <n v="2695"/>
    <s v="Not Found"/>
    <s v="High Sale"/>
  </r>
  <r>
    <s v="ORD0998"/>
    <s v="2023-10-02"/>
    <s v="CUST280"/>
    <x v="2"/>
    <s v="Football"/>
    <s v="Kolkata"/>
    <s v="West Bengal"/>
    <x v="0"/>
    <n v="4"/>
    <n v="4680"/>
    <n v="18"/>
    <n v="15350.4"/>
    <n v="15350.400000000001"/>
    <n v="5207975.3100000024"/>
    <n v="5618.0963430420734"/>
    <n v="2691"/>
    <s v="Not Found"/>
    <s v="High Sale"/>
  </r>
  <r>
    <s v="ORD0545"/>
    <s v="2023-12-19"/>
    <s v="CUST121"/>
    <x v="0"/>
    <s v="T-Shirt"/>
    <s v="Delhi"/>
    <s v="Tamil Nadu"/>
    <x v="3"/>
    <n v="4"/>
    <n v="3953"/>
    <n v="3"/>
    <n v="15337.64"/>
    <n v="15337.64"/>
    <n v="5192624.9100000011"/>
    <n v="5607.5862958963298"/>
    <n v="2687"/>
    <s v="Not Found"/>
    <s v="High Sale"/>
  </r>
  <r>
    <s v="ORD0601"/>
    <s v="2023-08-26"/>
    <s v="CUST224"/>
    <x v="3"/>
    <s v="Football"/>
    <s v="Mumbai"/>
    <s v="Maharashtra"/>
    <x v="1"/>
    <n v="4"/>
    <n v="4722"/>
    <n v="19"/>
    <n v="15299.28"/>
    <n v="15299.28"/>
    <n v="5177287.2700000014"/>
    <n v="5597.0673189189201"/>
    <n v="2683"/>
    <s v="Not Found"/>
    <s v="High Sale"/>
  </r>
  <r>
    <s v="ORD0365"/>
    <s v="2023-04-10"/>
    <s v="CUST003"/>
    <x v="1"/>
    <s v="Football"/>
    <s v="Chennai"/>
    <s v="Karnataka"/>
    <x v="0"/>
    <n v="5"/>
    <n v="3043"/>
    <n v="0"/>
    <n v="15215"/>
    <n v="15215"/>
    <n v="5161987.9900000021"/>
    <n v="5586.5670887445913"/>
    <n v="2679"/>
    <s v="Not Found"/>
    <s v="High Sale"/>
  </r>
  <r>
    <s v="ORD0166"/>
    <s v="2023-11-01"/>
    <s v="CUST046"/>
    <x v="0"/>
    <s v="Football"/>
    <s v="Delhi"/>
    <s v="West Bengal"/>
    <x v="0"/>
    <n v="5"/>
    <n v="3233"/>
    <n v="6"/>
    <n v="15195.1"/>
    <n v="15195.099999999999"/>
    <n v="5146772.9900000021"/>
    <n v="5576.1354171180956"/>
    <n v="2674"/>
    <s v="Not Found"/>
    <s v="High Sale"/>
  </r>
  <r>
    <s v="ORD0369"/>
    <s v="2023-09-19"/>
    <s v="CUST144"/>
    <x v="4"/>
    <s v="Face Cream"/>
    <s v="Bangalore"/>
    <s v="Tamil Nadu"/>
    <x v="3"/>
    <n v="4"/>
    <n v="4648"/>
    <n v="19"/>
    <n v="15059.52"/>
    <n v="15059.52"/>
    <n v="5131577.8900000025"/>
    <n v="5565.7027006507615"/>
    <n v="2669"/>
    <s v="Not Found"/>
    <s v="High Sale"/>
  </r>
  <r>
    <s v="ORD0204"/>
    <s v="2023-12-07"/>
    <s v="CUST019"/>
    <x v="1"/>
    <s v="Sofa"/>
    <s v="Kolkata"/>
    <s v="West Bengal"/>
    <x v="3"/>
    <n v="4"/>
    <n v="3743"/>
    <n v="0"/>
    <n v="14972"/>
    <n v="14972"/>
    <n v="5116518.370000002"/>
    <n v="5555.3945385450616"/>
    <n v="2665"/>
    <s v="Not Found"/>
    <s v="High Sale"/>
  </r>
  <r>
    <s v="ORD0298"/>
    <s v="2023-07-06"/>
    <s v="CUST241"/>
    <x v="2"/>
    <s v="Laptop"/>
    <s v="Mumbai"/>
    <s v="West Bengal"/>
    <x v="2"/>
    <n v="4"/>
    <n v="4020"/>
    <n v="7"/>
    <n v="14954.4"/>
    <n v="14954.4"/>
    <n v="5101546.370000002"/>
    <n v="5545.1590978260892"/>
    <n v="2661"/>
    <s v="Not Found"/>
    <s v="High Sale"/>
  </r>
  <r>
    <s v="ORD0342"/>
    <s v="2023-03-30"/>
    <s v="CUST003"/>
    <x v="1"/>
    <s v="Laptop"/>
    <s v="Chennai"/>
    <s v="Karnataka"/>
    <x v="3"/>
    <n v="4"/>
    <n v="4236"/>
    <n v="12"/>
    <n v="14910.72"/>
    <n v="14910.72"/>
    <n v="5086591.9700000025"/>
    <n v="5534.9205331882513"/>
    <n v="2657"/>
    <s v="Not Found"/>
    <s v="High Sale"/>
  </r>
  <r>
    <s v="ORD0195"/>
    <s v="2023-06-21"/>
    <s v="CUST129"/>
    <x v="1"/>
    <s v="Shoes"/>
    <s v="Kolkata"/>
    <s v="Delhi"/>
    <x v="1"/>
    <n v="4"/>
    <n v="4643"/>
    <n v="20"/>
    <n v="14857.6"/>
    <n v="14857.6"/>
    <n v="5071681.2500000028"/>
    <n v="5524.7072440087177"/>
    <n v="2653"/>
    <s v="Not Found"/>
    <s v="High Sale"/>
  </r>
  <r>
    <s v="ORD0918"/>
    <s v="2023-10-22"/>
    <s v="CUST238"/>
    <x v="3"/>
    <s v="Mobile"/>
    <s v="Bangalore"/>
    <s v="Karnataka"/>
    <x v="3"/>
    <n v="5"/>
    <n v="3955"/>
    <n v="25"/>
    <n v="14831.25"/>
    <n v="14831.25"/>
    <n v="5056823.6500000022"/>
    <n v="5514.5296074154876"/>
    <n v="2649"/>
    <s v="Not Found"/>
    <s v="High Sale"/>
  </r>
  <r>
    <s v="ORD0577"/>
    <s v="2023-06-22"/>
    <s v="CUST041"/>
    <x v="4"/>
    <s v="Face Cream"/>
    <s v="Mumbai"/>
    <s v="Delhi"/>
    <x v="3"/>
    <n v="5"/>
    <n v="3847"/>
    <n v="23"/>
    <n v="14810.95"/>
    <n v="14810.95"/>
    <n v="5041992.4000000004"/>
    <n v="5504.3585152838432"/>
    <n v="2644"/>
    <s v="Not Found"/>
    <s v="High Sale"/>
  </r>
  <r>
    <s v="ORD0952"/>
    <s v="2023-06-29"/>
    <s v="CUST079"/>
    <x v="1"/>
    <s v="Laptop"/>
    <s v="Mumbai"/>
    <s v="Delhi"/>
    <x v="1"/>
    <n v="4"/>
    <n v="4399"/>
    <n v="16"/>
    <n v="14780.64"/>
    <n v="14780.64"/>
    <n v="5027181.45"/>
    <n v="5494.1873770491802"/>
    <n v="2639"/>
    <s v="Not Found"/>
    <s v="High Sale"/>
  </r>
  <r>
    <s v="ORD0594"/>
    <s v="2023-07-18"/>
    <s v="CUST250"/>
    <x v="3"/>
    <s v="Face Cream"/>
    <s v="Bangalore"/>
    <s v="Tamil Nadu"/>
    <x v="3"/>
    <n v="5"/>
    <n v="3936"/>
    <n v="25"/>
    <n v="14760"/>
    <n v="14760"/>
    <n v="5012400.8100000005"/>
    <n v="5484.0271444201317"/>
    <n v="2635"/>
    <s v="Not Found"/>
    <s v="High Sale"/>
  </r>
  <r>
    <s v="ORD0377"/>
    <s v="2023-11-15"/>
    <s v="CUST129"/>
    <x v="0"/>
    <s v="Shoes"/>
    <s v="Bangalore"/>
    <s v="Maharashtra"/>
    <x v="1"/>
    <n v="5"/>
    <n v="3783"/>
    <n v="22"/>
    <n v="14753.7"/>
    <n v="14753.7"/>
    <n v="4997640.8099999996"/>
    <n v="5473.8672617743696"/>
    <n v="2630"/>
    <s v="Not Found"/>
    <s v="High Sale"/>
  </r>
  <r>
    <s v="ORD0616"/>
    <s v="2023-09-03"/>
    <s v="CUST282"/>
    <x v="3"/>
    <s v="Football"/>
    <s v="Chennai"/>
    <s v="West Bengal"/>
    <x v="2"/>
    <n v="4"/>
    <n v="3749"/>
    <n v="2"/>
    <n v="14696.08"/>
    <n v="14696.08"/>
    <n v="4982887.1100000003"/>
    <n v="5463.6920065789482"/>
    <n v="2625"/>
    <s v="Not Found"/>
    <s v="High Sale"/>
  </r>
  <r>
    <s v="ORD0449"/>
    <s v="2023-10-03"/>
    <s v="CUST021"/>
    <x v="4"/>
    <s v="Mobile"/>
    <s v="Delhi"/>
    <s v="Tamil Nadu"/>
    <x v="0"/>
    <n v="4"/>
    <n v="4230"/>
    <n v="14"/>
    <n v="14551.2"/>
    <n v="14551.199999999999"/>
    <n v="4968191.03"/>
    <n v="5453.5576619099893"/>
    <n v="2621"/>
    <s v="Not Found"/>
    <s v="High Sale"/>
  </r>
  <r>
    <s v="ORD0614"/>
    <s v="2023-03-06"/>
    <s v="CUST110"/>
    <x v="2"/>
    <s v="Laptop"/>
    <s v="Mumbai"/>
    <s v="Maharashtra"/>
    <x v="2"/>
    <n v="5"/>
    <n v="3911"/>
    <n v="26"/>
    <n v="14470.7"/>
    <n v="14470.7"/>
    <n v="4953639.83"/>
    <n v="5443.5602527472529"/>
    <n v="2617"/>
    <s v="Not Found"/>
    <s v="High Sale"/>
  </r>
  <r>
    <s v="ORD0423"/>
    <s v="2023-04-15"/>
    <s v="CUST098"/>
    <x v="2"/>
    <s v="Laptop"/>
    <s v="Chennai"/>
    <s v="Maharashtra"/>
    <x v="3"/>
    <n v="5"/>
    <n v="4006"/>
    <n v="28"/>
    <n v="14421.6"/>
    <n v="14421.6"/>
    <n v="4939169.1300000018"/>
    <n v="5433.6294059405964"/>
    <n v="2612"/>
    <s v="Not Found"/>
    <s v="High Sale"/>
  </r>
  <r>
    <s v="ORD0042"/>
    <s v="2023-06-04"/>
    <s v="CUST189"/>
    <x v="1"/>
    <s v="Mobile"/>
    <s v="Kolkata"/>
    <s v="Karnataka"/>
    <x v="0"/>
    <n v="5"/>
    <n v="3092"/>
    <n v="7"/>
    <n v="14377.8"/>
    <n v="14377.8"/>
    <n v="4924747.5300000021"/>
    <n v="5423.7307599118967"/>
    <n v="2607"/>
    <s v="Not Found"/>
    <s v="High Sale"/>
  </r>
  <r>
    <s v="ORD0559"/>
    <s v="2023-08-20"/>
    <s v="CUST130"/>
    <x v="2"/>
    <s v="Shoes"/>
    <s v="Delhi"/>
    <s v="Maharashtra"/>
    <x v="3"/>
    <n v="5"/>
    <n v="3587"/>
    <n v="20"/>
    <n v="14348"/>
    <n v="14348"/>
    <n v="4910369.7300000023"/>
    <n v="5413.858577728779"/>
    <n v="2602"/>
    <s v="Not Found"/>
    <s v="High Sale"/>
  </r>
  <r>
    <s v="ORD0709"/>
    <s v="2023-09-16"/>
    <s v="CUST029"/>
    <x v="4"/>
    <s v="Shoes"/>
    <s v="Delhi"/>
    <s v="West Bengal"/>
    <x v="2"/>
    <n v="4"/>
    <n v="3840"/>
    <n v="7"/>
    <n v="14284.8"/>
    <n v="14284.8"/>
    <n v="4896021.7300000014"/>
    <n v="5403.9974944812375"/>
    <n v="2597"/>
    <s v="Not Found"/>
    <s v="High Sale"/>
  </r>
  <r>
    <s v="ORD0333"/>
    <s v="2023-07-17"/>
    <s v="CUST262"/>
    <x v="3"/>
    <s v="T-Shirt"/>
    <s v="Mumbai"/>
    <s v="Karnataka"/>
    <x v="0"/>
    <n v="5"/>
    <n v="4018"/>
    <n v="29"/>
    <n v="14263.9"/>
    <n v="14263.9"/>
    <n v="4881736.9300000006"/>
    <n v="5394.1844530386743"/>
    <n v="2593"/>
    <s v="Not Found"/>
    <s v="High Sale"/>
  </r>
  <r>
    <s v="ORD0708"/>
    <s v="2023-07-07"/>
    <s v="CUST246"/>
    <x v="0"/>
    <s v="Sofa"/>
    <s v="Chennai"/>
    <s v="Karnataka"/>
    <x v="2"/>
    <n v="5"/>
    <n v="3971"/>
    <n v="29"/>
    <n v="14097.05"/>
    <n v="14097.05"/>
    <n v="4867473.03"/>
    <n v="5384.3728207964605"/>
    <n v="2588"/>
    <s v="Not Found"/>
    <s v="High Sale"/>
  </r>
  <r>
    <s v="ORD0807"/>
    <s v="2023-01-30"/>
    <s v="CUST163"/>
    <x v="4"/>
    <s v="Laptop"/>
    <s v="Chennai"/>
    <s v="Delhi"/>
    <x v="2"/>
    <n v="4"/>
    <n v="3595"/>
    <n v="2"/>
    <n v="14092.4"/>
    <n v="14092.4"/>
    <n v="4853375.9800000004"/>
    <n v="5374.7242303433004"/>
    <n v="2583"/>
    <s v="Not Found"/>
    <s v="High Sale"/>
  </r>
  <r>
    <s v="ORD0747"/>
    <s v="2023-03-06"/>
    <s v="CUST150"/>
    <x v="2"/>
    <s v="Football"/>
    <s v="Chennai"/>
    <s v="Delhi"/>
    <x v="0"/>
    <n v="4"/>
    <n v="4416"/>
    <n v="21"/>
    <n v="13954.56"/>
    <n v="13954.560000000001"/>
    <n v="4839283.58"/>
    <n v="5365.0594013303771"/>
    <n v="2579"/>
    <s v="Not Found"/>
    <s v="High Sale"/>
  </r>
  <r>
    <s v="ORD0452"/>
    <s v="2023-10-25"/>
    <s v="CUST159"/>
    <x v="0"/>
    <s v="Mobile"/>
    <s v="Bangalore"/>
    <s v="Maharashtra"/>
    <x v="2"/>
    <n v="4"/>
    <n v="4289"/>
    <n v="19"/>
    <n v="13896.36"/>
    <n v="13896.36"/>
    <n v="4825329.0200000005"/>
    <n v="5355.5261043285245"/>
    <n v="2575"/>
    <s v="Not Found"/>
    <s v="High Sale"/>
  </r>
  <r>
    <s v="ORD0823"/>
    <s v="2023-01-16"/>
    <s v="CUST147"/>
    <x v="2"/>
    <s v="Mobile"/>
    <s v="Mumbai"/>
    <s v="West Bengal"/>
    <x v="2"/>
    <n v="5"/>
    <n v="3386"/>
    <n v="18"/>
    <n v="13882.6"/>
    <n v="13882.6"/>
    <n v="4811432.6600000011"/>
    <n v="5346.0362888888903"/>
    <n v="2571"/>
    <s v="Not Found"/>
    <s v="High Sale"/>
  </r>
  <r>
    <s v="ORD0569"/>
    <s v="2023-08-09"/>
    <s v="CUST103"/>
    <x v="4"/>
    <s v="Sofa"/>
    <s v="Delhi"/>
    <s v="Maharashtra"/>
    <x v="0"/>
    <n v="5"/>
    <n v="3701"/>
    <n v="25"/>
    <n v="13878.75"/>
    <n v="13878.75"/>
    <n v="4797550.0600000015"/>
    <n v="5336.5406674082333"/>
    <n v="2566"/>
    <s v="Not Found"/>
    <s v="High Sale"/>
  </r>
  <r>
    <s v="ORD0967"/>
    <s v="2023-08-06"/>
    <s v="CUST083"/>
    <x v="0"/>
    <s v="Sofa"/>
    <s v="Kolkata"/>
    <s v="Delhi"/>
    <x v="1"/>
    <n v="4"/>
    <n v="4948"/>
    <n v="30"/>
    <n v="13854.4"/>
    <n v="13854.4"/>
    <n v="4783671.3100000015"/>
    <n v="5327.0281848552358"/>
    <n v="2561"/>
    <s v="Not Found"/>
    <s v="High Sale"/>
  </r>
  <r>
    <s v="ORD0540"/>
    <s v="2023-09-04"/>
    <s v="CUST202"/>
    <x v="2"/>
    <s v="Sofa"/>
    <s v="Kolkata"/>
    <s v="Maharashtra"/>
    <x v="0"/>
    <n v="5"/>
    <n v="3412"/>
    <n v="19"/>
    <n v="13818.6"/>
    <n v="13818.6"/>
    <n v="4769816.9100000011"/>
    <n v="5317.5216387959881"/>
    <n v="2557"/>
    <s v="Not Found"/>
    <s v="High Sale"/>
  </r>
  <r>
    <s v="ORD0231"/>
    <s v="2023-10-01"/>
    <s v="CUST078"/>
    <x v="3"/>
    <s v="Mobile"/>
    <s v="Delhi"/>
    <s v="Maharashtra"/>
    <x v="0"/>
    <n v="5"/>
    <n v="3677"/>
    <n v="25"/>
    <n v="13788.75"/>
    <n v="13788.75"/>
    <n v="4755998.3100000024"/>
    <n v="5308.0338281250024"/>
    <n v="2552"/>
    <s v="Not Found"/>
    <s v="High Sale"/>
  </r>
  <r>
    <s v="ORD0489"/>
    <s v="2023-02-10"/>
    <s v="CUST066"/>
    <x v="3"/>
    <s v="Football"/>
    <s v="Bangalore"/>
    <s v="Karnataka"/>
    <x v="2"/>
    <n v="3"/>
    <n v="4681"/>
    <n v="2"/>
    <n v="13762.14"/>
    <n v="13762.14"/>
    <n v="4742209.5600000015"/>
    <n v="5298.5581675977674"/>
    <n v="2547"/>
    <s v="Not Found"/>
    <s v="High Sale"/>
  </r>
  <r>
    <s v="ORD0585"/>
    <s v="2023-12-18"/>
    <s v="CUST171"/>
    <x v="1"/>
    <s v="Laptop"/>
    <s v="Delhi"/>
    <s v="Karnataka"/>
    <x v="0"/>
    <n v="4"/>
    <n v="4839"/>
    <n v="29"/>
    <n v="13742.76"/>
    <n v="13742.76"/>
    <n v="4728447.42"/>
    <n v="5289.0910738255034"/>
    <n v="2544"/>
    <s v="Not Found"/>
    <s v="High Sale"/>
  </r>
  <r>
    <s v="ORD0383"/>
    <s v="2023-11-13"/>
    <s v="CUST139"/>
    <x v="4"/>
    <s v="Football"/>
    <s v="Chennai"/>
    <s v="Karnataka"/>
    <x v="2"/>
    <n v="3"/>
    <n v="4766"/>
    <n v="4"/>
    <n v="13726.08"/>
    <n v="13726.08"/>
    <n v="4714704.6599999992"/>
    <n v="5279.624479283314"/>
    <n v="2540"/>
    <s v="Not Found"/>
    <s v="High Sale"/>
  </r>
  <r>
    <s v="ORD0002"/>
    <s v="2023-12-15"/>
    <s v="CUST163"/>
    <x v="3"/>
    <s v="Football"/>
    <s v="Bangalore"/>
    <s v="Maharashtra"/>
    <x v="0"/>
    <n v="4"/>
    <n v="4131"/>
    <n v="17"/>
    <n v="13714.92"/>
    <n v="13714.92"/>
    <n v="4700978.5799999991"/>
    <n v="5270.1553587443941"/>
    <n v="2537"/>
    <s v="Not Found"/>
    <s v="High Sale"/>
  </r>
  <r>
    <s v="ORD0667"/>
    <s v="2023-03-25"/>
    <s v="CUST063"/>
    <x v="4"/>
    <s v="Football"/>
    <s v="Mumbai"/>
    <s v="Maharashtra"/>
    <x v="2"/>
    <n v="5"/>
    <n v="3597"/>
    <n v="24"/>
    <n v="13668.6"/>
    <n v="13668.6"/>
    <n v="4687263.66"/>
    <n v="5260.6775084175088"/>
    <n v="2533"/>
    <s v="Not Found"/>
    <s v="High Sale"/>
  </r>
  <r>
    <s v="ORD0603"/>
    <s v="2023-08-31"/>
    <s v="CUST270"/>
    <x v="1"/>
    <s v="Sofa"/>
    <s v="Mumbai"/>
    <s v="Tamil Nadu"/>
    <x v="0"/>
    <n v="4"/>
    <n v="3477"/>
    <n v="3"/>
    <n v="13490.76"/>
    <n v="13490.76"/>
    <n v="4673595.0599999996"/>
    <n v="5251.2304044943812"/>
    <n v="2528"/>
    <s v="Not Found"/>
    <s v="High Sale"/>
  </r>
  <r>
    <s v="ORD0526"/>
    <s v="2023-02-07"/>
    <s v="CUST055"/>
    <x v="4"/>
    <s v="Football"/>
    <s v="Delhi"/>
    <s v="West Bengal"/>
    <x v="1"/>
    <n v="5"/>
    <n v="3365"/>
    <n v="20"/>
    <n v="13460"/>
    <n v="13460"/>
    <n v="4660104.3"/>
    <n v="5241.9620922384702"/>
    <n v="2524"/>
    <s v="Not Found"/>
    <s v="High Sale"/>
  </r>
  <r>
    <s v="ORD0384"/>
    <s v="2023-05-30"/>
    <s v="CUST176"/>
    <x v="0"/>
    <s v="Mobile"/>
    <s v="Bangalore"/>
    <s v="Karnataka"/>
    <x v="2"/>
    <n v="5"/>
    <n v="3682"/>
    <n v="27"/>
    <n v="13439.3"/>
    <n v="13439.3"/>
    <n v="4646644.3"/>
    <n v="5232.7075450450448"/>
    <n v="2519"/>
    <s v="Not Found"/>
    <s v="High Sale"/>
  </r>
  <r>
    <s v="ORD0571"/>
    <s v="2023-03-11"/>
    <s v="CUST144"/>
    <x v="0"/>
    <s v="Laptop"/>
    <s v="Mumbai"/>
    <s v="Karnataka"/>
    <x v="0"/>
    <n v="4"/>
    <n v="3733"/>
    <n v="10"/>
    <n v="13438.8"/>
    <n v="13438.800000000001"/>
    <n v="4633205"/>
    <n v="5223.455467869222"/>
    <n v="2514"/>
    <s v="Not Found"/>
    <s v="High Sale"/>
  </r>
  <r>
    <s v="ORD0623"/>
    <s v="2023-04-20"/>
    <s v="CUST220"/>
    <x v="0"/>
    <s v="Laptop"/>
    <s v="Mumbai"/>
    <s v="Tamil Nadu"/>
    <x v="1"/>
    <n v="4"/>
    <n v="3860"/>
    <n v="13"/>
    <n v="13432.8"/>
    <n v="13432.8"/>
    <n v="4619766.2"/>
    <n v="5214.1830699774273"/>
    <n v="2510"/>
    <s v="Not Found"/>
    <s v="High Sale"/>
  </r>
  <r>
    <s v="ORD0031"/>
    <s v="2023-06-30"/>
    <s v="CUST137"/>
    <x v="0"/>
    <s v="Mobile"/>
    <s v="Chennai"/>
    <s v="Tamil Nadu"/>
    <x v="3"/>
    <n v="4"/>
    <n v="4358"/>
    <n v="23"/>
    <n v="13422.64"/>
    <n v="13422.64"/>
    <n v="4606333.4000000022"/>
    <n v="5204.8964971751438"/>
    <n v="2506"/>
    <s v="Not Found"/>
    <s v="High Sale"/>
  </r>
  <r>
    <s v="ORD0869"/>
    <s v="2023-12-20"/>
    <s v="CUST039"/>
    <x v="1"/>
    <s v="T-Shirt"/>
    <s v="Chennai"/>
    <s v="Tamil Nadu"/>
    <x v="2"/>
    <n v="4"/>
    <n v="3993"/>
    <n v="16"/>
    <n v="13416.48"/>
    <n v="13416.48"/>
    <n v="4592910.7600000016"/>
    <n v="5195.6004072398209"/>
    <n v="2502"/>
    <s v="Not Found"/>
    <s v="High Sale"/>
  </r>
  <r>
    <s v="ORD0234"/>
    <s v="2023-05-23"/>
    <s v="CUST156"/>
    <x v="2"/>
    <s v="T-Shirt"/>
    <s v="Delhi"/>
    <s v="Karnataka"/>
    <x v="0"/>
    <n v="4"/>
    <n v="4288"/>
    <n v="22"/>
    <n v="13378.56"/>
    <n v="13378.560000000001"/>
    <n v="4579494.2800000021"/>
    <n v="5186.2902378255967"/>
    <n v="2498"/>
    <s v="Not Found"/>
    <s v="High Sale"/>
  </r>
  <r>
    <s v="ORD0575"/>
    <s v="2023-01-22"/>
    <s v="CUST281"/>
    <x v="2"/>
    <s v="Laptop"/>
    <s v="Mumbai"/>
    <s v="Delhi"/>
    <x v="3"/>
    <n v="5"/>
    <n v="3427"/>
    <n v="22"/>
    <n v="13365.3"/>
    <n v="13365.300000000001"/>
    <n v="4566115.7200000016"/>
    <n v="5177.0019501133802"/>
    <n v="2494"/>
    <s v="Not Found"/>
    <s v="High Sale"/>
  </r>
  <r>
    <s v="ORD0877"/>
    <s v="2023-07-17"/>
    <s v="CUST069"/>
    <x v="2"/>
    <s v="Football"/>
    <s v="Kolkata"/>
    <s v="West Bengal"/>
    <x v="1"/>
    <n v="4"/>
    <n v="3839"/>
    <n v="13"/>
    <n v="13359.72"/>
    <n v="13359.72"/>
    <n v="4552750.4200000009"/>
    <n v="5167.7076276958014"/>
    <n v="2489"/>
    <s v="Not Found"/>
    <s v="High Sale"/>
  </r>
  <r>
    <s v="ORD0925"/>
    <s v="2023-08-31"/>
    <s v="CUST067"/>
    <x v="0"/>
    <s v="Mobile"/>
    <s v="Delhi"/>
    <s v="Tamil Nadu"/>
    <x v="0"/>
    <n v="4"/>
    <n v="4314"/>
    <n v="23"/>
    <n v="13287.12"/>
    <n v="13287.12"/>
    <n v="4539390.7000000011"/>
    <n v="5158.3985227272742"/>
    <n v="2485"/>
    <s v="Not Found"/>
    <s v="High Sale"/>
  </r>
  <r>
    <s v="ORD0006"/>
    <s v="2023-08-08"/>
    <s v="CUST232"/>
    <x v="0"/>
    <s v="Laptop"/>
    <s v="Bangalore"/>
    <s v="Delhi"/>
    <x v="1"/>
    <n v="4"/>
    <n v="3862"/>
    <n v="14"/>
    <n v="13285.28"/>
    <n v="13285.28"/>
    <n v="4526103.580000001"/>
    <n v="5149.1508304891931"/>
    <n v="2481"/>
    <s v="Not Found"/>
    <s v="High Sale"/>
  </r>
  <r>
    <s v="ORD0885"/>
    <s v="2023-09-01"/>
    <s v="CUST227"/>
    <x v="3"/>
    <s v="Mobile"/>
    <s v="Bangalore"/>
    <s v="Tamil Nadu"/>
    <x v="0"/>
    <n v="5"/>
    <n v="3280"/>
    <n v="19"/>
    <n v="13284"/>
    <n v="13284"/>
    <n v="4512818.3000000007"/>
    <n v="5139.8841685649213"/>
    <n v="2477"/>
    <s v="Not Found"/>
    <s v="High Sale"/>
  </r>
  <r>
    <s v="ORD0590"/>
    <s v="2023-04-13"/>
    <s v="CUST138"/>
    <x v="4"/>
    <s v="T-Shirt"/>
    <s v="Bangalore"/>
    <s v="Maharashtra"/>
    <x v="2"/>
    <n v="3"/>
    <n v="4418"/>
    <n v="0"/>
    <n v="13254"/>
    <n v="13254"/>
    <n v="4499534.3000000017"/>
    <n v="5130.5978335233767"/>
    <n v="2472"/>
    <s v="Not Found"/>
    <s v="High Sale"/>
  </r>
  <r>
    <s v="ORD0821"/>
    <s v="2023-06-24"/>
    <s v="CUST079"/>
    <x v="4"/>
    <s v="Sofa"/>
    <s v="Mumbai"/>
    <s v="Karnataka"/>
    <x v="0"/>
    <n v="4"/>
    <n v="3474"/>
    <n v="5"/>
    <n v="13201.2"/>
    <n v="13201.199999999999"/>
    <n v="4486280.3000000026"/>
    <n v="5121.324543378998"/>
    <n v="2469"/>
    <s v="Not Found"/>
    <s v="High Sale"/>
  </r>
  <r>
    <s v="ORD0283"/>
    <s v="2023-04-17"/>
    <s v="CUST032"/>
    <x v="0"/>
    <s v="Football"/>
    <s v="Chennai"/>
    <s v="Delhi"/>
    <x v="2"/>
    <n v="4"/>
    <n v="4115"/>
    <n v="20"/>
    <n v="13168"/>
    <n v="13168"/>
    <n v="4473079.1000000024"/>
    <n v="5112.0904000000028"/>
    <n v="2465"/>
    <s v="Not Found"/>
    <s v="High Sale"/>
  </r>
  <r>
    <s v="ORD0321"/>
    <s v="2023-03-13"/>
    <s v="CUST003"/>
    <x v="2"/>
    <s v="Laptop"/>
    <s v="Kolkata"/>
    <s v="Tamil Nadu"/>
    <x v="2"/>
    <n v="3"/>
    <n v="4383"/>
    <n v="0"/>
    <n v="13149"/>
    <n v="13149"/>
    <n v="4459911.1000000015"/>
    <n v="5102.873112128148"/>
    <n v="2461"/>
    <s v="Not Found"/>
    <s v="High Sale"/>
  </r>
  <r>
    <s v="ORD0427"/>
    <s v="2023-02-22"/>
    <s v="CUST053"/>
    <x v="4"/>
    <s v="Football"/>
    <s v="Chennai"/>
    <s v="Maharashtra"/>
    <x v="1"/>
    <n v="4"/>
    <n v="4675"/>
    <n v="30"/>
    <n v="13090"/>
    <n v="13090"/>
    <n v="4446762.1000000006"/>
    <n v="5093.6564719358539"/>
    <n v="2458"/>
    <s v="Not Found"/>
    <s v="High Sale"/>
  </r>
  <r>
    <s v="ORD0474"/>
    <s v="2023-05-28"/>
    <s v="CUST095"/>
    <x v="4"/>
    <s v="Football"/>
    <s v="Kolkata"/>
    <s v="West Bengal"/>
    <x v="1"/>
    <n v="3"/>
    <n v="4845"/>
    <n v="10"/>
    <n v="13081.5"/>
    <n v="13081.5"/>
    <n v="4433672.1000000006"/>
    <n v="5084.4863532110094"/>
    <n v="2454"/>
    <s v="Not Found"/>
    <s v="High Sale"/>
  </r>
  <r>
    <s v="ORD0048"/>
    <s v="2023-02-04"/>
    <s v="CUST104"/>
    <x v="0"/>
    <s v="Sofa"/>
    <s v="Bangalore"/>
    <s v="Karnataka"/>
    <x v="1"/>
    <n v="5"/>
    <n v="3392"/>
    <n v="23"/>
    <n v="13059.2"/>
    <n v="13059.2"/>
    <n v="4420590.5999999996"/>
    <n v="5075.3049368541906"/>
    <n v="2451"/>
    <s v="Not Found"/>
    <s v="High Sale"/>
  </r>
  <r>
    <s v="ORD0847"/>
    <s v="2023-07-14"/>
    <s v="CUST235"/>
    <x v="3"/>
    <s v="Laptop"/>
    <s v="Delhi"/>
    <s v="Delhi"/>
    <x v="1"/>
    <n v="4"/>
    <n v="3428"/>
    <n v="5"/>
    <n v="13026.4"/>
    <n v="13026.4"/>
    <n v="4407531.3999999985"/>
    <n v="5066.1280459770096"/>
    <n v="2446"/>
    <s v="Not Found"/>
    <s v="High Sale"/>
  </r>
  <r>
    <s v="ORD0281"/>
    <s v="2023-08-31"/>
    <s v="CUST117"/>
    <x v="0"/>
    <s v="Face Cream"/>
    <s v="Chennai"/>
    <s v="Tamil Nadu"/>
    <x v="2"/>
    <n v="5"/>
    <n v="2712"/>
    <n v="4"/>
    <n v="13017.6"/>
    <n v="13017.6"/>
    <n v="4394504.9999999991"/>
    <n v="5056.9677790563856"/>
    <n v="2442"/>
    <s v="Not Found"/>
    <s v="High Sale"/>
  </r>
  <r>
    <s v="ORD0412"/>
    <s v="2023-10-30"/>
    <s v="CUST054"/>
    <x v="0"/>
    <s v="T-Shirt"/>
    <s v="Delhi"/>
    <s v="West Bengal"/>
    <x v="1"/>
    <n v="5"/>
    <n v="2950"/>
    <n v="12"/>
    <n v="12980"/>
    <n v="12980"/>
    <n v="4381487.4000000004"/>
    <n v="5047.7965437788025"/>
    <n v="2437"/>
    <s v="Not Found"/>
    <s v="High Sale"/>
  </r>
  <r>
    <s v="ORD0003"/>
    <s v="2023-11-01"/>
    <s v="CUST189"/>
    <x v="2"/>
    <s v="T-Shirt"/>
    <s v="Chennai"/>
    <s v="West Bengal"/>
    <x v="3"/>
    <n v="5"/>
    <n v="2621"/>
    <n v="1"/>
    <n v="12973.95"/>
    <n v="12973.95"/>
    <n v="4368507.4000000013"/>
    <n v="5038.647520184546"/>
    <n v="2432"/>
    <s v="Not Found"/>
    <s v="High Sale"/>
  </r>
  <r>
    <s v="ORD0809"/>
    <s v="2023-04-27"/>
    <s v="CUST162"/>
    <x v="1"/>
    <s v="Face Cream"/>
    <s v="Chennai"/>
    <s v="Tamil Nadu"/>
    <x v="2"/>
    <n v="5"/>
    <n v="3277"/>
    <n v="21"/>
    <n v="12944.15"/>
    <n v="12944.150000000001"/>
    <n v="4355533.450000002"/>
    <n v="5029.4843533487319"/>
    <n v="2427"/>
    <s v="Not Found"/>
    <s v="High Sale"/>
  </r>
  <r>
    <s v="ORD0476"/>
    <s v="2023-10-20"/>
    <s v="CUST100"/>
    <x v="2"/>
    <s v="Sofa"/>
    <s v="Chennai"/>
    <s v="Tamil Nadu"/>
    <x v="2"/>
    <n v="5"/>
    <n v="2869"/>
    <n v="10"/>
    <n v="12910.5"/>
    <n v="12910.5"/>
    <n v="4342589.3000000017"/>
    <n v="5020.3344508670543"/>
    <n v="2422"/>
    <s v="Not Found"/>
    <s v="High Sale"/>
  </r>
  <r>
    <s v="ORD0242"/>
    <s v="2023-02-26"/>
    <s v="CUST063"/>
    <x v="0"/>
    <s v="Shoes"/>
    <s v="Delhi"/>
    <s v="Karnataka"/>
    <x v="0"/>
    <n v="3"/>
    <n v="4741"/>
    <n v="10"/>
    <n v="12800.7"/>
    <n v="12800.7"/>
    <n v="4329678.8000000007"/>
    <n v="5011.2023148148155"/>
    <n v="2417"/>
    <s v="Not Found"/>
    <s v="High Sale"/>
  </r>
  <r>
    <s v="ORD0273"/>
    <s v="2023-12-16"/>
    <s v="CUST225"/>
    <x v="1"/>
    <s v="Mobile"/>
    <s v="Delhi"/>
    <s v="Tamil Nadu"/>
    <x v="1"/>
    <n v="3"/>
    <n v="4331"/>
    <n v="2"/>
    <n v="12733.14"/>
    <n v="12733.14"/>
    <n v="4316878.1000000006"/>
    <n v="5002.176245654694"/>
    <n v="2414"/>
    <s v="Not Found"/>
    <s v="High Sale"/>
  </r>
  <r>
    <s v="ORD0382"/>
    <s v="2023-02-24"/>
    <s v="CUST033"/>
    <x v="2"/>
    <s v="Football"/>
    <s v="Bangalore"/>
    <s v="Delhi"/>
    <x v="2"/>
    <n v="4"/>
    <n v="3654"/>
    <n v="13"/>
    <n v="12715.92"/>
    <n v="12715.92"/>
    <n v="4304144.9600000009"/>
    <n v="4993.2076102088176"/>
    <n v="2411"/>
    <s v="Not Found"/>
    <s v="High Sale"/>
  </r>
  <r>
    <s v="ORD0339"/>
    <s v="2023-08-13"/>
    <s v="CUST204"/>
    <x v="1"/>
    <s v="Shoes"/>
    <s v="Delhi"/>
    <s v="West Bengal"/>
    <x v="2"/>
    <n v="4"/>
    <n v="4237"/>
    <n v="25"/>
    <n v="12711"/>
    <n v="12711"/>
    <n v="4291429.0400000019"/>
    <n v="4984.2381416957051"/>
    <n v="2407"/>
    <s v="Not Found"/>
    <s v="High Sale"/>
  </r>
  <r>
    <s v="ORD0045"/>
    <s v="2023-07-19"/>
    <s v="CUST023"/>
    <x v="2"/>
    <s v="Face Cream"/>
    <s v="Chennai"/>
    <s v="Tamil Nadu"/>
    <x v="3"/>
    <n v="3"/>
    <n v="4862"/>
    <n v="13"/>
    <n v="12689.82"/>
    <n v="12689.82"/>
    <n v="4278718.040000001"/>
    <n v="4975.2535348837218"/>
    <n v="2403"/>
    <s v="Not Found"/>
    <s v="High Sale"/>
  </r>
  <r>
    <s v="ORD0948"/>
    <s v="2023-03-26"/>
    <s v="CUST136"/>
    <x v="3"/>
    <s v="Shoes"/>
    <s v="Chennai"/>
    <s v="Tamil Nadu"/>
    <x v="0"/>
    <n v="4"/>
    <n v="3505"/>
    <n v="10"/>
    <n v="12618"/>
    <n v="12618"/>
    <n v="4266028.2200000016"/>
    <n v="4966.2726658905722"/>
    <n v="2400"/>
    <s v="Not Found"/>
    <s v="High Sale"/>
  </r>
  <r>
    <s v="ORD0477"/>
    <s v="2023-03-19"/>
    <s v="CUST057"/>
    <x v="1"/>
    <s v="Football"/>
    <s v="Chennai"/>
    <s v="West Bengal"/>
    <x v="2"/>
    <n v="5"/>
    <n v="2709"/>
    <n v="7"/>
    <n v="12596.85"/>
    <n v="12596.849999999999"/>
    <n v="4253410.2200000016"/>
    <n v="4957.354568764571"/>
    <n v="2396"/>
    <s v="Not Found"/>
    <s v="High Sale"/>
  </r>
  <r>
    <s v="ORD0104"/>
    <s v="2023-02-24"/>
    <s v="CUST006"/>
    <x v="1"/>
    <s v="Football"/>
    <s v="Mumbai"/>
    <s v="West Bengal"/>
    <x v="0"/>
    <n v="5"/>
    <n v="2796"/>
    <n v="10"/>
    <n v="12582"/>
    <n v="12582"/>
    <n v="4240813.370000002"/>
    <n v="4948.4403383897343"/>
    <n v="2391"/>
    <s v="Not Found"/>
    <s v="High Sale"/>
  </r>
  <r>
    <s v="ORD0021"/>
    <s v="2023-07-26"/>
    <s v="CUST190"/>
    <x v="0"/>
    <s v="Face Cream"/>
    <s v="Chennai"/>
    <s v="Maharashtra"/>
    <x v="1"/>
    <n v="3"/>
    <n v="4401"/>
    <n v="5"/>
    <n v="12542.849999999999"/>
    <n v="12542.849999999999"/>
    <n v="4228231.370000001"/>
    <n v="4939.5226285046738"/>
    <n v="2386"/>
    <s v="Not Found"/>
    <s v="High Sale"/>
  </r>
  <r>
    <s v="ORD0643"/>
    <s v="2023-08-19"/>
    <s v="CUST286"/>
    <x v="2"/>
    <s v="Face Cream"/>
    <s v="Chennai"/>
    <s v="West Bengal"/>
    <x v="3"/>
    <n v="4"/>
    <n v="3482"/>
    <n v="10"/>
    <n v="12535.2"/>
    <n v="12535.2"/>
    <n v="4215688.5200000005"/>
    <n v="4930.629847953217"/>
    <n v="2383"/>
    <s v="Not Found"/>
    <s v="High Sale"/>
  </r>
  <r>
    <s v="ORD0936"/>
    <s v="2023-08-18"/>
    <s v="CUST157"/>
    <x v="0"/>
    <s v="Football"/>
    <s v="Kolkata"/>
    <s v="Tamil Nadu"/>
    <x v="2"/>
    <n v="4"/>
    <n v="3917"/>
    <n v="20"/>
    <n v="12534.4"/>
    <n v="12534.400000000001"/>
    <n v="4203153.32"/>
    <n v="4921.7251990632321"/>
    <n v="2379"/>
    <s v="Not Found"/>
    <s v="High Sale"/>
  </r>
  <r>
    <s v="ORD0260"/>
    <s v="2023-04-29"/>
    <s v="CUST056"/>
    <x v="0"/>
    <s v="Shoes"/>
    <s v="Chennai"/>
    <s v="Delhi"/>
    <x v="0"/>
    <n v="5"/>
    <n v="3085"/>
    <n v="19"/>
    <n v="12494.25"/>
    <n v="12494.25"/>
    <n v="4190618.9200000009"/>
    <n v="4912.8006096131312"/>
    <n v="2375"/>
    <s v="Not Found"/>
    <s v="High Sale"/>
  </r>
  <r>
    <s v="ORD0598"/>
    <s v="2023-09-24"/>
    <s v="CUST143"/>
    <x v="3"/>
    <s v="Football"/>
    <s v="Chennai"/>
    <s v="West Bengal"/>
    <x v="3"/>
    <n v="3"/>
    <n v="4297"/>
    <n v="4"/>
    <n v="12375.36"/>
    <n v="12375.359999999999"/>
    <n v="4178124.6700000004"/>
    <n v="4903.9021948356813"/>
    <n v="2370"/>
    <s v="Not Found"/>
    <s v="High Sale"/>
  </r>
  <r>
    <s v="ORD0921"/>
    <s v="2023-11-10"/>
    <s v="CUST137"/>
    <x v="2"/>
    <s v="Sofa"/>
    <s v="Kolkata"/>
    <s v="Tamil Nadu"/>
    <x v="2"/>
    <n v="3"/>
    <n v="4259"/>
    <n v="4"/>
    <n v="12265.92"/>
    <n v="12265.92"/>
    <n v="4165749.31"/>
    <n v="4895.1225734430082"/>
    <n v="2367"/>
    <s v="Not Found"/>
    <s v="High Sale"/>
  </r>
  <r>
    <s v="ORD0726"/>
    <s v="2023-01-06"/>
    <s v="CUST050"/>
    <x v="0"/>
    <s v="Laptop"/>
    <s v="Bangalore"/>
    <s v="Maharashtra"/>
    <x v="3"/>
    <n v="3"/>
    <n v="4798"/>
    <n v="15"/>
    <n v="12234.9"/>
    <n v="12234.9"/>
    <n v="4153483.39"/>
    <n v="4886.4510470588239"/>
    <n v="2364"/>
    <s v="Not Found"/>
    <s v="High Sale"/>
  </r>
  <r>
    <s v="ORD0848"/>
    <s v="2023-10-15"/>
    <s v="CUST061"/>
    <x v="0"/>
    <s v="Mobile"/>
    <s v="Bangalore"/>
    <s v="Maharashtra"/>
    <x v="3"/>
    <n v="3"/>
    <n v="4432"/>
    <n v="8"/>
    <n v="12232.32"/>
    <n v="12232.32"/>
    <n v="4141248.4899999998"/>
    <n v="4877.7956301531212"/>
    <n v="2361"/>
    <s v="Not Found"/>
    <s v="High Sale"/>
  </r>
  <r>
    <s v="ORD0217"/>
    <s v="2023-06-07"/>
    <s v="CUST285"/>
    <x v="0"/>
    <s v="T-Shirt"/>
    <s v="Bangalore"/>
    <s v="Maharashtra"/>
    <x v="2"/>
    <n v="4"/>
    <n v="3596"/>
    <n v="15"/>
    <n v="12226.4"/>
    <n v="12226.4"/>
    <n v="4129016.17"/>
    <n v="4869.1228419811323"/>
    <n v="2358"/>
    <s v="Not Found"/>
    <s v="High Sale"/>
  </r>
  <r>
    <s v="ORD0509"/>
    <s v="2023-11-05"/>
    <s v="CUST020"/>
    <x v="2"/>
    <s v="Laptop"/>
    <s v="Kolkata"/>
    <s v="Delhi"/>
    <x v="1"/>
    <n v="3"/>
    <n v="4909"/>
    <n v="17"/>
    <n v="12223.41"/>
    <n v="12223.41"/>
    <n v="4116789.77"/>
    <n v="4860.4365643447463"/>
    <n v="2354"/>
    <s v="Not Found"/>
    <s v="High Sale"/>
  </r>
  <r>
    <s v="ORD0659"/>
    <s v="2023-06-27"/>
    <s v="CUST007"/>
    <x v="1"/>
    <s v="T-Shirt"/>
    <s v="Chennai"/>
    <s v="Tamil Nadu"/>
    <x v="1"/>
    <n v="3"/>
    <n v="4791"/>
    <n v="15"/>
    <n v="12217.05"/>
    <n v="12217.05"/>
    <n v="4104566.3599999994"/>
    <n v="4851.7332860520091"/>
    <n v="2351"/>
    <s v="Not Found"/>
    <s v="High Sale"/>
  </r>
  <r>
    <s v="ORD0070"/>
    <s v="2023-10-09"/>
    <s v="CUST156"/>
    <x v="0"/>
    <s v="Sofa"/>
    <s v="Mumbai"/>
    <s v="Tamil Nadu"/>
    <x v="3"/>
    <n v="3"/>
    <n v="4727"/>
    <n v="14"/>
    <n v="12195.66"/>
    <n v="12195.66"/>
    <n v="4092349.3099999996"/>
    <n v="4843.0169349112421"/>
    <n v="2348"/>
    <s v="Not Found"/>
    <s v="High Sale"/>
  </r>
  <r>
    <s v="ORD0881"/>
    <s v="2023-06-16"/>
    <s v="CUST232"/>
    <x v="4"/>
    <s v="Face Cream"/>
    <s v="Chennai"/>
    <s v="Tamil Nadu"/>
    <x v="3"/>
    <n v="4"/>
    <n v="4337"/>
    <n v="30"/>
    <n v="12143.6"/>
    <n v="12143.599999999999"/>
    <n v="4080153.65"/>
    <n v="4834.3052725118487"/>
    <n v="2345"/>
    <s v="Not Found"/>
    <s v="High Sale"/>
  </r>
  <r>
    <s v="ORD0131"/>
    <s v="2023-01-30"/>
    <s v="CUST247"/>
    <x v="3"/>
    <s v="Laptop"/>
    <s v="Bangalore"/>
    <s v="Tamil Nadu"/>
    <x v="3"/>
    <n v="3"/>
    <n v="4578"/>
    <n v="12"/>
    <n v="12085.92"/>
    <n v="12085.92"/>
    <n v="4068010.05"/>
    <n v="4825.6346975088964"/>
    <n v="2341"/>
    <s v="Not Found"/>
    <s v="High Sale"/>
  </r>
  <r>
    <s v="ORD0329"/>
    <s v="2023-01-22"/>
    <s v="CUST152"/>
    <x v="4"/>
    <s v="Shoes"/>
    <s v="Bangalore"/>
    <s v="Karnataka"/>
    <x v="3"/>
    <n v="3"/>
    <n v="4312"/>
    <n v="7"/>
    <n v="12030.48"/>
    <n v="12030.48"/>
    <n v="4055924.13"/>
    <n v="4817.0120308788601"/>
    <n v="2338"/>
    <s v="Not Found"/>
    <s v="High Sale"/>
  </r>
  <r>
    <s v="ORD0459"/>
    <s v="2023-06-06"/>
    <s v="CUST165"/>
    <x v="0"/>
    <s v="Shoes"/>
    <s v="Kolkata"/>
    <s v="Maharashtra"/>
    <x v="1"/>
    <n v="4"/>
    <n v="3567"/>
    <n v="16"/>
    <n v="11985.12"/>
    <n v="11985.119999999999"/>
    <n v="4043893.6500000004"/>
    <n v="4808.434780023782"/>
    <n v="2335"/>
    <s v="Not Found"/>
    <s v="High Sale"/>
  </r>
  <r>
    <s v="ORD0453"/>
    <s v="2023-01-04"/>
    <s v="CUST170"/>
    <x v="0"/>
    <s v="Face Cream"/>
    <s v="Mumbai"/>
    <s v="West Bengal"/>
    <x v="0"/>
    <n v="4"/>
    <n v="3825"/>
    <n v="22"/>
    <n v="11934"/>
    <n v="11934"/>
    <n v="4031908.53"/>
    <n v="4799.8911071428565"/>
    <n v="2331"/>
    <s v="Not Found"/>
    <s v="High Sale"/>
  </r>
  <r>
    <s v="ORD0349"/>
    <s v="2023-05-06"/>
    <s v="CUST050"/>
    <x v="0"/>
    <s v="Mobile"/>
    <s v="Bangalore"/>
    <s v="Maharashtra"/>
    <x v="3"/>
    <n v="3"/>
    <n v="4790"/>
    <n v="17"/>
    <n v="11927.1"/>
    <n v="11927.099999999999"/>
    <n v="4019974.53"/>
    <n v="4791.3879976162098"/>
    <n v="2327"/>
    <s v="Not Found"/>
    <s v="High Sale"/>
  </r>
  <r>
    <s v="ORD0942"/>
    <s v="2023-06-15"/>
    <s v="CUST004"/>
    <x v="2"/>
    <s v="Sofa"/>
    <s v="Delhi"/>
    <s v="West Bengal"/>
    <x v="2"/>
    <n v="5"/>
    <n v="3355"/>
    <n v="30"/>
    <n v="11742.5"/>
    <n v="11742.5"/>
    <n v="4008047.4299999997"/>
    <n v="4782.8728281622907"/>
    <n v="2324"/>
    <s v="Not Found"/>
    <s v="High Sale"/>
  </r>
  <r>
    <s v="ORD0432"/>
    <s v="2023-06-12"/>
    <s v="CUST154"/>
    <x v="2"/>
    <s v="T-Shirt"/>
    <s v="Bangalore"/>
    <s v="West Bengal"/>
    <x v="2"/>
    <n v="3"/>
    <n v="4597"/>
    <n v="15"/>
    <n v="11722.35"/>
    <n v="11722.35"/>
    <n v="3996304.93"/>
    <n v="4774.5578614097967"/>
    <n v="2319"/>
    <s v="Not Found"/>
    <s v="High Sale"/>
  </r>
  <r>
    <s v="ORD0330"/>
    <s v="2023-10-15"/>
    <s v="CUST266"/>
    <x v="2"/>
    <s v="Face Cream"/>
    <s v="Bangalore"/>
    <s v="Maharashtra"/>
    <x v="0"/>
    <n v="3"/>
    <n v="4474"/>
    <n v="13"/>
    <n v="11677.14"/>
    <n v="11677.14"/>
    <n v="3984582.58"/>
    <n v="4766.2471052631581"/>
    <n v="2316"/>
    <s v="Not Found"/>
    <s v="High Sale"/>
  </r>
  <r>
    <s v="ORD0612"/>
    <s v="2023-06-13"/>
    <s v="CUST008"/>
    <x v="1"/>
    <s v="Laptop"/>
    <s v="Mumbai"/>
    <s v="West Bengal"/>
    <x v="2"/>
    <n v="3"/>
    <n v="3917"/>
    <n v="1"/>
    <n v="11633.49"/>
    <n v="11633.49"/>
    <n v="3972905.44"/>
    <n v="4757.9705868263472"/>
    <n v="2313"/>
    <s v="Not Found"/>
    <s v="High Sale"/>
  </r>
  <r>
    <s v="ORD0125"/>
    <s v="2023-03-02"/>
    <s v="CUST243"/>
    <x v="1"/>
    <s v="Laptop"/>
    <s v="Bangalore"/>
    <s v="Tamil Nadu"/>
    <x v="2"/>
    <n v="5"/>
    <n v="2854"/>
    <n v="19"/>
    <n v="11558.7"/>
    <n v="11558.7"/>
    <n v="3961271.9499999997"/>
    <n v="4749.7265587529973"/>
    <n v="2310"/>
    <s v="Not Found"/>
    <s v="High Sale"/>
  </r>
  <r>
    <s v="ORD0636"/>
    <s v="2023-10-30"/>
    <s v="CUST222"/>
    <x v="2"/>
    <s v="Sofa"/>
    <s v="Mumbai"/>
    <s v="Maharashtra"/>
    <x v="1"/>
    <n v="3"/>
    <n v="4265"/>
    <n v="10"/>
    <n v="11515.5"/>
    <n v="11515.5"/>
    <n v="3949713.2499999995"/>
    <n v="4741.5525210084024"/>
    <n v="2305"/>
    <s v="Not Found"/>
    <s v="High Sale"/>
  </r>
  <r>
    <s v="ORD0652"/>
    <s v="2023-10-04"/>
    <s v="CUST296"/>
    <x v="4"/>
    <s v="Mobile"/>
    <s v="Mumbai"/>
    <s v="Delhi"/>
    <x v="2"/>
    <n v="3"/>
    <n v="4842"/>
    <n v="21"/>
    <n v="11475.54"/>
    <n v="11475.54"/>
    <n v="3938197.7499999995"/>
    <n v="4733.4107572115381"/>
    <n v="2302"/>
    <s v="Not Found"/>
    <s v="High Sale"/>
  </r>
  <r>
    <s v="ORD0055"/>
    <s v="2023-12-05"/>
    <s v="CUST103"/>
    <x v="4"/>
    <s v="Sofa"/>
    <s v="Chennai"/>
    <s v="Delhi"/>
    <x v="3"/>
    <n v="3"/>
    <n v="4293"/>
    <n v="11"/>
    <n v="11462.31"/>
    <n v="11462.31"/>
    <n v="3926722.2099999995"/>
    <n v="4725.2974849578814"/>
    <n v="2299"/>
    <s v="Not Found"/>
    <s v="High Sale"/>
  </r>
  <r>
    <s v="ORD0832"/>
    <s v="2023-12-10"/>
    <s v="CUST209"/>
    <x v="4"/>
    <s v="Shoes"/>
    <s v="Delhi"/>
    <s v="Delhi"/>
    <x v="3"/>
    <n v="3"/>
    <n v="4233"/>
    <n v="10"/>
    <n v="11429.1"/>
    <n v="11429.1"/>
    <n v="3915259.9"/>
    <n v="4717.1806024096386"/>
    <n v="2296"/>
    <s v="Not Found"/>
    <s v="High Sale"/>
  </r>
  <r>
    <s v="ORD0266"/>
    <s v="2023-12-21"/>
    <s v="CUST289"/>
    <x v="0"/>
    <s v="Football"/>
    <s v="Bangalore"/>
    <s v="Delhi"/>
    <x v="1"/>
    <n v="3"/>
    <n v="4180"/>
    <n v="9"/>
    <n v="11411.4"/>
    <n v="11411.4"/>
    <n v="3903830.8000000003"/>
    <n v="4709.0841978287099"/>
    <n v="2293"/>
    <s v="Not Found"/>
    <s v="High Sale"/>
  </r>
  <r>
    <s v="ORD0959"/>
    <s v="2023-05-30"/>
    <s v="CUST158"/>
    <x v="2"/>
    <s v="Sofa"/>
    <s v="Delhi"/>
    <s v="Karnataka"/>
    <x v="2"/>
    <n v="4"/>
    <n v="3794"/>
    <n v="25"/>
    <n v="11382"/>
    <n v="11382"/>
    <n v="3892419.4"/>
    <n v="4700.9896135265699"/>
    <n v="2290"/>
    <s v="Not Found"/>
    <s v="High Sale"/>
  </r>
  <r>
    <s v="ORD0136"/>
    <s v="2023-11-19"/>
    <s v="CUST110"/>
    <x v="0"/>
    <s v="Shoes"/>
    <s v="Mumbai"/>
    <s v="Karnataka"/>
    <x v="3"/>
    <n v="3"/>
    <n v="4511"/>
    <n v="16"/>
    <n v="11367.72"/>
    <n v="11367.72"/>
    <n v="3881037.4000000004"/>
    <n v="4692.9110036275697"/>
    <n v="2286"/>
    <s v="Not Found"/>
    <s v="High Sale"/>
  </r>
  <r>
    <s v="ORD0297"/>
    <s v="2023-05-26"/>
    <s v="CUST018"/>
    <x v="3"/>
    <s v="Face Cream"/>
    <s v="Kolkata"/>
    <s v="Maharashtra"/>
    <x v="3"/>
    <n v="4"/>
    <n v="3023"/>
    <n v="6"/>
    <n v="11366.48"/>
    <n v="11366.48"/>
    <n v="3869669.6800000006"/>
    <n v="4684.8301210653763"/>
    <n v="2283"/>
    <s v="Not Found"/>
    <s v="High Sale"/>
  </r>
  <r>
    <s v="ORD0710"/>
    <s v="2023-06-24"/>
    <s v="CUST252"/>
    <x v="4"/>
    <s v="Shoes"/>
    <s v="Delhi"/>
    <s v="Maharashtra"/>
    <x v="1"/>
    <n v="4"/>
    <n v="3983"/>
    <n v="29"/>
    <n v="11311.72"/>
    <n v="11311.72"/>
    <n v="3858303.2000000007"/>
    <n v="4676.7311515151523"/>
    <n v="2279"/>
    <s v="Not Found"/>
    <s v="High Sale"/>
  </r>
  <r>
    <s v="ORD0899"/>
    <s v="2023-01-27"/>
    <s v="CUST056"/>
    <x v="1"/>
    <s v="Mobile"/>
    <s v="Kolkata"/>
    <s v="Delhi"/>
    <x v="3"/>
    <n v="3"/>
    <n v="3887"/>
    <n v="3"/>
    <n v="11311.17"/>
    <n v="11311.17"/>
    <n v="3846991.4800000004"/>
    <n v="4668.6789805825247"/>
    <n v="2275"/>
    <s v="Not Found"/>
    <s v="High Sale"/>
  </r>
  <r>
    <s v="ORD0280"/>
    <s v="2023-08-31"/>
    <s v="CUST203"/>
    <x v="0"/>
    <s v="Laptop"/>
    <s v="Kolkata"/>
    <s v="Karnataka"/>
    <x v="2"/>
    <n v="3"/>
    <n v="4935"/>
    <n v="24"/>
    <n v="11251.8"/>
    <n v="11251.8"/>
    <n v="3835680.3100000005"/>
    <n v="4660.6079100850557"/>
    <n v="2272"/>
    <s v="Not Found"/>
    <s v="High Sale"/>
  </r>
  <r>
    <s v="ORD0264"/>
    <s v="2023-02-18"/>
    <s v="CUST237"/>
    <x v="1"/>
    <s v="Laptop"/>
    <s v="Mumbai"/>
    <s v="West Bengal"/>
    <x v="1"/>
    <n v="5"/>
    <n v="2462"/>
    <n v="9"/>
    <n v="11202.1"/>
    <n v="11202.1"/>
    <n v="3824428.5100000007"/>
    <n v="4652.5894282238451"/>
    <n v="2269"/>
    <s v="Not Found"/>
    <s v="High Sale"/>
  </r>
  <r>
    <s v="ORD0773"/>
    <s v="2023-01-29"/>
    <s v="CUST114"/>
    <x v="0"/>
    <s v="Mobile"/>
    <s v="Chennai"/>
    <s v="West Bengal"/>
    <x v="3"/>
    <n v="5"/>
    <n v="3180"/>
    <n v="30"/>
    <n v="11130"/>
    <n v="11130"/>
    <n v="3813226.4100000006"/>
    <n v="4644.6119488428749"/>
    <n v="2264"/>
    <s v="Not Found"/>
    <s v="High Sale"/>
  </r>
  <r>
    <s v="ORD0103"/>
    <s v="2023-07-23"/>
    <s v="CUST160"/>
    <x v="3"/>
    <s v="Laptop"/>
    <s v="Mumbai"/>
    <s v="West Bengal"/>
    <x v="3"/>
    <n v="5"/>
    <n v="2342"/>
    <n v="5"/>
    <n v="11124.5"/>
    <n v="11124.5"/>
    <n v="3802096.41"/>
    <n v="4636.7029390243906"/>
    <n v="2259"/>
    <s v="Not Found"/>
    <s v="High Sale"/>
  </r>
  <r>
    <s v="ORD0976"/>
    <s v="2023-07-01"/>
    <s v="CUST252"/>
    <x v="4"/>
    <s v="Face Cream"/>
    <s v="Mumbai"/>
    <s v="Karnataka"/>
    <x v="1"/>
    <n v="5"/>
    <n v="2616"/>
    <n v="15"/>
    <n v="11118"/>
    <n v="11118"/>
    <n v="3790971.9100000006"/>
    <n v="4628.7813308913319"/>
    <n v="2254"/>
    <s v="Not Found"/>
    <s v="High Sale"/>
  </r>
  <r>
    <s v="ORD0610"/>
    <s v="2023-10-18"/>
    <s v="CUST210"/>
    <x v="4"/>
    <s v="Football"/>
    <s v="Delhi"/>
    <s v="West Bengal"/>
    <x v="2"/>
    <n v="4"/>
    <n v="2804"/>
    <n v="1"/>
    <n v="11103.84"/>
    <n v="11103.84"/>
    <n v="3779853.9100000006"/>
    <n v="4620.8483007334971"/>
    <n v="2249"/>
    <s v="Not Found"/>
    <s v="High Sale"/>
  </r>
  <r>
    <s v="ORD0263"/>
    <s v="2023-10-01"/>
    <s v="CUST021"/>
    <x v="0"/>
    <s v="Shoes"/>
    <s v="Mumbai"/>
    <s v="West Bengal"/>
    <x v="0"/>
    <n v="4"/>
    <n v="3225"/>
    <n v="14"/>
    <n v="11094"/>
    <n v="11094"/>
    <n v="3768750.0700000008"/>
    <n v="4612.913182374542"/>
    <n v="2245"/>
    <s v="Not Found"/>
    <s v="High Sale"/>
  </r>
  <r>
    <s v="ORD0723"/>
    <s v="2023-03-15"/>
    <s v="CUST086"/>
    <x v="1"/>
    <s v="Face Cream"/>
    <s v="Kolkata"/>
    <s v="Tamil Nadu"/>
    <x v="1"/>
    <n v="3"/>
    <n v="4612"/>
    <n v="20"/>
    <n v="11068.8"/>
    <n v="11068.800000000001"/>
    <n v="3757656.0700000008"/>
    <n v="4604.9706740196089"/>
    <n v="2241"/>
    <s v="Not Found"/>
    <s v="High Sale"/>
  </r>
  <r>
    <s v="ORD0984"/>
    <s v="2023-04-22"/>
    <s v="CUST265"/>
    <x v="0"/>
    <s v="Face Cream"/>
    <s v="Delhi"/>
    <s v="Karnataka"/>
    <x v="1"/>
    <n v="5"/>
    <n v="2380"/>
    <n v="7"/>
    <n v="11067"/>
    <n v="11067"/>
    <n v="3746587.27"/>
    <n v="4597.0395950920247"/>
    <n v="2238"/>
    <s v="Not Found"/>
    <s v="High Sale"/>
  </r>
  <r>
    <s v="ORD0671"/>
    <s v="2023-07-16"/>
    <s v="CUST086"/>
    <x v="0"/>
    <s v="Shoes"/>
    <s v="Chennai"/>
    <s v="Karnataka"/>
    <x v="0"/>
    <n v="4"/>
    <n v="3029"/>
    <n v="9"/>
    <n v="11025.56"/>
    <n v="11025.56"/>
    <n v="3735520.2700000005"/>
    <n v="4589.0912407862415"/>
    <n v="2233"/>
    <s v="Not Found"/>
    <s v="High Sale"/>
  </r>
  <r>
    <s v="ORD0367"/>
    <s v="2023-09-04"/>
    <s v="CUST147"/>
    <x v="3"/>
    <s v="Mobile"/>
    <s v="Delhi"/>
    <s v="Maharashtra"/>
    <x v="1"/>
    <n v="4"/>
    <n v="2735"/>
    <n v="0"/>
    <n v="10940"/>
    <n v="10940"/>
    <n v="3724494.7100000004"/>
    <n v="4581.1743050430514"/>
    <n v="2229"/>
    <s v="Not Found"/>
    <s v="High Sale"/>
  </r>
  <r>
    <s v="ORD0222"/>
    <s v="2023-12-03"/>
    <s v="CUST094"/>
    <x v="1"/>
    <s v="Face Cream"/>
    <s v="Delhi"/>
    <s v="Maharashtra"/>
    <x v="1"/>
    <n v="3"/>
    <n v="4320"/>
    <n v="16"/>
    <n v="10886.4"/>
    <n v="10886.4"/>
    <n v="3713554.7100000009"/>
    <n v="4573.3432389162572"/>
    <n v="2225"/>
    <s v="Not Found"/>
    <s v="High Sale"/>
  </r>
  <r>
    <s v="ORD0169"/>
    <s v="2023-07-16"/>
    <s v="CUST149"/>
    <x v="4"/>
    <s v="Face Cream"/>
    <s v="Delhi"/>
    <s v="Maharashtra"/>
    <x v="2"/>
    <n v="4"/>
    <n v="3354"/>
    <n v="19"/>
    <n v="10866.96"/>
    <n v="10866.960000000001"/>
    <n v="3702668.3100000005"/>
    <n v="4565.5589519112218"/>
    <n v="2222"/>
    <s v="Not Found"/>
    <s v="High Sale"/>
  </r>
  <r>
    <s v="ORD0211"/>
    <s v="2023-11-05"/>
    <s v="CUST293"/>
    <x v="0"/>
    <s v="T-Shirt"/>
    <s v="Chennai"/>
    <s v="Maharashtra"/>
    <x v="0"/>
    <n v="5"/>
    <n v="2937"/>
    <n v="26"/>
    <n v="10866.9"/>
    <n v="10866.9"/>
    <n v="3691801.3500000006"/>
    <n v="4557.7794444444453"/>
    <n v="2218"/>
    <s v="Not Found"/>
    <s v="High Sale"/>
  </r>
  <r>
    <s v="ORD0277"/>
    <s v="2023-04-13"/>
    <s v="CUST260"/>
    <x v="1"/>
    <s v="Shoes"/>
    <s v="Bangalore"/>
    <s v="Maharashtra"/>
    <x v="2"/>
    <n v="5"/>
    <n v="2547"/>
    <n v="15"/>
    <n v="10824.75"/>
    <n v="10824.75"/>
    <n v="3680934.4500000007"/>
    <n v="4549.9807787391846"/>
    <n v="2213"/>
    <s v="Not Found"/>
    <s v="High Sale"/>
  </r>
  <r>
    <s v="ORD0804"/>
    <s v="2023-12-09"/>
    <s v="CUST167"/>
    <x v="1"/>
    <s v="Sofa"/>
    <s v="Delhi"/>
    <s v="Tamil Nadu"/>
    <x v="2"/>
    <n v="4"/>
    <n v="3179"/>
    <n v="15"/>
    <n v="10808.6"/>
    <n v="10808.6"/>
    <n v="3670109.7000000007"/>
    <n v="4542.2149752475252"/>
    <n v="2208"/>
    <s v="Not Found"/>
    <s v="High Sale"/>
  </r>
  <r>
    <s v="ORD0163"/>
    <s v="2023-08-07"/>
    <s v="CUST211"/>
    <x v="4"/>
    <s v="T-Shirt"/>
    <s v="Mumbai"/>
    <s v="Delhi"/>
    <x v="2"/>
    <n v="3"/>
    <n v="4445"/>
    <n v="19"/>
    <n v="10801.35"/>
    <n v="10801.35"/>
    <n v="3659301.1"/>
    <n v="4534.4499380421312"/>
    <n v="2204"/>
    <s v="Not Found"/>
    <s v="High Sale"/>
  </r>
  <r>
    <s v="ORD0734"/>
    <s v="2023-11-14"/>
    <s v="CUST093"/>
    <x v="4"/>
    <s v="T-Shirt"/>
    <s v="Delhi"/>
    <s v="Maharashtra"/>
    <x v="3"/>
    <n v="4"/>
    <n v="2803"/>
    <n v="4"/>
    <n v="10763.52"/>
    <n v="10763.52"/>
    <n v="3648499.7499999995"/>
    <n v="4526.6746277915627"/>
    <n v="2201"/>
    <s v="Not Found"/>
    <s v="High Sale"/>
  </r>
  <r>
    <s v="ORD0520"/>
    <s v="2023-04-23"/>
    <s v="CUST109"/>
    <x v="0"/>
    <s v="Laptop"/>
    <s v="Chennai"/>
    <s v="West Bengal"/>
    <x v="3"/>
    <n v="4"/>
    <n v="3537"/>
    <n v="24"/>
    <n v="10752.48"/>
    <n v="10752.48"/>
    <n v="3637736.2299999995"/>
    <n v="4518.9269937888193"/>
    <n v="2197"/>
    <s v="Not Found"/>
    <s v="High Sale"/>
  </r>
  <r>
    <s v="ORD0135"/>
    <s v="2023-12-15"/>
    <s v="CUST109"/>
    <x v="3"/>
    <s v="Sofa"/>
    <s v="Mumbai"/>
    <s v="Tamil Nadu"/>
    <x v="3"/>
    <n v="3"/>
    <n v="4966"/>
    <n v="28"/>
    <n v="10726.56"/>
    <n v="10726.56"/>
    <n v="3626983.7499999995"/>
    <n v="4511.1738184079595"/>
    <n v="2193"/>
    <s v="Not Found"/>
    <s v="High Sale"/>
  </r>
  <r>
    <s v="ORD0960"/>
    <s v="2023-04-29"/>
    <s v="CUST179"/>
    <x v="1"/>
    <s v="T-Shirt"/>
    <s v="Kolkata"/>
    <s v="Karnataka"/>
    <x v="0"/>
    <n v="4"/>
    <n v="3570"/>
    <n v="25"/>
    <n v="10710"/>
    <n v="10710"/>
    <n v="3616257.19"/>
    <n v="4503.433611457036"/>
    <n v="2190"/>
    <s v="Not Found"/>
    <s v="High Sale"/>
  </r>
  <r>
    <s v="ORD0654"/>
    <s v="2023-06-18"/>
    <s v="CUST104"/>
    <x v="3"/>
    <s v="Sofa"/>
    <s v="Bangalore"/>
    <s v="Delhi"/>
    <x v="3"/>
    <n v="3"/>
    <n v="4184"/>
    <n v="15"/>
    <n v="10669.2"/>
    <n v="10669.199999999999"/>
    <n v="3605547.19"/>
    <n v="4495.694750623441"/>
    <n v="2186"/>
    <s v="Not Found"/>
    <s v="High Sale"/>
  </r>
  <r>
    <s v="ORD0177"/>
    <s v="2023-03-03"/>
    <s v="CUST007"/>
    <x v="0"/>
    <s v="Mobile"/>
    <s v="Mumbai"/>
    <s v="Tamil Nadu"/>
    <x v="0"/>
    <n v="3"/>
    <n v="4282"/>
    <n v="17"/>
    <n v="10662.18"/>
    <n v="10662.18"/>
    <n v="3594877.9899999998"/>
    <n v="4487.9875031210986"/>
    <n v="2183"/>
    <s v="Not Found"/>
    <s v="High Sale"/>
  </r>
  <r>
    <s v="ORD0440"/>
    <s v="2023-11-18"/>
    <s v="CUST054"/>
    <x v="2"/>
    <s v="Football"/>
    <s v="Chennai"/>
    <s v="Maharashtra"/>
    <x v="2"/>
    <n v="4"/>
    <n v="3204"/>
    <n v="17"/>
    <n v="10637.28"/>
    <n v="10637.279999999999"/>
    <n v="3584215.81"/>
    <n v="4480.2697625000001"/>
    <n v="2180"/>
    <s v="Not Found"/>
    <s v="High Sale"/>
  </r>
  <r>
    <s v="ORD0322"/>
    <s v="2023-07-22"/>
    <s v="CUST119"/>
    <x v="4"/>
    <s v="Mobile"/>
    <s v="Mumbai"/>
    <s v="Tamil Nadu"/>
    <x v="3"/>
    <n v="5"/>
    <n v="2216"/>
    <n v="4"/>
    <n v="10636.8"/>
    <n v="10636.8"/>
    <n v="3573578.5299999993"/>
    <n v="4472.5638673341673"/>
    <n v="2176"/>
    <s v="Not Found"/>
    <s v="High Sale"/>
  </r>
  <r>
    <s v="ORD0713"/>
    <s v="2023-01-10"/>
    <s v="CUST122"/>
    <x v="3"/>
    <s v="Shoes"/>
    <s v="Mumbai"/>
    <s v="Maharashtra"/>
    <x v="2"/>
    <n v="4"/>
    <n v="3088"/>
    <n v="14"/>
    <n v="10622.72"/>
    <n v="10622.72"/>
    <n v="3562941.7299999995"/>
    <n v="4464.8392606516281"/>
    <n v="2171"/>
    <s v="Not Found"/>
    <s v="High Sale"/>
  </r>
  <r>
    <s v="ORD0510"/>
    <s v="2023-10-20"/>
    <s v="CUST187"/>
    <x v="0"/>
    <s v="Football"/>
    <s v="Bangalore"/>
    <s v="Maharashtra"/>
    <x v="0"/>
    <n v="3"/>
    <n v="3785"/>
    <n v="7"/>
    <n v="10560.15"/>
    <n v="10560.15"/>
    <n v="3552319.01"/>
    <n v="4457.1129360100376"/>
    <n v="2167"/>
    <s v="Not Found"/>
    <s v="High Sale"/>
  </r>
  <r>
    <s v="ORD0525"/>
    <s v="2023-06-03"/>
    <s v="CUST136"/>
    <x v="0"/>
    <s v="Face Cream"/>
    <s v="Bangalore"/>
    <s v="Tamil Nadu"/>
    <x v="1"/>
    <n v="5"/>
    <n v="2477"/>
    <n v="15"/>
    <n v="10527.25"/>
    <n v="10527.25"/>
    <n v="3541758.86"/>
    <n v="4449.4458040201007"/>
    <n v="2164"/>
    <s v="Not Found"/>
    <s v="High Sale"/>
  </r>
  <r>
    <s v="ORD0486"/>
    <s v="2023-12-26"/>
    <s v="CUST291"/>
    <x v="4"/>
    <s v="Sofa"/>
    <s v="Chennai"/>
    <s v="Karnataka"/>
    <x v="1"/>
    <n v="4"/>
    <n v="3162"/>
    <n v="17"/>
    <n v="10497.84"/>
    <n v="10497.84"/>
    <n v="3531231.6100000003"/>
    <n v="4441.8007672955982"/>
    <n v="2159"/>
    <s v="Not Found"/>
    <s v="High Sale"/>
  </r>
  <r>
    <s v="ORD0415"/>
    <s v="2023-03-01"/>
    <s v="CUST006"/>
    <x v="2"/>
    <s v="Mobile"/>
    <s v="Mumbai"/>
    <s v="Karnataka"/>
    <x v="1"/>
    <n v="3"/>
    <n v="4975"/>
    <n v="30"/>
    <n v="10447.5"/>
    <n v="10447.5"/>
    <n v="3520733.7700000005"/>
    <n v="4434.1735138539052"/>
    <n v="2155"/>
    <s v="Not Found"/>
    <s v="High Sale"/>
  </r>
  <r>
    <s v="ORD0522"/>
    <s v="2023-04-06"/>
    <s v="CUST167"/>
    <x v="4"/>
    <s v="Face Cream"/>
    <s v="Kolkata"/>
    <s v="Karnataka"/>
    <x v="0"/>
    <n v="4"/>
    <n v="2991"/>
    <n v="13"/>
    <n v="10408.68"/>
    <n v="10408.68"/>
    <n v="3510286.2700000005"/>
    <n v="4426.5905044136198"/>
    <n v="2152"/>
    <s v="Not Found"/>
    <s v="High Sale"/>
  </r>
  <r>
    <s v="ORD0430"/>
    <s v="2023-05-31"/>
    <s v="CUST284"/>
    <x v="4"/>
    <s v="T-Shirt"/>
    <s v="Chennai"/>
    <s v="Maharashtra"/>
    <x v="0"/>
    <n v="3"/>
    <n v="4875"/>
    <n v="29"/>
    <n v="10383.75"/>
    <n v="10383.75"/>
    <n v="3499877.5900000008"/>
    <n v="4419.0373611111117"/>
    <n v="2148"/>
    <s v="Not Found"/>
    <s v="High Sale"/>
  </r>
  <r>
    <s v="ORD0287"/>
    <s v="2023-08-26"/>
    <s v="CUST271"/>
    <x v="3"/>
    <s v="Laptop"/>
    <s v="Mumbai"/>
    <s v="Maharashtra"/>
    <x v="2"/>
    <n v="5"/>
    <n v="2296"/>
    <n v="10"/>
    <n v="10332"/>
    <n v="10332"/>
    <n v="3489493.8400000008"/>
    <n v="4411.496637168143"/>
    <n v="2145"/>
    <s v="Not Found"/>
    <s v="High Sale"/>
  </r>
  <r>
    <s v="ORD0132"/>
    <s v="2023-05-03"/>
    <s v="CUST022"/>
    <x v="1"/>
    <s v="T-Shirt"/>
    <s v="Chennai"/>
    <s v="Maharashtra"/>
    <x v="1"/>
    <n v="3"/>
    <n v="3437"/>
    <n v="0"/>
    <n v="10311"/>
    <n v="10311"/>
    <n v="3479161.8400000003"/>
    <n v="4404.0023291139241"/>
    <n v="2140"/>
    <s v="Not Found"/>
    <s v="High Sale"/>
  </r>
  <r>
    <s v="ORD0700"/>
    <s v="2023-08-11"/>
    <s v="CUST065"/>
    <x v="4"/>
    <s v="Mobile"/>
    <s v="Mumbai"/>
    <s v="Karnataka"/>
    <x v="3"/>
    <n v="4"/>
    <n v="2863"/>
    <n v="10"/>
    <n v="10306.799999999999"/>
    <n v="10306.800000000001"/>
    <n v="3468850.8400000003"/>
    <n v="4396.5156400506976"/>
    <n v="2137"/>
    <s v="Not Found"/>
    <s v="High Sale"/>
  </r>
  <r>
    <s v="ORD0800"/>
    <s v="2023-12-14"/>
    <s v="CUST122"/>
    <x v="2"/>
    <s v="Laptop"/>
    <s v="Mumbai"/>
    <s v="Maharashtra"/>
    <x v="1"/>
    <n v="5"/>
    <n v="2210"/>
    <n v="7"/>
    <n v="10276.5"/>
    <n v="10276.5"/>
    <n v="3458544.0400000005"/>
    <n v="4389.0152791878181"/>
    <n v="2133"/>
    <s v="Not Found"/>
    <s v="High Sale"/>
  </r>
  <r>
    <s v="ORD0516"/>
    <s v="2023-06-07"/>
    <s v="CUST255"/>
    <x v="4"/>
    <s v="Laptop"/>
    <s v="Kolkata"/>
    <s v="Maharashtra"/>
    <x v="2"/>
    <n v="4"/>
    <n v="2676"/>
    <n v="4"/>
    <n v="10275.84"/>
    <n v="10275.84"/>
    <n v="3448267.540000001"/>
    <n v="4381.5343583227459"/>
    <n v="2128"/>
    <s v="Not Found"/>
    <s v="High Sale"/>
  </r>
  <r>
    <s v="ORD0139"/>
    <s v="2023-11-12"/>
    <s v="CUST222"/>
    <x v="2"/>
    <s v="Face Cream"/>
    <s v="Kolkata"/>
    <s v="Tamil Nadu"/>
    <x v="2"/>
    <n v="3"/>
    <n v="4626"/>
    <n v="26"/>
    <n v="10269.719999999999"/>
    <n v="10269.719999999999"/>
    <n v="3437991.7000000007"/>
    <n v="4374.0352417302811"/>
    <n v="2124"/>
    <s v="Not Found"/>
    <s v="High Sale"/>
  </r>
  <r>
    <s v="ORD0485"/>
    <s v="2023-07-24"/>
    <s v="CUST202"/>
    <x v="0"/>
    <s v="Sofa"/>
    <s v="Mumbai"/>
    <s v="Delhi"/>
    <x v="3"/>
    <n v="4"/>
    <n v="2983"/>
    <n v="14"/>
    <n v="10261.52"/>
    <n v="10261.52"/>
    <n v="3427721.9800000009"/>
    <n v="4366.5248152866252"/>
    <n v="2121"/>
    <s v="Not Found"/>
    <s v="High Sale"/>
  </r>
  <r>
    <s v="ORD0419"/>
    <s v="2023-05-18"/>
    <s v="CUST076"/>
    <x v="1"/>
    <s v="Sofa"/>
    <s v="Mumbai"/>
    <s v="Tamil Nadu"/>
    <x v="0"/>
    <n v="3"/>
    <n v="4748"/>
    <n v="28"/>
    <n v="10255.68"/>
    <n v="10255.68"/>
    <n v="3417460.4600000009"/>
    <n v="4359.0056887755118"/>
    <n v="2117"/>
    <s v="Not Found"/>
    <s v="High Sale"/>
  </r>
  <r>
    <s v="ORD0274"/>
    <s v="2023-03-14"/>
    <s v="CUST096"/>
    <x v="2"/>
    <s v="Football"/>
    <s v="Delhi"/>
    <s v="Karnataka"/>
    <x v="2"/>
    <n v="3"/>
    <n v="3437"/>
    <n v="1"/>
    <n v="10207.89"/>
    <n v="10207.89"/>
    <n v="3407204.7800000012"/>
    <n v="4351.4748148148165"/>
    <n v="2114"/>
    <s v="Not Found"/>
    <s v="High Sale"/>
  </r>
  <r>
    <s v="ORD0711"/>
    <s v="2023-08-01"/>
    <s v="CUST048"/>
    <x v="4"/>
    <s v="Face Cream"/>
    <s v="Mumbai"/>
    <s v="Karnataka"/>
    <x v="2"/>
    <n v="3"/>
    <n v="3579"/>
    <n v="5"/>
    <n v="10200.15"/>
    <n v="10200.15"/>
    <n v="3396996.8900000011"/>
    <n v="4343.9857928388765"/>
    <n v="2111"/>
    <s v="Not Found"/>
    <s v="High Sale"/>
  </r>
  <r>
    <s v="ORD0528"/>
    <s v="2023-01-13"/>
    <s v="CUST249"/>
    <x v="4"/>
    <s v="Sofa"/>
    <s v="Chennai"/>
    <s v="Delhi"/>
    <x v="0"/>
    <n v="3"/>
    <n v="4688"/>
    <n v="28"/>
    <n v="10126.08"/>
    <n v="10126.08"/>
    <n v="3386796.7400000012"/>
    <n v="4336.4875032010259"/>
    <n v="2108"/>
    <s v="Not Found"/>
    <s v="High Sale"/>
  </r>
  <r>
    <s v="ORD0243"/>
    <s v="2023-03-30"/>
    <s v="CUST058"/>
    <x v="2"/>
    <s v="Laptop"/>
    <s v="Kolkata"/>
    <s v="Karnataka"/>
    <x v="1"/>
    <n v="3"/>
    <n v="3827"/>
    <n v="12"/>
    <n v="10103.280000000001"/>
    <n v="10103.280000000001"/>
    <n v="3376670.6600000015"/>
    <n v="4329.0649487179508"/>
    <n v="2105"/>
    <s v="Not Found"/>
    <s v="High Sale"/>
  </r>
  <r>
    <s v="ORD0645"/>
    <s v="2023-05-17"/>
    <s v="CUST069"/>
    <x v="1"/>
    <s v="Face Cream"/>
    <s v="Chennai"/>
    <s v="Maharashtra"/>
    <x v="3"/>
    <n v="5"/>
    <n v="2377"/>
    <n v="15"/>
    <n v="10102.25"/>
    <n v="10102.25"/>
    <n v="3366567.3800000018"/>
    <n v="4321.6526059050084"/>
    <n v="2102"/>
    <s v="Not Found"/>
    <s v="High Sale"/>
  </r>
  <r>
    <s v="ORD0436"/>
    <s v="2023-05-04"/>
    <s v="CUST163"/>
    <x v="1"/>
    <s v="Sofa"/>
    <s v="Chennai"/>
    <s v="Maharashtra"/>
    <x v="0"/>
    <n v="3"/>
    <n v="3822"/>
    <n v="12"/>
    <n v="10090.08"/>
    <n v="10090.08"/>
    <n v="3356465.1300000013"/>
    <n v="4314.2225321336773"/>
    <n v="2097"/>
    <s v="Not Found"/>
    <s v="High Sale"/>
  </r>
  <r>
    <s v="ORD0380"/>
    <s v="2023-04-29"/>
    <s v="CUST199"/>
    <x v="2"/>
    <s v="Face Cream"/>
    <s v="Delhi"/>
    <s v="Maharashtra"/>
    <x v="3"/>
    <n v="3"/>
    <n v="4255"/>
    <n v="21"/>
    <n v="10084.35"/>
    <n v="10084.35"/>
    <n v="3346375.0500000017"/>
    <n v="4306.7889961389983"/>
    <n v="2094"/>
    <s v="Not Found"/>
    <s v="High Sale"/>
  </r>
  <r>
    <s v="ORD0851"/>
    <s v="2023-02-03"/>
    <s v="CUST137"/>
    <x v="3"/>
    <s v="Laptop"/>
    <s v="Mumbai"/>
    <s v="West Bengal"/>
    <x v="1"/>
    <n v="3"/>
    <n v="4731"/>
    <n v="29"/>
    <n v="10077.030000000001"/>
    <n v="10077.029999999999"/>
    <n v="3336290.7000000016"/>
    <n v="4299.3436855670125"/>
    <n v="2091"/>
    <s v="Not Found"/>
    <s v="High Sale"/>
  </r>
  <r>
    <s v="ORD0806"/>
    <s v="2023-01-12"/>
    <s v="CUST019"/>
    <x v="4"/>
    <s v="Sofa"/>
    <s v="Delhi"/>
    <s v="West Bengal"/>
    <x v="0"/>
    <n v="5"/>
    <n v="2547"/>
    <n v="21"/>
    <n v="10060.65"/>
    <n v="10060.65"/>
    <n v="3326213.6700000013"/>
    <n v="4291.8886064516146"/>
    <n v="2088"/>
    <s v="Not Found"/>
    <s v="High Sale"/>
  </r>
  <r>
    <s v="ORD0889"/>
    <s v="2023-02-25"/>
    <s v="CUST150"/>
    <x v="4"/>
    <s v="Face Cream"/>
    <s v="Mumbai"/>
    <s v="Maharashtra"/>
    <x v="3"/>
    <n v="4"/>
    <n v="3242"/>
    <n v="23"/>
    <n v="9985.36"/>
    <n v="9985.36"/>
    <n v="3316153.0200000014"/>
    <n v="4284.4354263565911"/>
    <n v="2083"/>
    <s v="Not Found"/>
    <s v="High Sale"/>
  </r>
  <r>
    <s v="ORD0656"/>
    <s v="2023-11-13"/>
    <s v="CUST184"/>
    <x v="2"/>
    <s v="Mobile"/>
    <s v="Mumbai"/>
    <s v="West Bengal"/>
    <x v="0"/>
    <n v="4"/>
    <n v="3561"/>
    <n v="30"/>
    <n v="9970.7999999999993"/>
    <n v="9970.7999999999993"/>
    <n v="3306167.6600000011"/>
    <n v="4277.0603622250983"/>
    <n v="2079"/>
    <s v="Not Found"/>
    <s v="High Sale"/>
  </r>
  <r>
    <s v="ORD0627"/>
    <s v="2023-10-14"/>
    <s v="CUST170"/>
    <x v="4"/>
    <s v="Sofa"/>
    <s v="Mumbai"/>
    <s v="West Bengal"/>
    <x v="0"/>
    <n v="5"/>
    <n v="2215"/>
    <n v="10"/>
    <n v="9967.5"/>
    <n v="9967.5"/>
    <n v="3296196.8600000008"/>
    <n v="4269.6850518134725"/>
    <n v="2075"/>
    <s v="Not Found"/>
    <s v="High Sale"/>
  </r>
  <r>
    <s v="ORD0122"/>
    <s v="2023-08-29"/>
    <s v="CUST078"/>
    <x v="4"/>
    <s v="Football"/>
    <s v="Mumbai"/>
    <s v="Delhi"/>
    <x v="2"/>
    <n v="3"/>
    <n v="3939"/>
    <n v="16"/>
    <n v="9926.2800000000007"/>
    <n v="9926.2799999999988"/>
    <n v="3286229.3600000008"/>
    <n v="4262.294889753568"/>
    <n v="2070"/>
    <s v="Not Found"/>
    <s v="High Sale"/>
  </r>
  <r>
    <s v="ORD0073"/>
    <s v="2023-07-06"/>
    <s v="CUST263"/>
    <x v="1"/>
    <s v="Mobile"/>
    <s v="Chennai"/>
    <s v="Maharashtra"/>
    <x v="2"/>
    <n v="4"/>
    <n v="2885"/>
    <n v="14"/>
    <n v="9924.4"/>
    <n v="9924.4"/>
    <n v="3276303.08"/>
    <n v="4254.9390649350653"/>
    <n v="2067"/>
    <s v="Not Found"/>
    <s v="High Sale"/>
  </r>
  <r>
    <s v="ORD0083"/>
    <s v="2023-07-07"/>
    <s v="CUST143"/>
    <x v="3"/>
    <s v="Shoes"/>
    <s v="Delhi"/>
    <s v="Delhi"/>
    <x v="3"/>
    <n v="3"/>
    <n v="4240"/>
    <n v="22"/>
    <n v="9921.6"/>
    <n v="9921.6"/>
    <n v="3266378.68"/>
    <n v="4247.5665539661904"/>
    <n v="2063"/>
    <s v="Not Found"/>
    <s v="High Sale"/>
  </r>
  <r>
    <s v="ORD0316"/>
    <s v="2023-05-21"/>
    <s v="CUST051"/>
    <x v="1"/>
    <s v="Mobile"/>
    <s v="Kolkata"/>
    <s v="Maharashtra"/>
    <x v="0"/>
    <n v="4"/>
    <n v="3524"/>
    <n v="30"/>
    <n v="9867.2000000000007"/>
    <n v="9867.1999999999989"/>
    <n v="3256457.08"/>
    <n v="4240.1784895833334"/>
    <n v="2060"/>
    <s v="Not Found"/>
    <s v="High Sale"/>
  </r>
  <r>
    <s v="ORD0089"/>
    <s v="2023-10-19"/>
    <s v="CUST276"/>
    <x v="3"/>
    <s v="Mobile"/>
    <s v="Kolkata"/>
    <s v="Maharashtra"/>
    <x v="0"/>
    <n v="5"/>
    <n v="2085"/>
    <n v="6"/>
    <n v="9799.5"/>
    <n v="9799.5"/>
    <n v="3246589.8799999994"/>
    <n v="4232.8420860495426"/>
    <n v="2056"/>
    <s v="Not Found"/>
    <s v="High Sale"/>
  </r>
  <r>
    <s v="ORD0121"/>
    <s v="2023-10-11"/>
    <s v="CUST222"/>
    <x v="4"/>
    <s v="Laptop"/>
    <s v="Chennai"/>
    <s v="Tamil Nadu"/>
    <x v="3"/>
    <n v="5"/>
    <n v="2390"/>
    <n v="18"/>
    <n v="9799"/>
    <n v="9799"/>
    <n v="3236790.3799999994"/>
    <n v="4225.5749086161868"/>
    <n v="2051"/>
    <s v="Not Found"/>
    <s v="High Sale"/>
  </r>
  <r>
    <s v="ORD0642"/>
    <s v="2023-07-29"/>
    <s v="CUST129"/>
    <x v="1"/>
    <s v="Football"/>
    <s v="Chennai"/>
    <s v="Karnataka"/>
    <x v="1"/>
    <n v="5"/>
    <n v="2126"/>
    <n v="8"/>
    <n v="9779.6"/>
    <n v="9779.6"/>
    <n v="3226991.3799999994"/>
    <n v="4218.2893856209139"/>
    <n v="2046"/>
    <s v="Not Found"/>
    <s v="High Sale"/>
  </r>
  <r>
    <s v="ORD0200"/>
    <s v="2023-04-09"/>
    <s v="CUST174"/>
    <x v="3"/>
    <s v="Shoes"/>
    <s v="Chennai"/>
    <s v="Tamil Nadu"/>
    <x v="3"/>
    <n v="3"/>
    <n v="3288"/>
    <n v="2"/>
    <n v="9666.7199999999993"/>
    <n v="9666.7199999999993"/>
    <n v="3217211.7799999993"/>
    <n v="4211.0101832460723"/>
    <n v="2041"/>
    <s v="Not Found"/>
    <s v="High Sale"/>
  </r>
  <r>
    <s v="ORD0878"/>
    <s v="2023-10-17"/>
    <s v="CUST054"/>
    <x v="3"/>
    <s v="Mobile"/>
    <s v="Mumbai"/>
    <s v="Delhi"/>
    <x v="2"/>
    <n v="5"/>
    <n v="2172"/>
    <n v="11"/>
    <n v="9665.4"/>
    <n v="9665.4"/>
    <n v="3207545.0599999987"/>
    <n v="4203.8598427260795"/>
    <n v="2038"/>
    <s v="Not Found"/>
    <s v="High Sale"/>
  </r>
  <r>
    <s v="ORD0100"/>
    <s v="2023-08-04"/>
    <s v="CUST259"/>
    <x v="0"/>
    <s v="T-Shirt"/>
    <s v="Chennai"/>
    <s v="West Bengal"/>
    <x v="1"/>
    <n v="4"/>
    <n v="2711"/>
    <n v="11"/>
    <n v="9651.16"/>
    <n v="9651.16"/>
    <n v="3197879.6599999988"/>
    <n v="4196.6924671915995"/>
    <n v="2033"/>
    <s v="Not Found"/>
    <s v="High Sale"/>
  </r>
  <r>
    <s v="ORD0702"/>
    <s v="2023-09-19"/>
    <s v="CUST127"/>
    <x v="1"/>
    <s v="Mobile"/>
    <s v="Mumbai"/>
    <s v="West Bengal"/>
    <x v="3"/>
    <n v="3"/>
    <n v="3282"/>
    <n v="2"/>
    <n v="9649.08"/>
    <n v="9649.08"/>
    <n v="3188228.4999999986"/>
    <n v="4189.5249671484871"/>
    <n v="2029"/>
    <s v="Not Found"/>
    <s v="High Sale"/>
  </r>
  <r>
    <s v="ORD0494"/>
    <s v="2023-02-26"/>
    <s v="CUST013"/>
    <x v="0"/>
    <s v="Shoes"/>
    <s v="Chennai"/>
    <s v="Delhi"/>
    <x v="1"/>
    <n v="3"/>
    <n v="3778"/>
    <n v="15"/>
    <n v="9633.9"/>
    <n v="9633.9"/>
    <n v="3178579.4199999981"/>
    <n v="4182.341342105261"/>
    <n v="2026"/>
    <s v="Not Found"/>
    <s v="High Sale"/>
  </r>
  <r>
    <s v="ORD0856"/>
    <s v="2023-09-09"/>
    <s v="CUST154"/>
    <x v="1"/>
    <s v="T-Shirt"/>
    <s v="Bangalore"/>
    <s v="West Bengal"/>
    <x v="2"/>
    <n v="4"/>
    <n v="3114"/>
    <n v="23"/>
    <n v="9591.1200000000008"/>
    <n v="9591.1200000000008"/>
    <n v="3168945.5199999986"/>
    <n v="4175.1587878787859"/>
    <n v="2023"/>
    <s v="Not Found"/>
    <s v="High Sale"/>
  </r>
  <r>
    <s v="ORD0223"/>
    <s v="2023-10-09"/>
    <s v="CUST189"/>
    <x v="1"/>
    <s v="Sofa"/>
    <s v="Delhi"/>
    <s v="Maharashtra"/>
    <x v="3"/>
    <n v="3"/>
    <n v="4489"/>
    <n v="29"/>
    <n v="9561.57"/>
    <n v="9561.57"/>
    <n v="3159354.3999999985"/>
    <n v="4168.0137203166205"/>
    <n v="2019"/>
    <s v="Not Found"/>
    <s v="High Sale"/>
  </r>
  <r>
    <s v="ORD0615"/>
    <s v="2023-06-25"/>
    <s v="CUST059"/>
    <x v="1"/>
    <s v="Face Cream"/>
    <s v="Delhi"/>
    <s v="West Bengal"/>
    <x v="1"/>
    <n v="4"/>
    <n v="2433"/>
    <n v="2"/>
    <n v="9537.36"/>
    <n v="9537.36"/>
    <n v="3149792.8299999991"/>
    <n v="4160.8888110964317"/>
    <n v="2016"/>
    <s v="Not Found"/>
    <s v="High Sale"/>
  </r>
  <r>
    <s v="ORD0904"/>
    <s v="2023-06-01"/>
    <s v="CUST156"/>
    <x v="3"/>
    <s v="Shoes"/>
    <s v="Bangalore"/>
    <s v="Tamil Nadu"/>
    <x v="2"/>
    <n v="3"/>
    <n v="3374"/>
    <n v="6"/>
    <n v="9514.68"/>
    <n v="9514.68"/>
    <n v="3140255.4699999988"/>
    <n v="4153.7770767195752"/>
    <n v="2012"/>
    <s v="Not Found"/>
    <s v="High Sale"/>
  </r>
  <r>
    <s v="ORD0433"/>
    <s v="2023-03-13"/>
    <s v="CUST220"/>
    <x v="3"/>
    <s v="Football"/>
    <s v="Chennai"/>
    <s v="West Bengal"/>
    <x v="0"/>
    <n v="5"/>
    <n v="2439"/>
    <n v="22"/>
    <n v="9512.1"/>
    <n v="9512.1"/>
    <n v="3130740.7899999991"/>
    <n v="4146.6765430463565"/>
    <n v="2009"/>
    <s v="Not Found"/>
    <s v="High Sale"/>
  </r>
  <r>
    <s v="ORD0416"/>
    <s v="2023-07-22"/>
    <s v="CUST300"/>
    <x v="4"/>
    <s v="Sofa"/>
    <s v="Kolkata"/>
    <s v="West Bengal"/>
    <x v="3"/>
    <n v="5"/>
    <n v="2677"/>
    <n v="29"/>
    <n v="9503.35"/>
    <n v="9503.35"/>
    <n v="3121228.689999999"/>
    <n v="4139.5605968169748"/>
    <n v="2004"/>
    <s v="Not Found"/>
    <s v="High Sale"/>
  </r>
  <r>
    <s v="ORD0093"/>
    <s v="2023-09-23"/>
    <s v="CUST100"/>
    <x v="1"/>
    <s v="T-Shirt"/>
    <s v="Delhi"/>
    <s v="Tamil Nadu"/>
    <x v="1"/>
    <n v="3"/>
    <n v="4337"/>
    <n v="27"/>
    <n v="9498.0300000000007"/>
    <n v="9498.0300000000007"/>
    <n v="3111725.3399999989"/>
    <n v="4132.4373705179269"/>
    <n v="1999"/>
    <s v="Not Found"/>
    <s v="High Sale"/>
  </r>
  <r>
    <s v="ORD0763"/>
    <s v="2023-04-08"/>
    <s v="CUST154"/>
    <x v="0"/>
    <s v="Face Cream"/>
    <s v="Delhi"/>
    <s v="Maharashtra"/>
    <x v="0"/>
    <n v="3"/>
    <n v="4454"/>
    <n v="29"/>
    <n v="9487.02"/>
    <n v="9487.0199999999986"/>
    <n v="3102227.3099999991"/>
    <n v="4125.3022739361686"/>
    <n v="1996"/>
    <s v="Not Found"/>
    <s v="High Sale"/>
  </r>
  <r>
    <s v="ORD0424"/>
    <s v="2023-07-07"/>
    <s v="CUST107"/>
    <x v="1"/>
    <s v="Face Cream"/>
    <s v="Bangalore"/>
    <s v="Tamil Nadu"/>
    <x v="1"/>
    <n v="4"/>
    <n v="2430"/>
    <n v="3"/>
    <n v="9428.4"/>
    <n v="9428.4"/>
    <n v="3092740.2899999996"/>
    <n v="4118.1628362183747"/>
    <n v="1993"/>
    <s v="Not Found"/>
    <s v="High Sale"/>
  </r>
  <r>
    <s v="ORD0880"/>
    <s v="2023-04-20"/>
    <s v="CUST080"/>
    <x v="0"/>
    <s v="T-Shirt"/>
    <s v="Delhi"/>
    <s v="Maharashtra"/>
    <x v="3"/>
    <n v="5"/>
    <n v="2539"/>
    <n v="26"/>
    <n v="9394.2999999999993"/>
    <n v="9394.2999999999993"/>
    <n v="3083311.8899999992"/>
    <n v="4111.082519999999"/>
    <n v="1989"/>
    <s v="Not Found"/>
    <s v="High Sale"/>
  </r>
  <r>
    <s v="ORD0340"/>
    <s v="2023-09-25"/>
    <s v="CUST068"/>
    <x v="2"/>
    <s v="T-Shirt"/>
    <s v="Delhi"/>
    <s v="Tamil Nadu"/>
    <x v="3"/>
    <n v="3"/>
    <n v="3590"/>
    <n v="13"/>
    <n v="9369.9"/>
    <n v="9369.9"/>
    <n v="3073917.5899999994"/>
    <n v="4104.028825100133"/>
    <n v="1984"/>
    <s v="Not Found"/>
    <s v="High Sale"/>
  </r>
  <r>
    <s v="ORD0795"/>
    <s v="2023-09-07"/>
    <s v="CUST029"/>
    <x v="1"/>
    <s v="Football"/>
    <s v="Bangalore"/>
    <s v="Karnataka"/>
    <x v="1"/>
    <n v="4"/>
    <n v="2341"/>
    <n v="0"/>
    <n v="9364"/>
    <n v="9364"/>
    <n v="3064547.689999999"/>
    <n v="4096.9888903743304"/>
    <n v="1981"/>
    <s v="Not Found"/>
    <s v="High Sale"/>
  </r>
  <r>
    <s v="ORD0237"/>
    <s v="2023-10-27"/>
    <s v="CUST020"/>
    <x v="1"/>
    <s v="Shoes"/>
    <s v="Mumbai"/>
    <s v="Tamil Nadu"/>
    <x v="3"/>
    <n v="3"/>
    <n v="3784"/>
    <n v="18"/>
    <n v="9308.64"/>
    <n v="9308.6400000000012"/>
    <n v="3055183.689999999"/>
    <n v="4089.9380053547511"/>
    <n v="1977"/>
    <s v="Not Found"/>
    <s v="High Sale"/>
  </r>
  <r>
    <s v="ORD0499"/>
    <s v="2023-10-05"/>
    <s v="CUST269"/>
    <x v="2"/>
    <s v="Face Cream"/>
    <s v="Chennai"/>
    <s v="Tamil Nadu"/>
    <x v="0"/>
    <n v="3"/>
    <n v="4389"/>
    <n v="30"/>
    <n v="9216.9"/>
    <n v="9216.9"/>
    <n v="3045875.0499999989"/>
    <n v="4082.9424262734569"/>
    <n v="1974"/>
    <s v="Not Found"/>
    <s v="High Sale"/>
  </r>
  <r>
    <s v="ORD0535"/>
    <s v="2023-02-24"/>
    <s v="CUST092"/>
    <x v="2"/>
    <s v="Sofa"/>
    <s v="Mumbai"/>
    <s v="West Bengal"/>
    <x v="3"/>
    <n v="4"/>
    <n v="2879"/>
    <n v="20"/>
    <n v="9212.7999999999993"/>
    <n v="9212.8000000000011"/>
    <n v="3036658.149999999"/>
    <n v="4076.0512080536901"/>
    <n v="1971"/>
    <s v="Not Found"/>
    <s v="High Sale"/>
  </r>
  <r>
    <s v="ORD0882"/>
    <s v="2023-07-31"/>
    <s v="CUST139"/>
    <x v="2"/>
    <s v="Mobile"/>
    <s v="Mumbai"/>
    <s v="Delhi"/>
    <x v="0"/>
    <n v="5"/>
    <n v="2557"/>
    <n v="28"/>
    <n v="9205.2000000000007"/>
    <n v="9205.1999999999989"/>
    <n v="3027445.3499999992"/>
    <n v="4069.1469758064504"/>
    <n v="1967"/>
    <s v="Not Found"/>
    <s v="High Sale"/>
  </r>
  <r>
    <s v="ORD0712"/>
    <s v="2023-06-05"/>
    <s v="CUST114"/>
    <x v="0"/>
    <s v="Mobile"/>
    <s v="Delhi"/>
    <s v="Maharashtra"/>
    <x v="1"/>
    <n v="4"/>
    <n v="2372"/>
    <n v="3"/>
    <n v="9203.36"/>
    <n v="9203.36"/>
    <n v="3018240.149999999"/>
    <n v="4062.2343876177642"/>
    <n v="1962"/>
    <s v="Not Found"/>
    <s v="High Sale"/>
  </r>
  <r>
    <s v="ORD0651"/>
    <s v="2023-11-02"/>
    <s v="CUST042"/>
    <x v="3"/>
    <s v="Football"/>
    <s v="Kolkata"/>
    <s v="Maharashtra"/>
    <x v="2"/>
    <n v="3"/>
    <n v="3823"/>
    <n v="20"/>
    <n v="9175.2000000000007"/>
    <n v="9175.2000000000007"/>
    <n v="3009036.7899999991"/>
    <n v="4055.3056469002681"/>
    <n v="1958"/>
    <s v="Not Found"/>
    <s v="High Sale"/>
  </r>
  <r>
    <s v="ORD0552"/>
    <s v="2023-03-31"/>
    <s v="CUST236"/>
    <x v="0"/>
    <s v="Football"/>
    <s v="Mumbai"/>
    <s v="Tamil Nadu"/>
    <x v="3"/>
    <n v="4"/>
    <n v="3225"/>
    <n v="29"/>
    <n v="9159"/>
    <n v="9159"/>
    <n v="2999861.5899999989"/>
    <n v="4048.3962078272589"/>
    <n v="1955"/>
    <s v="Not Found"/>
    <s v="High Sale"/>
  </r>
  <r>
    <s v="ORD0205"/>
    <s v="2023-09-06"/>
    <s v="CUST164"/>
    <x v="3"/>
    <s v="Mobile"/>
    <s v="Chennai"/>
    <s v="Tamil Nadu"/>
    <x v="0"/>
    <n v="3"/>
    <n v="3663"/>
    <n v="17"/>
    <n v="9120.8700000000008"/>
    <n v="9120.869999999999"/>
    <n v="2990702.5899999989"/>
    <n v="4041.4899864864851"/>
    <n v="1951"/>
    <s v="Not Found"/>
    <s v="High Sale"/>
  </r>
  <r>
    <s v="ORD0649"/>
    <s v="2023-05-02"/>
    <s v="CUST146"/>
    <x v="2"/>
    <s v="Sofa"/>
    <s v="Mumbai"/>
    <s v="West Bengal"/>
    <x v="2"/>
    <n v="3"/>
    <n v="3071"/>
    <n v="1"/>
    <n v="9120.8700000000008"/>
    <n v="9120.8700000000008"/>
    <n v="2981581.7199999988"/>
    <n v="4034.6166711772648"/>
    <n v="1948"/>
    <s v="Not Found"/>
    <s v="High Sale"/>
  </r>
  <r>
    <s v="ORD0286"/>
    <s v="2023-10-23"/>
    <s v="CUST126"/>
    <x v="1"/>
    <s v="Laptop"/>
    <s v="Bangalore"/>
    <s v="Tamil Nadu"/>
    <x v="3"/>
    <n v="4"/>
    <n v="2279"/>
    <n v="0"/>
    <n v="9116"/>
    <n v="9116"/>
    <n v="2972460.8499999982"/>
    <n v="4027.7247289972875"/>
    <n v="1945"/>
    <s v="Not Found"/>
    <s v="High Sale"/>
  </r>
  <r>
    <s v="ORD0081"/>
    <s v="2023-08-12"/>
    <s v="CUST099"/>
    <x v="3"/>
    <s v="Mobile"/>
    <s v="Chennai"/>
    <s v="Maharashtra"/>
    <x v="2"/>
    <n v="3"/>
    <n v="3336"/>
    <n v="9"/>
    <n v="9107.2800000000007"/>
    <n v="9107.2800000000007"/>
    <n v="2963344.8499999987"/>
    <n v="4020.820691994571"/>
    <n v="1941"/>
    <s v="Not Found"/>
    <s v="High Sale"/>
  </r>
  <r>
    <s v="ORD0481"/>
    <s v="2023-05-19"/>
    <s v="CUST042"/>
    <x v="4"/>
    <s v="Laptop"/>
    <s v="Mumbai"/>
    <s v="Tamil Nadu"/>
    <x v="2"/>
    <n v="2"/>
    <n v="4895"/>
    <n v="7"/>
    <n v="9104.7000000000007"/>
    <n v="9104.6999999999989"/>
    <n v="2954237.5699999984"/>
    <n v="4013.9097418478241"/>
    <n v="1938"/>
    <s v="Not Found"/>
    <s v="High Sale"/>
  </r>
  <r>
    <s v="ORD0922"/>
    <s v="2023-03-19"/>
    <s v="CUST054"/>
    <x v="2"/>
    <s v="Football"/>
    <s v="Mumbai"/>
    <s v="Delhi"/>
    <x v="3"/>
    <n v="2"/>
    <n v="4581"/>
    <n v="1"/>
    <n v="9070.3799999999992"/>
    <n v="9070.3799999999992"/>
    <n v="2945132.8699999987"/>
    <n v="4006.9834965986379"/>
    <n v="1936"/>
    <s v="Not Found"/>
    <s v="High Sale"/>
  </r>
  <r>
    <s v="ORD0543"/>
    <s v="2023-05-18"/>
    <s v="CUST157"/>
    <x v="1"/>
    <s v="Football"/>
    <s v="Kolkata"/>
    <s v="West Bengal"/>
    <x v="2"/>
    <n v="4"/>
    <n v="3009"/>
    <n v="25"/>
    <n v="9027"/>
    <n v="9027"/>
    <n v="2936062.4899999988"/>
    <n v="4000.0851362397802"/>
    <n v="1934"/>
    <s v="Not Found"/>
    <s v="High Sale"/>
  </r>
  <r>
    <s v="ORD0010"/>
    <s v="2023-01-03"/>
    <s v="CUST009"/>
    <x v="2"/>
    <s v="Sofa"/>
    <s v="Kolkata"/>
    <s v="Tamil Nadu"/>
    <x v="3"/>
    <n v="3"/>
    <n v="4287"/>
    <n v="30"/>
    <n v="9002.6999999999989"/>
    <n v="9002.6999999999989"/>
    <n v="2927035.4899999988"/>
    <n v="3993.2271350613901"/>
    <n v="1930"/>
    <s v="Not Found"/>
    <s v="High Sale"/>
  </r>
  <r>
    <s v="ORD0639"/>
    <s v="2023-11-16"/>
    <s v="CUST045"/>
    <x v="4"/>
    <s v="Shoes"/>
    <s v="Kolkata"/>
    <s v="Maharashtra"/>
    <x v="3"/>
    <n v="5"/>
    <n v="1912"/>
    <n v="6"/>
    <n v="8986.4"/>
    <n v="8986.4"/>
    <n v="2918032.7899999991"/>
    <n v="3986.3835928961735"/>
    <n v="1927"/>
    <s v="Not Found"/>
    <s v="High Sale"/>
  </r>
  <r>
    <s v="ORD0473"/>
    <s v="2023-06-06"/>
    <s v="CUST031"/>
    <x v="3"/>
    <s v="T-Shirt"/>
    <s v="Delhi"/>
    <s v="Tamil Nadu"/>
    <x v="0"/>
    <n v="4"/>
    <n v="2414"/>
    <n v="7"/>
    <n v="8980.08"/>
    <n v="8980.08"/>
    <n v="2909046.3899999987"/>
    <n v="3979.5436251709971"/>
    <n v="1922"/>
    <s v="Not Found"/>
    <s v="High Sale"/>
  </r>
  <r>
    <s v="ORD0521"/>
    <s v="2023-08-15"/>
    <s v="CUST020"/>
    <x v="4"/>
    <s v="Sofa"/>
    <s v="Mumbai"/>
    <s v="Maharashtra"/>
    <x v="0"/>
    <n v="4"/>
    <n v="3204"/>
    <n v="30"/>
    <n v="8971.2000000000007"/>
    <n v="8971.1999999999989"/>
    <n v="2900066.3099999982"/>
    <n v="3972.6935753424632"/>
    <n v="1918"/>
    <s v="Not Found"/>
    <s v="High Sale"/>
  </r>
  <r>
    <s v="ORD0065"/>
    <s v="2023-07-16"/>
    <s v="CUST066"/>
    <x v="4"/>
    <s v="Football"/>
    <s v="Bangalore"/>
    <s v="Tamil Nadu"/>
    <x v="1"/>
    <n v="4"/>
    <n v="2910"/>
    <n v="23"/>
    <n v="8962.7999999999993"/>
    <n v="8962.8000000000011"/>
    <n v="2891095.1099999975"/>
    <n v="3965.8369135802436"/>
    <n v="1914"/>
    <s v="Not Found"/>
    <s v="High Sale"/>
  </r>
  <r>
    <s v="ORD0803"/>
    <s v="2023-03-23"/>
    <s v="CUST165"/>
    <x v="4"/>
    <s v="Football"/>
    <s v="Bangalore"/>
    <s v="West Bengal"/>
    <x v="0"/>
    <n v="3"/>
    <n v="4036"/>
    <n v="26"/>
    <n v="8959.92"/>
    <n v="8959.92"/>
    <n v="2882132.3099999977"/>
    <n v="3958.9729532967003"/>
    <n v="1910"/>
    <s v="Not Found"/>
    <s v="High Sale"/>
  </r>
  <r>
    <s v="ORD0682"/>
    <s v="2023-12-04"/>
    <s v="CUST139"/>
    <x v="4"/>
    <s v="Mobile"/>
    <s v="Mumbai"/>
    <s v="West Bengal"/>
    <x v="3"/>
    <n v="5"/>
    <n v="2036"/>
    <n v="12"/>
    <n v="8958.4"/>
    <n v="8958.4"/>
    <n v="2873172.3899999973"/>
    <n v="3952.0940715268189"/>
    <n v="1907"/>
    <s v="Not Found"/>
    <s v="High Sale"/>
  </r>
  <r>
    <s v="ORD0929"/>
    <s v="2023-03-02"/>
    <s v="CUST233"/>
    <x v="0"/>
    <s v="Shoes"/>
    <s v="Delhi"/>
    <s v="Delhi"/>
    <x v="2"/>
    <n v="4"/>
    <n v="2370"/>
    <n v="6"/>
    <n v="8911.2000000000007"/>
    <n v="8911.1999999999989"/>
    <n v="2864213.9899999974"/>
    <n v="3945.1983333333296"/>
    <n v="1902"/>
    <s v="Not Found"/>
    <s v="High Sale"/>
  </r>
  <r>
    <s v="ORD0557"/>
    <s v="2023-03-07"/>
    <s v="CUST291"/>
    <x v="4"/>
    <s v="Face Cream"/>
    <s v="Bangalore"/>
    <s v="Tamil Nadu"/>
    <x v="1"/>
    <n v="5"/>
    <n v="2304"/>
    <n v="23"/>
    <n v="8870.4"/>
    <n v="8870.4"/>
    <n v="2855302.7899999977"/>
    <n v="3938.3486758620656"/>
    <n v="1898"/>
    <s v="Not Found"/>
    <s v="High Sale"/>
  </r>
  <r>
    <s v="ORD0746"/>
    <s v="2023-02-24"/>
    <s v="CUST133"/>
    <x v="0"/>
    <s v="T-Shirt"/>
    <s v="Delhi"/>
    <s v="West Bengal"/>
    <x v="0"/>
    <n v="5"/>
    <n v="2458"/>
    <n v="28"/>
    <n v="8848.7999999999993"/>
    <n v="8848.7999999999993"/>
    <n v="2846432.3899999973"/>
    <n v="3931.5364502762395"/>
    <n v="1893"/>
    <s v="Not Found"/>
    <s v="High Sale"/>
  </r>
  <r>
    <s v="ORD0332"/>
    <s v="2023-08-04"/>
    <s v="CUST144"/>
    <x v="4"/>
    <s v="Sofa"/>
    <s v="Bangalore"/>
    <s v="Karnataka"/>
    <x v="3"/>
    <n v="2"/>
    <n v="4558"/>
    <n v="3"/>
    <n v="8842.52"/>
    <n v="8842.52"/>
    <n v="2837583.5899999975"/>
    <n v="3924.7352558782814"/>
    <n v="1888"/>
    <s v="Not Found"/>
    <s v="High Sale"/>
  </r>
  <r>
    <s v="ORD0716"/>
    <s v="2023-02-20"/>
    <s v="CUST001"/>
    <x v="3"/>
    <s v="Laptop"/>
    <s v="Mumbai"/>
    <s v="Maharashtra"/>
    <x v="2"/>
    <n v="2"/>
    <n v="4459"/>
    <n v="1"/>
    <n v="8828.82"/>
    <n v="8828.82"/>
    <n v="2828741.0699999975"/>
    <n v="3917.9239196675867"/>
    <n v="1886"/>
    <s v="Not Found"/>
    <s v="High Sale"/>
  </r>
  <r>
    <s v="ORD0077"/>
    <s v="2023-07-28"/>
    <s v="CUST161"/>
    <x v="0"/>
    <s v="Shoes"/>
    <s v="Kolkata"/>
    <s v="Maharashtra"/>
    <x v="2"/>
    <n v="3"/>
    <n v="3422"/>
    <n v="14"/>
    <n v="8828.76"/>
    <n v="8828.76"/>
    <n v="2819912.2499999977"/>
    <n v="3911.1126907073476"/>
    <n v="1884"/>
    <s v="Not Found"/>
    <s v="High Sale"/>
  </r>
  <r>
    <s v="ORD0776"/>
    <s v="2023-11-21"/>
    <s v="CUST086"/>
    <x v="1"/>
    <s v="Mobile"/>
    <s v="Kolkata"/>
    <s v="Karnataka"/>
    <x v="1"/>
    <n v="2"/>
    <n v="4502"/>
    <n v="2"/>
    <n v="8823.92"/>
    <n v="8823.92"/>
    <n v="2811083.4899999979"/>
    <n v="3904.2826249999971"/>
    <n v="1881"/>
    <s v="Not Found"/>
    <s v="High Sale"/>
  </r>
  <r>
    <s v="ORD0951"/>
    <s v="2023-07-14"/>
    <s v="CUST221"/>
    <x v="1"/>
    <s v="Sofa"/>
    <s v="Kolkata"/>
    <s v="West Bengal"/>
    <x v="1"/>
    <n v="3"/>
    <n v="3870"/>
    <n v="24"/>
    <n v="8823.6"/>
    <n v="8823.6"/>
    <n v="2802259.569999998"/>
    <n v="3897.4402920723201"/>
    <n v="1879"/>
    <s v="Not Found"/>
    <s v="High Sale"/>
  </r>
  <r>
    <s v="ORD0958"/>
    <s v="2023-09-28"/>
    <s v="CUST180"/>
    <x v="4"/>
    <s v="Football"/>
    <s v="Delhi"/>
    <s v="Maharashtra"/>
    <x v="3"/>
    <n v="4"/>
    <n v="2249"/>
    <n v="2"/>
    <n v="8816.08"/>
    <n v="8816.08"/>
    <n v="2793435.9699999988"/>
    <n v="3890.5793454038981"/>
    <n v="1876"/>
    <s v="Not Found"/>
    <s v="High Sale"/>
  </r>
  <r>
    <s v="ORD0434"/>
    <s v="2023-08-22"/>
    <s v="CUST028"/>
    <x v="2"/>
    <s v="Sofa"/>
    <s v="Chennai"/>
    <s v="West Bengal"/>
    <x v="2"/>
    <n v="3"/>
    <n v="3455"/>
    <n v="15"/>
    <n v="8810.25"/>
    <n v="8810.25"/>
    <n v="2784619.8899999992"/>
    <n v="3883.7097489539738"/>
    <n v="1872"/>
    <s v="Not Found"/>
    <s v="High Sale"/>
  </r>
  <r>
    <s v="ORD0975"/>
    <s v="2023-09-09"/>
    <s v="CUST274"/>
    <x v="1"/>
    <s v="Shoes"/>
    <s v="Mumbai"/>
    <s v="Maharashtra"/>
    <x v="0"/>
    <n v="2"/>
    <n v="4662"/>
    <n v="6"/>
    <n v="8764.56"/>
    <n v="8764.56"/>
    <n v="2775809.6399999987"/>
    <n v="3876.8291061452496"/>
    <n v="1869"/>
    <s v="Not Found"/>
    <s v="High Sale"/>
  </r>
  <r>
    <s v="ORD0469"/>
    <s v="2023-04-01"/>
    <s v="CUST125"/>
    <x v="3"/>
    <s v="Mobile"/>
    <s v="Chennai"/>
    <s v="Karnataka"/>
    <x v="2"/>
    <n v="3"/>
    <n v="2933"/>
    <n v="1"/>
    <n v="8711.01"/>
    <n v="8711.01"/>
    <n v="2767045.0799999987"/>
    <n v="3869.993118881117"/>
    <n v="1867"/>
    <s v="Not Found"/>
    <s v="High Sale"/>
  </r>
  <r>
    <s v="ORD0815"/>
    <s v="2023-05-31"/>
    <s v="CUST195"/>
    <x v="4"/>
    <s v="Sofa"/>
    <s v="Mumbai"/>
    <s v="Delhi"/>
    <x v="0"/>
    <n v="5"/>
    <n v="2172"/>
    <n v="20"/>
    <n v="8688"/>
    <n v="8688"/>
    <n v="2758334.0699999989"/>
    <n v="3863.2129831932757"/>
    <n v="1864"/>
    <s v="Not Found"/>
    <s v="High Sale"/>
  </r>
  <r>
    <s v="ORD0864"/>
    <s v="2023-02-21"/>
    <s v="CUST141"/>
    <x v="3"/>
    <s v="Mobile"/>
    <s v="Mumbai"/>
    <s v="Tamil Nadu"/>
    <x v="1"/>
    <n v="3"/>
    <n v="2950"/>
    <n v="2"/>
    <n v="8673"/>
    <n v="8673"/>
    <n v="2749646.0699999994"/>
    <n v="3856.4461009817664"/>
    <n v="1859"/>
    <s v="Not Found"/>
    <s v="High Sale"/>
  </r>
  <r>
    <s v="ORD0202"/>
    <s v="2023-06-26"/>
    <s v="CUST037"/>
    <x v="1"/>
    <s v="Football"/>
    <s v="Kolkata"/>
    <s v="Tamil Nadu"/>
    <x v="0"/>
    <n v="3"/>
    <n v="3068"/>
    <n v="6"/>
    <n v="8651.76"/>
    <n v="8651.76"/>
    <n v="2740973.0699999994"/>
    <n v="3849.6812780898867"/>
    <n v="1856"/>
    <s v="Not Found"/>
    <s v="High Sale"/>
  </r>
  <r>
    <s v="ORD0973"/>
    <s v="2023-12-01"/>
    <s v="CUST248"/>
    <x v="2"/>
    <s v="Sofa"/>
    <s v="Delhi"/>
    <s v="Delhi"/>
    <x v="3"/>
    <n v="5"/>
    <n v="2155"/>
    <n v="20"/>
    <n v="8620"/>
    <n v="8620"/>
    <n v="2732321.3099999991"/>
    <n v="3842.927299578058"/>
    <n v="1853"/>
    <s v="Not Found"/>
    <s v="High Sale"/>
  </r>
  <r>
    <s v="ORD0344"/>
    <s v="2023-03-11"/>
    <s v="CUST288"/>
    <x v="1"/>
    <s v="Laptop"/>
    <s v="Bangalore"/>
    <s v="Tamil Nadu"/>
    <x v="0"/>
    <n v="5"/>
    <n v="1913"/>
    <n v="10"/>
    <n v="8608.5"/>
    <n v="8608.5"/>
    <n v="2723701.3099999987"/>
    <n v="3836.1990281690123"/>
    <n v="1848"/>
    <s v="Not Found"/>
    <s v="High Sale"/>
  </r>
  <r>
    <s v="ORD0554"/>
    <s v="2023-08-26"/>
    <s v="CUST120"/>
    <x v="4"/>
    <s v="Laptop"/>
    <s v="Mumbai"/>
    <s v="Maharashtra"/>
    <x v="0"/>
    <n v="5"/>
    <n v="2391"/>
    <n v="28"/>
    <n v="8607.6"/>
    <n v="8607.6"/>
    <n v="2715092.8099999987"/>
    <n v="3829.4679971791238"/>
    <n v="1843"/>
    <s v="Not Found"/>
    <s v="High Sale"/>
  </r>
  <r>
    <s v="ORD0431"/>
    <s v="2023-12-12"/>
    <s v="CUST259"/>
    <x v="4"/>
    <s v="Sofa"/>
    <s v="Kolkata"/>
    <s v="Tamil Nadu"/>
    <x v="3"/>
    <n v="4"/>
    <n v="2575"/>
    <n v="17"/>
    <n v="8549"/>
    <n v="8549"/>
    <n v="2706485.2099999981"/>
    <n v="3822.7192231638392"/>
    <n v="1838"/>
    <s v="Not Found"/>
    <s v="High Sale"/>
  </r>
  <r>
    <s v="ORD0790"/>
    <s v="2023-09-02"/>
    <s v="CUST157"/>
    <x v="0"/>
    <s v="Laptop"/>
    <s v="Mumbai"/>
    <s v="Delhi"/>
    <x v="0"/>
    <n v="4"/>
    <n v="2736"/>
    <n v="22"/>
    <n v="8536.32"/>
    <n v="8536.32"/>
    <n v="2697936.2099999981"/>
    <n v="3816.0342432814682"/>
    <n v="1834"/>
    <s v="Not Found"/>
    <s v="High Sale"/>
  </r>
  <r>
    <s v="ORD0730"/>
    <s v="2023-06-01"/>
    <s v="CUST288"/>
    <x v="3"/>
    <s v="Face Cream"/>
    <s v="Bangalore"/>
    <s v="West Bengal"/>
    <x v="1"/>
    <n v="2"/>
    <n v="4776"/>
    <n v="11"/>
    <n v="8501.2800000000007"/>
    <n v="8501.2800000000007"/>
    <n v="2689399.8899999983"/>
    <n v="3809.3482861189777"/>
    <n v="1830"/>
    <s v="Not Found"/>
    <s v="High Sale"/>
  </r>
  <r>
    <s v="ORD0371"/>
    <s v="2023-03-25"/>
    <s v="CUST180"/>
    <x v="2"/>
    <s v="Shoes"/>
    <s v="Chennai"/>
    <s v="Karnataka"/>
    <x v="3"/>
    <n v="5"/>
    <n v="1734"/>
    <n v="2"/>
    <n v="8496.6"/>
    <n v="8496.6"/>
    <n v="2680898.6099999985"/>
    <n v="3802.6930638297849"/>
    <n v="1828"/>
    <s v="Not Found"/>
    <s v="High Sale"/>
  </r>
  <r>
    <s v="ORD0094"/>
    <s v="2023-03-12"/>
    <s v="CUST135"/>
    <x v="2"/>
    <s v="Face Cream"/>
    <s v="Mumbai"/>
    <s v="Delhi"/>
    <x v="3"/>
    <n v="2"/>
    <n v="4515"/>
    <n v="6"/>
    <n v="8488.2000000000007"/>
    <n v="8488.1999999999989"/>
    <n v="2672402.0099999979"/>
    <n v="3796.0255823863608"/>
    <n v="1823"/>
    <s v="Not Found"/>
    <s v="High Sale"/>
  </r>
  <r>
    <s v="ORD0389"/>
    <s v="2023-05-20"/>
    <s v="CUST122"/>
    <x v="1"/>
    <s v="Sofa"/>
    <s v="Mumbai"/>
    <s v="Tamil Nadu"/>
    <x v="1"/>
    <n v="4"/>
    <n v="2748"/>
    <n v="23"/>
    <n v="8463.84"/>
    <n v="8463.84"/>
    <n v="2663913.8099999987"/>
    <n v="3789.351081081079"/>
    <n v="1821"/>
    <s v="Not Found"/>
    <s v="High Sale"/>
  </r>
  <r>
    <s v="ORD0276"/>
    <s v="2023-02-22"/>
    <s v="CUST041"/>
    <x v="0"/>
    <s v="Face Cream"/>
    <s v="Kolkata"/>
    <s v="West Bengal"/>
    <x v="1"/>
    <n v="2"/>
    <n v="4907"/>
    <n v="14"/>
    <n v="8440.0400000000009"/>
    <n v="8440.0399999999991"/>
    <n v="2655449.9699999988"/>
    <n v="3782.6922649572634"/>
    <n v="1817"/>
    <s v="Not Found"/>
    <s v="High Sale"/>
  </r>
  <r>
    <s v="ORD0946"/>
    <s v="2023-07-06"/>
    <s v="CUST233"/>
    <x v="2"/>
    <s v="Mobile"/>
    <s v="Mumbai"/>
    <s v="West Bengal"/>
    <x v="0"/>
    <n v="4"/>
    <n v="2880"/>
    <n v="27"/>
    <n v="8409.6"/>
    <n v="8409.6"/>
    <n v="2647009.9299999988"/>
    <n v="3776.0484022824517"/>
    <n v="1815"/>
    <s v="Not Found"/>
    <s v="High Sale"/>
  </r>
  <r>
    <s v="ORD0872"/>
    <s v="2023-02-19"/>
    <s v="CUST237"/>
    <x v="0"/>
    <s v="Mobile"/>
    <s v="Mumbai"/>
    <s v="West Bengal"/>
    <x v="1"/>
    <n v="2"/>
    <n v="4931"/>
    <n v="15"/>
    <n v="8382.7000000000007"/>
    <n v="8382.6999999999989"/>
    <n v="2638600.3299999991"/>
    <n v="3769.4290428571417"/>
    <n v="1811"/>
    <s v="Not Found"/>
    <s v="High Sale"/>
  </r>
  <r>
    <s v="ORD0463"/>
    <s v="2023-01-06"/>
    <s v="CUST120"/>
    <x v="4"/>
    <s v="T-Shirt"/>
    <s v="Mumbai"/>
    <s v="Delhi"/>
    <x v="0"/>
    <n v="3"/>
    <n v="3065"/>
    <n v="9"/>
    <n v="8367.4500000000007"/>
    <n v="8367.4500000000007"/>
    <n v="2630217.6299999994"/>
    <n v="3762.8292274678101"/>
    <n v="1809"/>
    <s v="Not Found"/>
    <s v="High Sale"/>
  </r>
  <r>
    <s v="ORD0549"/>
    <s v="2023-05-29"/>
    <s v="CUST157"/>
    <x v="3"/>
    <s v="Laptop"/>
    <s v="Kolkata"/>
    <s v="Tamil Nadu"/>
    <x v="2"/>
    <n v="2"/>
    <n v="4155"/>
    <n v="0"/>
    <n v="8310"/>
    <n v="8310"/>
    <n v="2621850.1799999992"/>
    <n v="3756.2323495701994"/>
    <n v="1806"/>
    <s v="Not Found"/>
    <s v="High Sale"/>
  </r>
  <r>
    <s v="ORD0047"/>
    <s v="2023-03-04"/>
    <s v="CUST074"/>
    <x v="4"/>
    <s v="T-Shirt"/>
    <s v="Kolkata"/>
    <s v="Delhi"/>
    <x v="0"/>
    <n v="2"/>
    <n v="4146"/>
    <n v="0"/>
    <n v="8292"/>
    <n v="8292"/>
    <n v="2613540.1799999992"/>
    <n v="3749.6989670014336"/>
    <n v="1804"/>
    <s v="Not Found"/>
    <s v="High Sale"/>
  </r>
  <r>
    <s v="ORD0106"/>
    <s v="2023-01-25"/>
    <s v="CUST064"/>
    <x v="0"/>
    <s v="T-Shirt"/>
    <s v="Delhi"/>
    <s v="Delhi"/>
    <x v="2"/>
    <n v="4"/>
    <n v="2303"/>
    <n v="10"/>
    <n v="8290.7999999999993"/>
    <n v="8290.8000000000011"/>
    <n v="2605248.1799999992"/>
    <n v="3743.172672413792"/>
    <n v="1802"/>
    <s v="Not Found"/>
    <s v="High Sale"/>
  </r>
  <r>
    <s v="ORD0991"/>
    <s v="2023-11-23"/>
    <s v="CUST119"/>
    <x v="2"/>
    <s v="Football"/>
    <s v="Kolkata"/>
    <s v="Maharashtra"/>
    <x v="2"/>
    <n v="4"/>
    <n v="2135"/>
    <n v="3"/>
    <n v="8283.7999999999993"/>
    <n v="8283.7999999999993"/>
    <n v="2596957.3799999994"/>
    <n v="3736.6293237410064"/>
    <n v="1798"/>
    <s v="Not Found"/>
    <s v="High Sale"/>
  </r>
  <r>
    <s v="ORD0940"/>
    <s v="2023-11-05"/>
    <s v="CUST140"/>
    <x v="0"/>
    <s v="Shoes"/>
    <s v="Mumbai"/>
    <s v="West Bengal"/>
    <x v="1"/>
    <n v="5"/>
    <n v="2150"/>
    <n v="23"/>
    <n v="8277.5"/>
    <n v="8277.5"/>
    <n v="2588673.5799999991"/>
    <n v="3730.0772046109496"/>
    <n v="1794"/>
    <s v="Not Found"/>
    <s v="High Sale"/>
  </r>
  <r>
    <s v="ORD0507"/>
    <s v="2023-06-23"/>
    <s v="CUST109"/>
    <x v="4"/>
    <s v="T-Shirt"/>
    <s v="Chennai"/>
    <s v="Tamil Nadu"/>
    <x v="2"/>
    <n v="3"/>
    <n v="3319"/>
    <n v="17"/>
    <n v="8264.31"/>
    <n v="8264.31"/>
    <n v="2580396.0799999991"/>
    <n v="3723.5152669552658"/>
    <n v="1789"/>
    <s v="Not Found"/>
    <s v="High Sale"/>
  </r>
  <r>
    <s v="ORD0142"/>
    <s v="2023-09-15"/>
    <s v="CUST164"/>
    <x v="3"/>
    <s v="Shoes"/>
    <s v="Chennai"/>
    <s v="Delhi"/>
    <x v="3"/>
    <n v="4"/>
    <n v="2608"/>
    <n v="21"/>
    <n v="8241.2800000000007"/>
    <n v="8241.2800000000007"/>
    <n v="2572131.7699999991"/>
    <n v="3716.9534248554901"/>
    <n v="1786"/>
    <s v="Not Found"/>
    <s v="High Sale"/>
  </r>
  <r>
    <s v="ORD0928"/>
    <s v="2023-03-12"/>
    <s v="CUST026"/>
    <x v="0"/>
    <s v="Mobile"/>
    <s v="Chennai"/>
    <s v="West Bengal"/>
    <x v="0"/>
    <n v="5"/>
    <n v="2347"/>
    <n v="30"/>
    <n v="8214.5"/>
    <n v="8214.5"/>
    <n v="2563890.4899999993"/>
    <n v="3710.4059189580307"/>
    <n v="1782"/>
    <s v="Not Found"/>
    <s v="High Sale"/>
  </r>
  <r>
    <s v="ORD0728"/>
    <s v="2023-08-03"/>
    <s v="CUST184"/>
    <x v="3"/>
    <s v="Laptop"/>
    <s v="Chennai"/>
    <s v="Maharashtra"/>
    <x v="1"/>
    <n v="2"/>
    <n v="4561"/>
    <n v="10"/>
    <n v="8209.7999999999993"/>
    <n v="8209.8000000000011"/>
    <n v="2555675.9899999988"/>
    <n v="3703.8782463768098"/>
    <n v="1777"/>
    <s v="Not Found"/>
    <s v="High Sale"/>
  </r>
  <r>
    <s v="ORD0583"/>
    <s v="2023-05-05"/>
    <s v="CUST128"/>
    <x v="3"/>
    <s v="T-Shirt"/>
    <s v="Chennai"/>
    <s v="Karnataka"/>
    <x v="0"/>
    <n v="4"/>
    <n v="2070"/>
    <n v="1"/>
    <n v="8197.2000000000007"/>
    <n v="8197.2000000000007"/>
    <n v="2547466.1899999985"/>
    <n v="3697.3384470246715"/>
    <n v="1775"/>
    <s v="Not Found"/>
    <s v="High Sale"/>
  </r>
  <r>
    <s v="ORD0565"/>
    <s v="2023-10-30"/>
    <s v="CUST143"/>
    <x v="1"/>
    <s v="T-Shirt"/>
    <s v="Bangalore"/>
    <s v="West Bengal"/>
    <x v="0"/>
    <n v="3"/>
    <n v="3249"/>
    <n v="16"/>
    <n v="8187.48"/>
    <n v="8187.48"/>
    <n v="2539268.9899999988"/>
    <n v="3690.7979505813937"/>
    <n v="1771"/>
    <s v="Not Found"/>
    <s v="High Sale"/>
  </r>
  <r>
    <s v="ORD0780"/>
    <s v="2023-07-12"/>
    <s v="CUST102"/>
    <x v="0"/>
    <s v="Laptop"/>
    <s v="Delhi"/>
    <s v="Tamil Nadu"/>
    <x v="3"/>
    <n v="2"/>
    <n v="4122"/>
    <n v="1"/>
    <n v="8161.56"/>
    <n v="8161.5599999999995"/>
    <n v="2531081.5099999988"/>
    <n v="3684.2525618631716"/>
    <n v="1768"/>
    <s v="Not Found"/>
    <s v="High Sale"/>
  </r>
  <r>
    <s v="ORD0397"/>
    <s v="2023-07-23"/>
    <s v="CUST205"/>
    <x v="0"/>
    <s v="Laptop"/>
    <s v="Delhi"/>
    <s v="West Bengal"/>
    <x v="2"/>
    <n v="4"/>
    <n v="2518"/>
    <n v="19"/>
    <n v="8158.32"/>
    <n v="8158.3200000000006"/>
    <n v="2522919.9499999988"/>
    <n v="3677.7258746355669"/>
    <n v="1766"/>
    <s v="Not Found"/>
    <s v="High Sale"/>
  </r>
  <r>
    <s v="ORD0937"/>
    <s v="2023-02-11"/>
    <s v="CUST071"/>
    <x v="0"/>
    <s v="Shoes"/>
    <s v="Mumbai"/>
    <s v="Delhi"/>
    <x v="3"/>
    <n v="2"/>
    <n v="4151"/>
    <n v="2"/>
    <n v="8135.96"/>
    <n v="8135.96"/>
    <n v="2514761.629999999"/>
    <n v="3671.1848613138673"/>
    <n v="1762"/>
    <s v="Not Found"/>
    <s v="High Sale"/>
  </r>
  <r>
    <s v="ORD0071"/>
    <s v="2023-12-21"/>
    <s v="CUST233"/>
    <x v="3"/>
    <s v="Shoes"/>
    <s v="Chennai"/>
    <s v="Maharashtra"/>
    <x v="3"/>
    <n v="5"/>
    <n v="1825"/>
    <n v="11"/>
    <n v="8121.25"/>
    <n v="8121.25"/>
    <n v="2506625.6699999985"/>
    <n v="3664.6574122806996"/>
    <n v="1760"/>
    <s v="Not Found"/>
    <s v="High Sale"/>
  </r>
  <r>
    <s v="ORD0544"/>
    <s v="2023-06-28"/>
    <s v="CUST276"/>
    <x v="2"/>
    <s v="Football"/>
    <s v="Delhi"/>
    <s v="Maharashtra"/>
    <x v="3"/>
    <n v="3"/>
    <n v="3689"/>
    <n v="27"/>
    <n v="8078.91"/>
    <n v="8078.91"/>
    <n v="2498504.4199999985"/>
    <n v="3658.1323865300124"/>
    <n v="1755"/>
    <s v="Not Found"/>
    <s v="High Sale"/>
  </r>
  <r>
    <s v="ORD0760"/>
    <s v="2023-08-21"/>
    <s v="CUST259"/>
    <x v="4"/>
    <s v="Laptop"/>
    <s v="Chennai"/>
    <s v="Karnataka"/>
    <x v="0"/>
    <n v="2"/>
    <n v="4028"/>
    <n v="0"/>
    <n v="8056"/>
    <n v="8056"/>
    <n v="2490425.5099999988"/>
    <n v="3651.6503079178869"/>
    <n v="1752"/>
    <s v="Not Found"/>
    <s v="High Sale"/>
  </r>
  <r>
    <s v="ORD0353"/>
    <s v="2023-05-19"/>
    <s v="CUST088"/>
    <x v="3"/>
    <s v="Face Cream"/>
    <s v="Kolkata"/>
    <s v="West Bengal"/>
    <x v="3"/>
    <n v="2"/>
    <n v="4238"/>
    <n v="5"/>
    <n v="8052.2"/>
    <n v="8052.2"/>
    <n v="2482369.5099999984"/>
    <n v="3645.1828340675452"/>
    <n v="1750"/>
    <s v="Not Found"/>
    <s v="High Sale"/>
  </r>
  <r>
    <s v="ORD0858"/>
    <s v="2023-11-27"/>
    <s v="CUST072"/>
    <x v="0"/>
    <s v="T-Shirt"/>
    <s v="Chennai"/>
    <s v="Maharashtra"/>
    <x v="2"/>
    <n v="5"/>
    <n v="1643"/>
    <n v="2"/>
    <n v="8050.7"/>
    <n v="8050.7"/>
    <n v="2474317.3099999987"/>
    <n v="3638.7019264705864"/>
    <n v="1748"/>
    <s v="Not Found"/>
    <s v="High Sale"/>
  </r>
  <r>
    <s v="ORD0210"/>
    <s v="2023-02-23"/>
    <s v="CUST051"/>
    <x v="3"/>
    <s v="Sofa"/>
    <s v="Kolkata"/>
    <s v="Tamil Nadu"/>
    <x v="1"/>
    <n v="3"/>
    <n v="3603"/>
    <n v="26"/>
    <n v="7998.66"/>
    <n v="7998.66"/>
    <n v="2466266.6099999985"/>
    <n v="3632.2041384388785"/>
    <n v="1743"/>
    <s v="Not Found"/>
    <s v="High Sale"/>
  </r>
  <r>
    <s v="ORD0681"/>
    <s v="2023-01-29"/>
    <s v="CUST220"/>
    <x v="3"/>
    <s v="Laptop"/>
    <s v="Chennai"/>
    <s v="Tamil Nadu"/>
    <x v="1"/>
    <n v="3"/>
    <n v="3171"/>
    <n v="16"/>
    <n v="7990.92"/>
    <n v="7990.92"/>
    <n v="2458267.9499999979"/>
    <n v="3625.7639380530941"/>
    <n v="1740"/>
    <s v="Not Found"/>
    <s v="High Sale"/>
  </r>
  <r>
    <s v="ORD0910"/>
    <s v="2023-11-20"/>
    <s v="CUST260"/>
    <x v="3"/>
    <s v="Football"/>
    <s v="Mumbai"/>
    <s v="Maharashtra"/>
    <x v="0"/>
    <n v="4"/>
    <n v="2218"/>
    <n v="10"/>
    <n v="7984.8"/>
    <n v="7984.8"/>
    <n v="2450277.0299999975"/>
    <n v="3619.3161447562738"/>
    <n v="1737"/>
    <s v="Not Found"/>
    <s v="High Sale"/>
  </r>
  <r>
    <s v="ORD0421"/>
    <s v="2023-07-29"/>
    <s v="CUST011"/>
    <x v="2"/>
    <s v="Football"/>
    <s v="Bangalore"/>
    <s v="West Bengal"/>
    <x v="0"/>
    <n v="5"/>
    <n v="1605"/>
    <n v="1"/>
    <n v="7944.75"/>
    <n v="7944.75"/>
    <n v="2442292.2299999977"/>
    <n v="3612.8583284023634"/>
    <n v="1733"/>
    <s v="Not Found"/>
    <s v="High Sale"/>
  </r>
  <r>
    <s v="ORD0429"/>
    <s v="2023-10-09"/>
    <s v="CUST132"/>
    <x v="0"/>
    <s v="Face Cream"/>
    <s v="Bangalore"/>
    <s v="Maharashtra"/>
    <x v="1"/>
    <n v="5"/>
    <n v="2062"/>
    <n v="23"/>
    <n v="7938.7"/>
    <n v="7938.7"/>
    <n v="2434347.4799999981"/>
    <n v="3606.4407111111082"/>
    <n v="1728"/>
    <s v="Not Found"/>
    <s v="High Sale"/>
  </r>
  <r>
    <s v="ORD0703"/>
    <s v="2023-12-14"/>
    <s v="CUST176"/>
    <x v="0"/>
    <s v="Face Cream"/>
    <s v="Mumbai"/>
    <s v="Delhi"/>
    <x v="0"/>
    <n v="3"/>
    <n v="3290"/>
    <n v="20"/>
    <n v="7896"/>
    <n v="7896"/>
    <n v="2426408.7799999979"/>
    <n v="3600.0130267062282"/>
    <n v="1723"/>
    <s v="Not Found"/>
    <s v="High Sale"/>
  </r>
  <r>
    <s v="ORD0570"/>
    <s v="2023-06-24"/>
    <s v="CUST273"/>
    <x v="0"/>
    <s v="Laptop"/>
    <s v="Mumbai"/>
    <s v="Karnataka"/>
    <x v="3"/>
    <n v="5"/>
    <n v="2160"/>
    <n v="27"/>
    <n v="7884"/>
    <n v="7884"/>
    <n v="2418512.7799999975"/>
    <n v="3593.6296879643351"/>
    <n v="1720"/>
    <s v="Not Found"/>
    <s v="High Sale"/>
  </r>
  <r>
    <s v="ORD0133"/>
    <s v="2023-08-12"/>
    <s v="CUST264"/>
    <x v="3"/>
    <s v="Face Cream"/>
    <s v="Kolkata"/>
    <s v="West Bengal"/>
    <x v="3"/>
    <n v="4"/>
    <n v="2361"/>
    <n v="17"/>
    <n v="7838.52"/>
    <n v="7838.5199999999995"/>
    <n v="2410628.7799999975"/>
    <n v="3587.2452083333296"/>
    <n v="1715"/>
    <s v="Not Found"/>
    <s v="High Sale"/>
  </r>
  <r>
    <s v="ORD0375"/>
    <s v="2023-07-21"/>
    <s v="CUST276"/>
    <x v="3"/>
    <s v="Shoes"/>
    <s v="Bangalore"/>
    <s v="West Bengal"/>
    <x v="0"/>
    <n v="3"/>
    <n v="3436"/>
    <n v="24"/>
    <n v="7834.08"/>
    <n v="7834.08"/>
    <n v="2402790.2599999974"/>
    <n v="3580.9094783904584"/>
    <n v="1711"/>
    <s v="Not Found"/>
    <s v="High Sale"/>
  </r>
  <r>
    <s v="ORD0441"/>
    <s v="2023-04-25"/>
    <s v="CUST273"/>
    <x v="1"/>
    <s v="T-Shirt"/>
    <s v="Chennai"/>
    <s v="Maharashtra"/>
    <x v="3"/>
    <n v="3"/>
    <n v="3211"/>
    <n v="19"/>
    <n v="7802.73"/>
    <n v="7802.7300000000005"/>
    <n v="2394956.1799999974"/>
    <n v="3574.5614626865631"/>
    <n v="1708"/>
    <s v="Not Found"/>
    <s v="High Sale"/>
  </r>
  <r>
    <s v="ORD0737"/>
    <s v="2023-11-18"/>
    <s v="CUST093"/>
    <x v="3"/>
    <s v="Laptop"/>
    <s v="Chennai"/>
    <s v="West Bengal"/>
    <x v="3"/>
    <n v="3"/>
    <n v="3133"/>
    <n v="17"/>
    <n v="7801.17"/>
    <n v="7801.17"/>
    <n v="2387153.4499999974"/>
    <n v="3568.2413303437929"/>
    <n v="1705"/>
    <s v="Not Found"/>
    <s v="High Sale"/>
  </r>
  <r>
    <s v="ORD0828"/>
    <s v="2023-07-22"/>
    <s v="CUST212"/>
    <x v="4"/>
    <s v="Shoes"/>
    <s v="Mumbai"/>
    <s v="West Bengal"/>
    <x v="0"/>
    <n v="2"/>
    <n v="4229"/>
    <n v="8"/>
    <n v="7781.36"/>
    <n v="7781.3600000000006"/>
    <n v="2379352.2799999965"/>
    <n v="3561.9046107784379"/>
    <n v="1702"/>
    <s v="Not Found"/>
    <s v="High Sale"/>
  </r>
  <r>
    <s v="ORD0498"/>
    <s v="2023-09-21"/>
    <s v="CUST215"/>
    <x v="1"/>
    <s v="Laptop"/>
    <s v="Chennai"/>
    <s v="Tamil Nadu"/>
    <x v="0"/>
    <n v="5"/>
    <n v="1728"/>
    <n v="10"/>
    <n v="7776"/>
    <n v="7776"/>
    <n v="2371570.9199999967"/>
    <n v="3555.5785907046425"/>
    <n v="1700"/>
    <s v="Not Found"/>
    <s v="High Sale"/>
  </r>
  <r>
    <s v="ORD0053"/>
    <s v="2023-09-12"/>
    <s v="CUST057"/>
    <x v="4"/>
    <s v="Shoes"/>
    <s v="Kolkata"/>
    <s v="Karnataka"/>
    <x v="1"/>
    <n v="5"/>
    <n v="2041"/>
    <n v="24"/>
    <n v="7755.8"/>
    <n v="7755.8"/>
    <n v="2363794.9199999967"/>
    <n v="3549.2416216216166"/>
    <n v="1695"/>
    <s v="Not Found"/>
    <s v="High Sale"/>
  </r>
  <r>
    <s v="ORD0075"/>
    <s v="2023-08-20"/>
    <s v="CUST168"/>
    <x v="1"/>
    <s v="T-Shirt"/>
    <s v="Kolkata"/>
    <s v="Maharashtra"/>
    <x v="2"/>
    <n v="3"/>
    <n v="2740"/>
    <n v="6"/>
    <n v="7726.8"/>
    <n v="7726.7999999999993"/>
    <n v="2356039.1199999973"/>
    <n v="3542.915969924808"/>
    <n v="1690"/>
    <s v="Not Found"/>
    <s v="High Sale"/>
  </r>
  <r>
    <s v="ORD0909"/>
    <s v="2023-07-31"/>
    <s v="CUST103"/>
    <x v="1"/>
    <s v="Laptop"/>
    <s v="Delhi"/>
    <s v="Maharashtra"/>
    <x v="3"/>
    <n v="5"/>
    <n v="2059"/>
    <n v="25"/>
    <n v="7721.25"/>
    <n v="7721.25"/>
    <n v="2348312.319999997"/>
    <n v="3536.6149397590316"/>
    <n v="1687"/>
    <s v="Not Found"/>
    <s v="High Sale"/>
  </r>
  <r>
    <s v="ORD0314"/>
    <s v="2023-04-23"/>
    <s v="CUST227"/>
    <x v="3"/>
    <s v="Face Cream"/>
    <s v="Chennai"/>
    <s v="Maharashtra"/>
    <x v="0"/>
    <n v="2"/>
    <n v="3896"/>
    <n v="1"/>
    <n v="7714.08"/>
    <n v="7714.08"/>
    <n v="2340591.0699999975"/>
    <n v="3530.3032730015047"/>
    <n v="1682"/>
    <s v="Not Found"/>
    <s v="High Sale"/>
  </r>
  <r>
    <s v="ORD0270"/>
    <s v="2023-02-08"/>
    <s v="CUST264"/>
    <x v="0"/>
    <s v="Mobile"/>
    <s v="Mumbai"/>
    <s v="Karnataka"/>
    <x v="0"/>
    <n v="5"/>
    <n v="1557"/>
    <n v="1"/>
    <n v="7707.15"/>
    <n v="7707.15"/>
    <n v="2332876.9899999974"/>
    <n v="3523.9833685800563"/>
    <n v="1680"/>
    <s v="Not Found"/>
    <s v="High Sale"/>
  </r>
  <r>
    <s v="ORD0796"/>
    <s v="2023-03-30"/>
    <s v="CUST148"/>
    <x v="0"/>
    <s v="Football"/>
    <s v="Kolkata"/>
    <s v="Tamil Nadu"/>
    <x v="3"/>
    <n v="2"/>
    <n v="4427"/>
    <n v="13"/>
    <n v="7702.98"/>
    <n v="7702.98"/>
    <n v="2325169.8399999971"/>
    <n v="3517.6548260211757"/>
    <n v="1675"/>
    <s v="Not Found"/>
    <s v="High Sale"/>
  </r>
  <r>
    <s v="ORD0971"/>
    <s v="2023-04-10"/>
    <s v="CUST029"/>
    <x v="1"/>
    <s v="Football"/>
    <s v="Bangalore"/>
    <s v="Karnataka"/>
    <x v="0"/>
    <n v="2"/>
    <n v="4811"/>
    <n v="20"/>
    <n v="7697.6"/>
    <n v="7697.6"/>
    <n v="2317466.8599999971"/>
    <n v="3511.3134242424198"/>
    <n v="1673"/>
    <s v="Not Found"/>
    <s v="High Sale"/>
  </r>
  <r>
    <s v="ORD0622"/>
    <s v="2023-06-04"/>
    <s v="CUST029"/>
    <x v="3"/>
    <s v="Laptop"/>
    <s v="Delhi"/>
    <s v="West Bengal"/>
    <x v="0"/>
    <n v="3"/>
    <n v="3545"/>
    <n v="28"/>
    <n v="7657.2"/>
    <n v="7657.2"/>
    <n v="2309769.2599999974"/>
    <n v="3504.9609408194196"/>
    <n v="1671"/>
    <s v="Not Found"/>
    <s v="High Sale"/>
  </r>
  <r>
    <s v="ORD0581"/>
    <s v="2023-06-04"/>
    <s v="CUST175"/>
    <x v="4"/>
    <s v="Sofa"/>
    <s v="Mumbai"/>
    <s v="West Bengal"/>
    <x v="2"/>
    <n v="3"/>
    <n v="3101"/>
    <n v="18"/>
    <n v="7628.46"/>
    <n v="7628.4600000000009"/>
    <n v="2302112.0599999973"/>
    <n v="3498.6505471124578"/>
    <n v="1668"/>
    <s v="Not Found"/>
    <s v="High Sale"/>
  </r>
  <r>
    <s v="ORD0767"/>
    <s v="2023-06-09"/>
    <s v="CUST005"/>
    <x v="2"/>
    <s v="Sofa"/>
    <s v="Kolkata"/>
    <s v="Delhi"/>
    <x v="0"/>
    <n v="4"/>
    <n v="2715"/>
    <n v="30"/>
    <n v="7602"/>
    <n v="7601.9999999999991"/>
    <n v="2294483.5999999973"/>
    <n v="3492.3646879756429"/>
    <n v="1665"/>
    <s v="Not Found"/>
    <s v="High Sale"/>
  </r>
  <r>
    <s v="ORD0007"/>
    <s v="2023-06-19"/>
    <s v="CUST007"/>
    <x v="2"/>
    <s v="Sofa"/>
    <s v="Mumbai"/>
    <s v="Maharashtra"/>
    <x v="3"/>
    <n v="5"/>
    <n v="2081"/>
    <n v="27"/>
    <n v="7595.65"/>
    <n v="7595.65"/>
    <n v="2286881.5999999973"/>
    <n v="3486.0999999999958"/>
    <n v="1661"/>
    <s v="Not Found"/>
    <s v="High Sale"/>
  </r>
  <r>
    <s v="ORD0351"/>
    <s v="2023-12-14"/>
    <s v="CUST289"/>
    <x v="2"/>
    <s v="Sofa"/>
    <s v="Kolkata"/>
    <s v="Karnataka"/>
    <x v="0"/>
    <n v="2"/>
    <n v="3828"/>
    <n v="1"/>
    <n v="7579.44"/>
    <n v="7579.44"/>
    <n v="2279285.9499999974"/>
    <n v="3479.8258778625914"/>
    <n v="1656"/>
    <s v="Not Found"/>
    <s v="High Sale"/>
  </r>
  <r>
    <s v="ORD0805"/>
    <s v="2023-09-22"/>
    <s v="CUST077"/>
    <x v="1"/>
    <s v="Football"/>
    <s v="Chennai"/>
    <s v="Karnataka"/>
    <x v="2"/>
    <n v="2"/>
    <n v="3842"/>
    <n v="2"/>
    <n v="7530.32"/>
    <n v="7530.32"/>
    <n v="2271706.509999997"/>
    <n v="3473.5573547400563"/>
    <n v="1654"/>
    <s v="Not Found"/>
    <s v="High Sale"/>
  </r>
  <r>
    <s v="ORD0376"/>
    <s v="2023-07-05"/>
    <s v="CUST240"/>
    <x v="3"/>
    <s v="Shoes"/>
    <s v="Delhi"/>
    <s v="West Bengal"/>
    <x v="3"/>
    <n v="2"/>
    <n v="4478"/>
    <n v="16"/>
    <n v="7523.04"/>
    <n v="7523.04"/>
    <n v="2264176.1899999976"/>
    <n v="3467.3448545176075"/>
    <n v="1652"/>
    <s v="Not Found"/>
    <s v="High Sale"/>
  </r>
  <r>
    <s v="ORD0198"/>
    <s v="2023-03-12"/>
    <s v="CUST185"/>
    <x v="4"/>
    <s v="Shoes"/>
    <s v="Bangalore"/>
    <s v="West Bengal"/>
    <x v="3"/>
    <n v="5"/>
    <n v="2032"/>
    <n v="26"/>
    <n v="7518.4"/>
    <n v="7518.4"/>
    <n v="2256653.1499999976"/>
    <n v="3461.1244631901804"/>
    <n v="1650"/>
    <s v="Not Found"/>
    <s v="High Sale"/>
  </r>
  <r>
    <s v="ORD0609"/>
    <s v="2023-04-23"/>
    <s v="CUST023"/>
    <x v="3"/>
    <s v="T-Shirt"/>
    <s v="Mumbai"/>
    <s v="Delhi"/>
    <x v="2"/>
    <n v="2"/>
    <n v="4813"/>
    <n v="22"/>
    <n v="7508.28"/>
    <n v="7508.2800000000007"/>
    <n v="2249134.7499999977"/>
    <n v="3454.8920890936984"/>
    <n v="1645"/>
    <s v="Not Found"/>
    <s v="High Sale"/>
  </r>
  <r>
    <s v="ORD0185"/>
    <s v="2023-10-21"/>
    <s v="CUST051"/>
    <x v="4"/>
    <s v="Face Cream"/>
    <s v="Bangalore"/>
    <s v="Tamil Nadu"/>
    <x v="2"/>
    <n v="4"/>
    <n v="2372"/>
    <n v="21"/>
    <n v="7495.52"/>
    <n v="7495.52"/>
    <n v="2241626.4699999979"/>
    <n v="3448.6561076923044"/>
    <n v="1643"/>
    <s v="Not Found"/>
    <s v="High Sale"/>
  </r>
  <r>
    <s v="ORD0193"/>
    <s v="2023-02-04"/>
    <s v="CUST153"/>
    <x v="0"/>
    <s v="Face Cream"/>
    <s v="Kolkata"/>
    <s v="Delhi"/>
    <x v="1"/>
    <n v="3"/>
    <n v="3324"/>
    <n v="25"/>
    <n v="7479"/>
    <n v="7479"/>
    <n v="2234130.9499999988"/>
    <n v="3442.4205701078563"/>
    <n v="1639"/>
    <s v="Not Found"/>
    <s v="High Sale"/>
  </r>
  <r>
    <s v="ORD0022"/>
    <s v="2023-07-13"/>
    <s v="CUST200"/>
    <x v="0"/>
    <s v="T-Shirt"/>
    <s v="Mumbai"/>
    <s v="Karnataka"/>
    <x v="0"/>
    <n v="3"/>
    <n v="2795"/>
    <n v="11"/>
    <n v="7462.65"/>
    <n v="7462.6500000000005"/>
    <n v="2226651.9499999993"/>
    <n v="3436.1912808641964"/>
    <n v="1636"/>
    <s v="Not Found"/>
    <s v="High Sale"/>
  </r>
  <r>
    <s v="ORD0748"/>
    <s v="2023-03-23"/>
    <s v="CUST223"/>
    <x v="2"/>
    <s v="Football"/>
    <s v="Delhi"/>
    <s v="West Bengal"/>
    <x v="1"/>
    <n v="2"/>
    <n v="4386"/>
    <n v="15"/>
    <n v="7456.2"/>
    <n v="7456.2"/>
    <n v="2219189.2999999989"/>
    <n v="3429.9680061823783"/>
    <n v="1633"/>
    <s v="Not Found"/>
    <s v="High Sale"/>
  </r>
  <r>
    <s v="ORD0039"/>
    <s v="2023-03-25"/>
    <s v="CUST294"/>
    <x v="3"/>
    <s v="Football"/>
    <s v="Mumbai"/>
    <s v="Delhi"/>
    <x v="3"/>
    <n v="2"/>
    <n v="3842"/>
    <n v="3"/>
    <n v="7453.48"/>
    <n v="7453.48"/>
    <n v="2211733.0999999996"/>
    <n v="3423.7354489164081"/>
    <n v="1631"/>
    <s v="Not Found"/>
    <s v="High Sale"/>
  </r>
  <r>
    <s v="ORD0282"/>
    <s v="2023-10-16"/>
    <s v="CUST254"/>
    <x v="1"/>
    <s v="Sofa"/>
    <s v="Kolkata"/>
    <s v="Maharashtra"/>
    <x v="1"/>
    <n v="2"/>
    <n v="3899"/>
    <n v="5"/>
    <n v="7408.1"/>
    <n v="7408.0999999999995"/>
    <n v="2204279.6199999992"/>
    <n v="3417.487782945735"/>
    <n v="1629"/>
    <s v="Not Found"/>
    <s v="High Sale"/>
  </r>
  <r>
    <s v="ORD0718"/>
    <s v="2023-02-06"/>
    <s v="CUST009"/>
    <x v="2"/>
    <s v="T-Shirt"/>
    <s v="Mumbai"/>
    <s v="West Bengal"/>
    <x v="2"/>
    <n v="3"/>
    <n v="3380"/>
    <n v="27"/>
    <n v="7402.2"/>
    <n v="7402.2"/>
    <n v="2196871.5199999991"/>
    <n v="3411.2911801242221"/>
    <n v="1627"/>
    <s v="Not Found"/>
    <s v="High Sale"/>
  </r>
  <r>
    <s v="ORD0970"/>
    <s v="2023-04-26"/>
    <s v="CUST251"/>
    <x v="4"/>
    <s v="Sofa"/>
    <s v="Delhi"/>
    <s v="Delhi"/>
    <x v="1"/>
    <n v="2"/>
    <n v="3734"/>
    <n v="1"/>
    <n v="7393.32"/>
    <n v="7393.32"/>
    <n v="2189469.3199999994"/>
    <n v="3405.0844790046644"/>
    <n v="1624"/>
    <s v="Not Found"/>
    <s v="High Sale"/>
  </r>
  <r>
    <s v="ORD0580"/>
    <s v="2023-01-30"/>
    <s v="CUST187"/>
    <x v="0"/>
    <s v="Sofa"/>
    <s v="Delhi"/>
    <s v="West Bengal"/>
    <x v="3"/>
    <n v="3"/>
    <n v="3242"/>
    <n v="24"/>
    <n v="7391.76"/>
    <n v="7391.76"/>
    <n v="2182075.9999999991"/>
    <n v="3398.8722741433007"/>
    <n v="1622"/>
    <s v="Not Found"/>
    <s v="High Sale"/>
  </r>
  <r>
    <s v="ORD0725"/>
    <s v="2023-10-01"/>
    <s v="CUST285"/>
    <x v="3"/>
    <s v="Sofa"/>
    <s v="Kolkata"/>
    <s v="Maharashtra"/>
    <x v="1"/>
    <n v="2"/>
    <n v="3795"/>
    <n v="3"/>
    <n v="7362.3"/>
    <n v="7362.3"/>
    <n v="2174684.2399999988"/>
    <n v="3392.6431201248033"/>
    <n v="1619"/>
    <s v="Not Found"/>
    <s v="High Sale"/>
  </r>
  <r>
    <s v="ORD0082"/>
    <s v="2023-12-11"/>
    <s v="CUST123"/>
    <x v="4"/>
    <s v="Laptop"/>
    <s v="Bangalore"/>
    <s v="Karnataka"/>
    <x v="0"/>
    <n v="2"/>
    <n v="4907"/>
    <n v="25"/>
    <n v="7360.5"/>
    <n v="7360.5"/>
    <n v="2167321.9399999995"/>
    <n v="3386.4405312499994"/>
    <n v="1617"/>
    <s v="Not Found"/>
    <s v="High Sale"/>
  </r>
  <r>
    <s v="ORD0315"/>
    <s v="2023-06-23"/>
    <s v="CUST161"/>
    <x v="1"/>
    <s v="Laptop"/>
    <s v="Kolkata"/>
    <s v="Karnataka"/>
    <x v="1"/>
    <n v="3"/>
    <n v="3358"/>
    <n v="27"/>
    <n v="7354.02"/>
    <n v="7354.0199999999995"/>
    <n v="2159961.439999999"/>
    <n v="3380.2213458528936"/>
    <n v="1615"/>
    <s v="Not Found"/>
    <s v="High Sale"/>
  </r>
  <r>
    <s v="ORD0820"/>
    <s v="2023-02-23"/>
    <s v="CUST007"/>
    <x v="0"/>
    <s v="Shoes"/>
    <s v="Delhi"/>
    <s v="Delhi"/>
    <x v="0"/>
    <n v="5"/>
    <n v="1484"/>
    <n v="1"/>
    <n v="7345.8"/>
    <n v="7345.8"/>
    <n v="2152607.4199999995"/>
    <n v="3373.9928213166136"/>
    <n v="1612"/>
    <s v="Not Found"/>
    <s v="High Sale"/>
  </r>
  <r>
    <s v="ORD0978"/>
    <s v="2023-07-24"/>
    <s v="CUST159"/>
    <x v="4"/>
    <s v="Shoes"/>
    <s v="Chennai"/>
    <s v="Delhi"/>
    <x v="2"/>
    <n v="2"/>
    <n v="4447"/>
    <n v="18"/>
    <n v="7293.08"/>
    <n v="7293.0800000000008"/>
    <n v="2145261.6199999992"/>
    <n v="3367.7576452119297"/>
    <n v="1607"/>
    <s v="Not Found"/>
    <s v="High Sale"/>
  </r>
  <r>
    <s v="ORD0303"/>
    <s v="2023-10-09"/>
    <s v="CUST162"/>
    <x v="3"/>
    <s v="Shoes"/>
    <s v="Mumbai"/>
    <s v="Karnataka"/>
    <x v="3"/>
    <n v="2"/>
    <n v="4734"/>
    <n v="23"/>
    <n v="7290.36"/>
    <n v="7290.3600000000006"/>
    <n v="2137968.5399999991"/>
    <n v="3361.5857547169799"/>
    <n v="1605"/>
    <s v="Not Found"/>
    <s v="High Sale"/>
  </r>
  <r>
    <s v="ORD0307"/>
    <s v="2023-12-15"/>
    <s v="CUST122"/>
    <x v="0"/>
    <s v="Shoes"/>
    <s v="Chennai"/>
    <s v="Tamil Nadu"/>
    <x v="3"/>
    <n v="4"/>
    <n v="1980"/>
    <n v="8"/>
    <n v="7286.4"/>
    <n v="7286.4000000000005"/>
    <n v="2130678.1799999997"/>
    <n v="3355.398708661417"/>
    <n v="1603"/>
    <s v="Not Found"/>
    <s v="High Sale"/>
  </r>
  <r>
    <s v="ORD0503"/>
    <s v="2023-04-22"/>
    <s v="CUST204"/>
    <x v="3"/>
    <s v="Shoes"/>
    <s v="Delhi"/>
    <s v="Maharashtra"/>
    <x v="2"/>
    <n v="3"/>
    <n v="2549"/>
    <n v="5"/>
    <n v="7264.65"/>
    <n v="7264.65"/>
    <n v="2123391.7800000003"/>
    <n v="3349.1983911671928"/>
    <n v="1599"/>
    <s v="Not Found"/>
    <s v="High Sale"/>
  </r>
  <r>
    <s v="ORD0841"/>
    <s v="2023-07-20"/>
    <s v="CUST108"/>
    <x v="0"/>
    <s v="Face Cream"/>
    <s v="Delhi"/>
    <s v="Delhi"/>
    <x v="2"/>
    <n v="2"/>
    <n v="3666"/>
    <n v="1"/>
    <n v="7258.68"/>
    <n v="7258.68"/>
    <n v="2116127.1300000018"/>
    <n v="3343.0128436018986"/>
    <n v="1596"/>
    <s v="Not Found"/>
    <s v="High Sale"/>
  </r>
  <r>
    <s v="ORD0347"/>
    <s v="2023-05-31"/>
    <s v="CUST050"/>
    <x v="3"/>
    <s v="Shoes"/>
    <s v="Bangalore"/>
    <s v="Maharashtra"/>
    <x v="1"/>
    <n v="3"/>
    <n v="3238"/>
    <n v="26"/>
    <n v="7188.36"/>
    <n v="7188.36"/>
    <n v="2108868.4500000011"/>
    <n v="3336.8171677215209"/>
    <n v="1594"/>
    <s v="Not Found"/>
    <s v="High Sale"/>
  </r>
  <r>
    <s v="ORD0150"/>
    <s v="2023-10-10"/>
    <s v="CUST005"/>
    <x v="0"/>
    <s v="Sofa"/>
    <s v="Bangalore"/>
    <s v="Delhi"/>
    <x v="0"/>
    <n v="2"/>
    <n v="4130"/>
    <n v="13"/>
    <n v="7186.2"/>
    <n v="7186.2"/>
    <n v="2101680.0900000012"/>
    <n v="3330.7132963549939"/>
    <n v="1591"/>
    <s v="Not Found"/>
    <s v="High Sale"/>
  </r>
  <r>
    <s v="ORD0999"/>
    <s v="2023-12-14"/>
    <s v="CUST032"/>
    <x v="0"/>
    <s v="Face Cream"/>
    <s v="Delhi"/>
    <s v="West Bengal"/>
    <x v="2"/>
    <n v="4"/>
    <n v="2553"/>
    <n v="30"/>
    <n v="7148.4"/>
    <n v="7148.4"/>
    <n v="2094493.8900000006"/>
    <n v="3324.5934761904773"/>
    <n v="1589"/>
    <s v="Not Found"/>
    <s v="High Sale"/>
  </r>
  <r>
    <s v="ORD0508"/>
    <s v="2023-10-07"/>
    <s v="CUST260"/>
    <x v="4"/>
    <s v="Mobile"/>
    <s v="Delhi"/>
    <s v="Maharashtra"/>
    <x v="0"/>
    <n v="3"/>
    <n v="2833"/>
    <n v="16"/>
    <n v="7139.16"/>
    <n v="7139.16"/>
    <n v="2087345.4900000007"/>
    <n v="3318.5142925278228"/>
    <n v="1585"/>
    <s v="Not Found"/>
    <s v="High Sale"/>
  </r>
  <r>
    <s v="ORD0982"/>
    <s v="2023-12-29"/>
    <s v="CUST300"/>
    <x v="2"/>
    <s v="Football"/>
    <s v="Delhi"/>
    <s v="Delhi"/>
    <x v="0"/>
    <n v="2"/>
    <n v="4046"/>
    <n v="12"/>
    <n v="7120.96"/>
    <n v="7120.96"/>
    <n v="2080206.3300000008"/>
    <n v="3312.4304617834409"/>
    <n v="1582"/>
    <s v="Not Found"/>
    <s v="High Sale"/>
  </r>
  <r>
    <s v="ORD0839"/>
    <s v="2023-01-15"/>
    <s v="CUST247"/>
    <x v="3"/>
    <s v="Football"/>
    <s v="Kolkata"/>
    <s v="West Bengal"/>
    <x v="1"/>
    <n v="4"/>
    <n v="2064"/>
    <n v="14"/>
    <n v="7100.16"/>
    <n v="7100.16"/>
    <n v="2073085.3700000006"/>
    <n v="3306.3562519936213"/>
    <n v="1580"/>
    <s v="Not Found"/>
    <s v="High Sale"/>
  </r>
  <r>
    <s v="ORD0854"/>
    <s v="2023-01-10"/>
    <s v="CUST166"/>
    <x v="2"/>
    <s v="T-Shirt"/>
    <s v="Mumbai"/>
    <s v="Delhi"/>
    <x v="1"/>
    <n v="4"/>
    <n v="1792"/>
    <n v="1"/>
    <n v="7096.32"/>
    <n v="7096.32"/>
    <n v="2065985.2100000007"/>
    <n v="3300.2958626198092"/>
    <n v="1576"/>
    <s v="Not Found"/>
    <s v="High Sale"/>
  </r>
  <r>
    <s v="ORD0672"/>
    <s v="2023-07-09"/>
    <s v="CUST084"/>
    <x v="2"/>
    <s v="T-Shirt"/>
    <s v="Kolkata"/>
    <s v="Karnataka"/>
    <x v="2"/>
    <n v="5"/>
    <n v="1994"/>
    <n v="29"/>
    <n v="7078.7"/>
    <n v="7078.7"/>
    <n v="2058888.8900000006"/>
    <n v="3294.222224000001"/>
    <n v="1572"/>
    <s v="Not Found"/>
    <s v="High Sale"/>
  </r>
  <r>
    <s v="ORD0916"/>
    <s v="2023-05-27"/>
    <s v="CUST185"/>
    <x v="3"/>
    <s v="Football"/>
    <s v="Kolkata"/>
    <s v="West Bengal"/>
    <x v="0"/>
    <n v="2"/>
    <n v="3570"/>
    <n v="1"/>
    <n v="7068.6"/>
    <n v="7068.6"/>
    <n v="2051810.1900000006"/>
    <n v="3288.1573557692318"/>
    <n v="1567"/>
    <s v="Not Found"/>
    <s v="High Sale"/>
  </r>
  <r>
    <s v="ORD0782"/>
    <s v="2023-03-11"/>
    <s v="CUST033"/>
    <x v="4"/>
    <s v="T-Shirt"/>
    <s v="Mumbai"/>
    <s v="Tamil Nadu"/>
    <x v="3"/>
    <n v="3"/>
    <n v="3054"/>
    <n v="23"/>
    <n v="7054.74"/>
    <n v="7054.74"/>
    <n v="2044741.5900000008"/>
    <n v="3282.0892295345116"/>
    <n v="1565"/>
    <s v="Not Found"/>
    <s v="High Sale"/>
  </r>
  <r>
    <s v="ORD0027"/>
    <s v="2023-02-26"/>
    <s v="CUST085"/>
    <x v="3"/>
    <s v="Shoes"/>
    <s v="Kolkata"/>
    <s v="Maharashtra"/>
    <x v="3"/>
    <n v="2"/>
    <n v="3875"/>
    <n v="9"/>
    <n v="7052.5"/>
    <n v="7052.5"/>
    <n v="2037686.8500000008"/>
    <n v="3276.0238745980719"/>
    <n v="1562"/>
    <s v="Not Found"/>
    <s v="High Sale"/>
  </r>
  <r>
    <s v="ORD0374"/>
    <s v="2023-05-26"/>
    <s v="CUST111"/>
    <x v="4"/>
    <s v="Football"/>
    <s v="Kolkata"/>
    <s v="West Bengal"/>
    <x v="1"/>
    <n v="5"/>
    <n v="1550"/>
    <n v="9"/>
    <n v="7052.5"/>
    <n v="7052.5"/>
    <n v="2030634.3500000006"/>
    <n v="3269.9425925925934"/>
    <n v="1560"/>
    <s v="Not Found"/>
    <s v="High Sale"/>
  </r>
  <r>
    <s v="ORD0677"/>
    <s v="2023-01-25"/>
    <s v="CUST282"/>
    <x v="3"/>
    <s v="Mobile"/>
    <s v="Kolkata"/>
    <s v="Karnataka"/>
    <x v="1"/>
    <n v="5"/>
    <n v="1451"/>
    <n v="3"/>
    <n v="7037.35"/>
    <n v="7037.3499999999995"/>
    <n v="2023581.8500000008"/>
    <n v="3263.8416935483883"/>
    <n v="1555"/>
    <s v="Not Found"/>
    <s v="High Sale"/>
  </r>
  <r>
    <s v="ORD0799"/>
    <s v="2023-08-21"/>
    <s v="CUST242"/>
    <x v="2"/>
    <s v="Mobile"/>
    <s v="Delhi"/>
    <s v="Karnataka"/>
    <x v="3"/>
    <n v="3"/>
    <n v="2918"/>
    <n v="20"/>
    <n v="7003.2"/>
    <n v="7003.2000000000007"/>
    <n v="2016544.5000000005"/>
    <n v="3257.7455573505663"/>
    <n v="1550"/>
    <s v="Not Found"/>
    <s v="High Sale"/>
  </r>
  <r>
    <s v="ORD0491"/>
    <s v="2023-02-01"/>
    <s v="CUST279"/>
    <x v="2"/>
    <s v="Mobile"/>
    <s v="Chennai"/>
    <s v="Maharashtra"/>
    <x v="2"/>
    <n v="4"/>
    <n v="2181"/>
    <n v="20"/>
    <n v="6979.2"/>
    <n v="6979.2000000000007"/>
    <n v="2009541.3000000005"/>
    <n v="3251.6849514563114"/>
    <n v="1547"/>
    <s v="Not Found"/>
    <s v="High Sale"/>
  </r>
  <r>
    <s v="ORD0740"/>
    <s v="2023-06-27"/>
    <s v="CUST117"/>
    <x v="4"/>
    <s v="T-Shirt"/>
    <s v="Bangalore"/>
    <s v="Karnataka"/>
    <x v="3"/>
    <n v="5"/>
    <n v="1566"/>
    <n v="11"/>
    <n v="6968.7"/>
    <n v="6968.7"/>
    <n v="2002562.1000000006"/>
    <n v="3245.6435980551064"/>
    <n v="1543"/>
    <s v="Not Found"/>
    <s v="High Sale"/>
  </r>
  <r>
    <s v="ORD0026"/>
    <s v="2023-07-16"/>
    <s v="CUST020"/>
    <x v="4"/>
    <s v="Football"/>
    <s v="Chennai"/>
    <s v="Tamil Nadu"/>
    <x v="0"/>
    <n v="5"/>
    <n v="1933"/>
    <n v="28"/>
    <n v="6958.8"/>
    <n v="6958.8"/>
    <n v="1995593.4000000004"/>
    <n v="3239.5996753246759"/>
    <n v="1538"/>
    <s v="Not Found"/>
    <s v="High Sale"/>
  </r>
  <r>
    <s v="ORD0086"/>
    <s v="2023-06-13"/>
    <s v="CUST063"/>
    <x v="4"/>
    <s v="Sofa"/>
    <s v="Bangalore"/>
    <s v="Tamil Nadu"/>
    <x v="3"/>
    <n v="2"/>
    <n v="4294"/>
    <n v="19"/>
    <n v="6956.28"/>
    <n v="6956.2800000000007"/>
    <n v="1988634.6000000003"/>
    <n v="3233.5521951219516"/>
    <n v="1533"/>
    <s v="Not Found"/>
    <s v="High Sale"/>
  </r>
  <r>
    <s v="ORD0110"/>
    <s v="2023-12-08"/>
    <s v="CUST175"/>
    <x v="3"/>
    <s v="Laptop"/>
    <s v="Delhi"/>
    <s v="West Bengal"/>
    <x v="1"/>
    <n v="4"/>
    <n v="1750"/>
    <n v="1"/>
    <n v="6930"/>
    <n v="6930"/>
    <n v="1981678.3200000003"/>
    <n v="3227.4891205211729"/>
    <n v="1531"/>
    <s v="Not Found"/>
    <s v="High Sale"/>
  </r>
  <r>
    <s v="ORD0868"/>
    <s v="2023-04-24"/>
    <s v="CUST284"/>
    <x v="0"/>
    <s v="Mobile"/>
    <s v="Bangalore"/>
    <s v="Delhi"/>
    <x v="0"/>
    <n v="2"/>
    <n v="4172"/>
    <n v="17"/>
    <n v="6925.52"/>
    <n v="6925.5199999999995"/>
    <n v="1974748.3200000003"/>
    <n v="3221.4491353996741"/>
    <n v="1527"/>
    <s v="Not Found"/>
    <s v="High Sale"/>
  </r>
  <r>
    <s v="ORD0255"/>
    <s v="2023-04-23"/>
    <s v="CUST160"/>
    <x v="3"/>
    <s v="Football"/>
    <s v="Chennai"/>
    <s v="Karnataka"/>
    <x v="0"/>
    <n v="3"/>
    <n v="2998"/>
    <n v="23"/>
    <n v="6925.38"/>
    <n v="6925.38"/>
    <n v="1967822.8000000003"/>
    <n v="3215.396732026144"/>
    <n v="1525"/>
    <s v="Not Found"/>
    <s v="High Sale"/>
  </r>
  <r>
    <s v="ORD0849"/>
    <s v="2023-11-04"/>
    <s v="CUST121"/>
    <x v="1"/>
    <s v="Mobile"/>
    <s v="Bangalore"/>
    <s v="Karnataka"/>
    <x v="1"/>
    <n v="3"/>
    <n v="2995"/>
    <n v="24"/>
    <n v="6828.6"/>
    <n v="6828.6"/>
    <n v="1960897.4200000004"/>
    <n v="3209.324746317513"/>
    <n v="1522"/>
    <s v="Not Found"/>
    <s v="High Sale"/>
  </r>
  <r>
    <s v="ORD0373"/>
    <s v="2023-09-05"/>
    <s v="CUST279"/>
    <x v="2"/>
    <s v="Face Cream"/>
    <s v="Delhi"/>
    <s v="Karnataka"/>
    <x v="2"/>
    <n v="5"/>
    <n v="1773"/>
    <n v="23"/>
    <n v="6826.05"/>
    <n v="6826.05"/>
    <n v="1954068.8200000003"/>
    <n v="3203.3915081967216"/>
    <n v="1519"/>
    <s v="Not Found"/>
    <s v="High Sale"/>
  </r>
  <r>
    <s v="ORD0107"/>
    <s v="2023-09-26"/>
    <s v="CUST269"/>
    <x v="1"/>
    <s v="Laptop"/>
    <s v="Mumbai"/>
    <s v="Tamil Nadu"/>
    <x v="1"/>
    <n v="2"/>
    <n v="3518"/>
    <n v="3"/>
    <n v="6824.92"/>
    <n v="6824.92"/>
    <n v="1947242.7700000003"/>
    <n v="3197.4429720853864"/>
    <n v="1514"/>
    <s v="Not Found"/>
    <s v="High Sale"/>
  </r>
  <r>
    <s v="ORD0981"/>
    <s v="2023-10-23"/>
    <s v="CUST299"/>
    <x v="2"/>
    <s v="Laptop"/>
    <s v="Delhi"/>
    <s v="Delhi"/>
    <x v="2"/>
    <n v="2"/>
    <n v="4205"/>
    <n v="19"/>
    <n v="6812.1"/>
    <n v="6812.1"/>
    <n v="1940417.8500000003"/>
    <n v="3191.4767269736849"/>
    <n v="1512"/>
    <s v="Not Found"/>
    <s v="High Sale"/>
  </r>
  <r>
    <s v="ORD0912"/>
    <s v="2023-08-04"/>
    <s v="CUST221"/>
    <x v="1"/>
    <s v="Football"/>
    <s v="Kolkata"/>
    <s v="Delhi"/>
    <x v="2"/>
    <n v="3"/>
    <n v="2519"/>
    <n v="10"/>
    <n v="6801.3"/>
    <n v="6801.3"/>
    <n v="1933605.7500000002"/>
    <n v="3185.5119439868208"/>
    <n v="1510"/>
    <s v="Not Found"/>
    <s v="High Sale"/>
  </r>
  <r>
    <s v="ORD0228"/>
    <s v="2023-12-21"/>
    <s v="CUST062"/>
    <x v="3"/>
    <s v="Football"/>
    <s v="Chennai"/>
    <s v="West Bengal"/>
    <x v="1"/>
    <n v="2"/>
    <n v="3784"/>
    <n v="11"/>
    <n v="6735.52"/>
    <n v="6735.52"/>
    <n v="1926804.4500000002"/>
    <n v="3179.5452970297033"/>
    <n v="1507"/>
    <s v="Not Found"/>
    <s v="High Sale"/>
  </r>
  <r>
    <s v="ORD0360"/>
    <s v="2023-02-25"/>
    <s v="CUST038"/>
    <x v="3"/>
    <s v="Football"/>
    <s v="Mumbai"/>
    <s v="Tamil Nadu"/>
    <x v="1"/>
    <n v="3"/>
    <n v="2837"/>
    <n v="21"/>
    <n v="6723.69"/>
    <n v="6723.6900000000005"/>
    <n v="1920068.9300000002"/>
    <n v="3173.6676528925623"/>
    <n v="1505"/>
    <s v="Not Found"/>
    <s v="High Sale"/>
  </r>
  <r>
    <s v="ORD0029"/>
    <s v="2023-05-18"/>
    <s v="CUST046"/>
    <x v="1"/>
    <s v="Face Cream"/>
    <s v="Chennai"/>
    <s v="Tamil Nadu"/>
    <x v="0"/>
    <n v="2"/>
    <n v="4666"/>
    <n v="28"/>
    <n v="6719.04"/>
    <n v="6719.04"/>
    <n v="1913345.2400000002"/>
    <n v="3167.7901324503314"/>
    <n v="1502"/>
    <s v="Not Found"/>
    <s v="High Sale"/>
  </r>
  <r>
    <s v="ORD0420"/>
    <s v="2023-01-03"/>
    <s v="CUST034"/>
    <x v="0"/>
    <s v="Laptop"/>
    <s v="Mumbai"/>
    <s v="Delhi"/>
    <x v="2"/>
    <n v="2"/>
    <n v="4141"/>
    <n v="19"/>
    <n v="6708.42"/>
    <n v="6708.42"/>
    <n v="1906626.2000000004"/>
    <n v="3161.900829187397"/>
    <n v="1500"/>
    <s v="Not Found"/>
    <s v="High Sale"/>
  </r>
  <r>
    <s v="ORD0141"/>
    <s v="2023-05-05"/>
    <s v="CUST011"/>
    <x v="1"/>
    <s v="Shoes"/>
    <s v="Mumbai"/>
    <s v="Delhi"/>
    <x v="1"/>
    <n v="4"/>
    <n v="1741"/>
    <n v="4"/>
    <n v="6685.44"/>
    <n v="6685.44"/>
    <n v="1899917.7800000005"/>
    <n v="3156.0096013289044"/>
    <n v="1498"/>
    <s v="Not Found"/>
    <s v="High Sale"/>
  </r>
  <r>
    <s v="ORD0913"/>
    <s v="2023-03-18"/>
    <s v="CUST031"/>
    <x v="0"/>
    <s v="Shoes"/>
    <s v="Kolkata"/>
    <s v="West Bengal"/>
    <x v="3"/>
    <n v="4"/>
    <n v="1866"/>
    <n v="11"/>
    <n v="6642.96"/>
    <n v="6642.96"/>
    <n v="1893232.3400000005"/>
    <n v="3150.1370049916814"/>
    <n v="1494"/>
    <s v="Not Found"/>
    <s v="High Sale"/>
  </r>
  <r>
    <s v="ORD0305"/>
    <s v="2023-09-14"/>
    <s v="CUST248"/>
    <x v="0"/>
    <s v="Football"/>
    <s v="Chennai"/>
    <s v="Tamil Nadu"/>
    <x v="1"/>
    <n v="5"/>
    <n v="1562"/>
    <n v="15"/>
    <n v="6638.5"/>
    <n v="6638.5"/>
    <n v="1886589.3800000006"/>
    <n v="3144.3156333333345"/>
    <n v="1490"/>
    <s v="Not Found"/>
    <s v="High Sale"/>
  </r>
  <r>
    <s v="ORD0845"/>
    <s v="2023-06-21"/>
    <s v="CUST033"/>
    <x v="0"/>
    <s v="Football"/>
    <s v="Delhi"/>
    <s v="Karnataka"/>
    <x v="0"/>
    <n v="3"/>
    <n v="2270"/>
    <n v="3"/>
    <n v="6605.7"/>
    <n v="6605.7"/>
    <n v="1879950.8800000006"/>
    <n v="3138.4822704507524"/>
    <n v="1485"/>
    <s v="Not Found"/>
    <s v="High Sale"/>
  </r>
  <r>
    <s v="ORD0199"/>
    <s v="2023-07-13"/>
    <s v="CUST190"/>
    <x v="4"/>
    <s v="T-Shirt"/>
    <s v="Mumbai"/>
    <s v="Karnataka"/>
    <x v="0"/>
    <n v="2"/>
    <n v="3767"/>
    <n v="13"/>
    <n v="6554.58"/>
    <n v="6554.58"/>
    <n v="1873345.1800000006"/>
    <n v="3132.6842474916398"/>
    <n v="1482"/>
    <s v="Not Found"/>
    <s v="High Sale"/>
  </r>
  <r>
    <s v="ORD0512"/>
    <s v="2023-04-19"/>
    <s v="CUST125"/>
    <x v="1"/>
    <s v="Football"/>
    <s v="Bangalore"/>
    <s v="West Bengal"/>
    <x v="0"/>
    <n v="4"/>
    <n v="2152"/>
    <n v="24"/>
    <n v="6542.08"/>
    <n v="6542.08"/>
    <n v="1866790.6000000008"/>
    <n v="3126.9524288107218"/>
    <n v="1480"/>
    <s v="Not Found"/>
    <s v="High Sale"/>
  </r>
  <r>
    <s v="ORD0714"/>
    <s v="2023-08-09"/>
    <s v="CUST023"/>
    <x v="4"/>
    <s v="Shoes"/>
    <s v="Bangalore"/>
    <s v="Karnataka"/>
    <x v="0"/>
    <n v="3"/>
    <n v="2982"/>
    <n v="27"/>
    <n v="6530.58"/>
    <n v="6530.58"/>
    <n v="1860248.5200000009"/>
    <n v="3121.2223489932903"/>
    <n v="1476"/>
    <s v="Not Found"/>
    <s v="High Sale"/>
  </r>
  <r>
    <s v="ORD0685"/>
    <s v="2023-10-31"/>
    <s v="CUST123"/>
    <x v="2"/>
    <s v="Mobile"/>
    <s v="Mumbai"/>
    <s v="Tamil Nadu"/>
    <x v="3"/>
    <n v="3"/>
    <n v="2585"/>
    <n v="16"/>
    <n v="6514.2"/>
    <n v="6514.2"/>
    <n v="1853717.9400000011"/>
    <n v="3115.4923361344559"/>
    <n v="1473"/>
    <s v="Not Found"/>
    <s v="High Sale"/>
  </r>
  <r>
    <s v="ORD0312"/>
    <s v="2023-03-02"/>
    <s v="CUST006"/>
    <x v="1"/>
    <s v="Football"/>
    <s v="Bangalore"/>
    <s v="West Bengal"/>
    <x v="2"/>
    <n v="2"/>
    <n v="3870"/>
    <n v="16"/>
    <n v="6501.6"/>
    <n v="6501.5999999999995"/>
    <n v="1847203.7400000012"/>
    <n v="3109.7706060606079"/>
    <n v="1470"/>
    <s v="Not Found"/>
    <s v="High Sale"/>
  </r>
  <r>
    <s v="ORD0030"/>
    <s v="2023-04-09"/>
    <s v="CUST258"/>
    <x v="0"/>
    <s v="Mobile"/>
    <s v="Delhi"/>
    <s v="West Bengal"/>
    <x v="0"/>
    <n v="5"/>
    <n v="1645"/>
    <n v="21"/>
    <n v="6497.75"/>
    <n v="6497.75"/>
    <n v="1840702.1400000011"/>
    <n v="3104.050826306916"/>
    <n v="1468"/>
    <s v="Not Found"/>
    <s v="High Sale"/>
  </r>
  <r>
    <s v="ORD0579"/>
    <s v="2023-07-14"/>
    <s v="CUST006"/>
    <x v="4"/>
    <s v="Mobile"/>
    <s v="Delhi"/>
    <s v="Karnataka"/>
    <x v="1"/>
    <n v="5"/>
    <n v="1488"/>
    <n v="13"/>
    <n v="6472.8"/>
    <n v="6472.8"/>
    <n v="1834204.3900000011"/>
    <n v="3098.3182263513531"/>
    <n v="1463"/>
    <s v="Not Found"/>
    <s v="High Sale"/>
  </r>
  <r>
    <s v="ORD0894"/>
    <s v="2023-03-04"/>
    <s v="CUST035"/>
    <x v="1"/>
    <s v="Laptop"/>
    <s v="Delhi"/>
    <s v="Delhi"/>
    <x v="0"/>
    <n v="2"/>
    <n v="3233"/>
    <n v="0"/>
    <n v="6466"/>
    <n v="6466"/>
    <n v="1827731.5900000012"/>
    <n v="3092.6084433164151"/>
    <n v="1458"/>
    <s v="Not Found"/>
    <s v="High Sale"/>
  </r>
  <r>
    <s v="ORD0527"/>
    <s v="2023-06-24"/>
    <s v="CUST289"/>
    <x v="0"/>
    <s v="Face Cream"/>
    <s v="Chennai"/>
    <s v="West Bengal"/>
    <x v="2"/>
    <n v="2"/>
    <n v="3501"/>
    <n v="8"/>
    <n v="6441.84"/>
    <n v="6441.84"/>
    <n v="1821265.5900000012"/>
    <n v="3086.8908305084765"/>
    <n v="1456"/>
    <s v="Not Found"/>
    <s v="High Sale"/>
  </r>
  <r>
    <s v="ORD0058"/>
    <s v="2023-04-25"/>
    <s v="CUST262"/>
    <x v="2"/>
    <s v="Mobile"/>
    <s v="Kolkata"/>
    <s v="Delhi"/>
    <x v="3"/>
    <n v="2"/>
    <n v="4120"/>
    <n v="22"/>
    <n v="6427.2"/>
    <n v="6427.2"/>
    <n v="1814823.7500000014"/>
    <n v="3081.1948217317513"/>
    <n v="1454"/>
    <s v="Not Found"/>
    <s v="High Sale"/>
  </r>
  <r>
    <s v="ORD0696"/>
    <s v="2023-03-01"/>
    <s v="CUST021"/>
    <x v="2"/>
    <s v="Face Cream"/>
    <s v="Delhi"/>
    <s v="Delhi"/>
    <x v="0"/>
    <n v="3"/>
    <n v="2275"/>
    <n v="6"/>
    <n v="6415.5"/>
    <n v="6415.5"/>
    <n v="1808396.5500000012"/>
    <n v="3075.5043367346962"/>
    <n v="1452"/>
    <s v="Not Found"/>
    <s v="High Sale"/>
  </r>
  <r>
    <s v="ORD0884"/>
    <s v="2023-04-17"/>
    <s v="CUST151"/>
    <x v="0"/>
    <s v="Laptop"/>
    <s v="Kolkata"/>
    <s v="Tamil Nadu"/>
    <x v="1"/>
    <n v="2"/>
    <n v="4100"/>
    <n v="22"/>
    <n v="6396"/>
    <n v="6396"/>
    <n v="1801981.0500000017"/>
    <n v="3069.8143952299856"/>
    <n v="1449"/>
    <s v="Not Found"/>
    <s v="High Sale"/>
  </r>
  <r>
    <s v="ORD0781"/>
    <s v="2023-02-16"/>
    <s v="CUST267"/>
    <x v="4"/>
    <s v="Mobile"/>
    <s v="Bangalore"/>
    <s v="Karnataka"/>
    <x v="3"/>
    <n v="4"/>
    <n v="2042"/>
    <n v="22"/>
    <n v="6371.04"/>
    <n v="6371.04"/>
    <n v="1795585.0500000017"/>
    <n v="3064.1383105802074"/>
    <n v="1447"/>
    <s v="Not Found"/>
    <s v="High Sale"/>
  </r>
  <r>
    <s v="ORD0539"/>
    <s v="2023-10-22"/>
    <s v="CUST027"/>
    <x v="1"/>
    <s v="Mobile"/>
    <s v="Delhi"/>
    <s v="Maharashtra"/>
    <x v="0"/>
    <n v="2"/>
    <n v="3315"/>
    <n v="4"/>
    <n v="6364.8"/>
    <n v="6364.8"/>
    <n v="1789214.0100000016"/>
    <n v="3058.4854871794901"/>
    <n v="1443"/>
    <s v="Not Found"/>
    <s v="High Sale"/>
  </r>
  <r>
    <s v="ORD0206"/>
    <s v="2023-11-11"/>
    <s v="CUST071"/>
    <x v="2"/>
    <s v="T-Shirt"/>
    <s v="Delhi"/>
    <s v="Tamil Nadu"/>
    <x v="2"/>
    <n v="3"/>
    <n v="2718"/>
    <n v="22"/>
    <n v="6360.12"/>
    <n v="6360.12"/>
    <n v="1782849.2100000018"/>
    <n v="3052.8239897260305"/>
    <n v="1441"/>
    <s v="Not Found"/>
    <s v="High Sale"/>
  </r>
  <r>
    <s v="ORD0732"/>
    <s v="2023-04-12"/>
    <s v="CUST293"/>
    <x v="4"/>
    <s v="Mobile"/>
    <s v="Delhi"/>
    <s v="Maharashtra"/>
    <x v="3"/>
    <n v="2"/>
    <n v="3521"/>
    <n v="10"/>
    <n v="6337.8"/>
    <n v="6337.8"/>
    <n v="1776489.0900000015"/>
    <n v="3047.1510977701569"/>
    <n v="1438"/>
    <s v="Not Found"/>
    <s v="High Sale"/>
  </r>
  <r>
    <s v="ORD0028"/>
    <s v="2023-12-22"/>
    <s v="CUST202"/>
    <x v="1"/>
    <s v="T-Shirt"/>
    <s v="Chennai"/>
    <s v="West Bengal"/>
    <x v="2"/>
    <n v="4"/>
    <n v="2139"/>
    <n v="26"/>
    <n v="6331.44"/>
    <n v="6331.44"/>
    <n v="1770151.2900000014"/>
    <n v="3041.4970618556727"/>
    <n v="1436"/>
    <s v="Not Found"/>
    <s v="High Sale"/>
  </r>
  <r>
    <s v="ORD0157"/>
    <s v="2023-04-29"/>
    <s v="CUST139"/>
    <x v="2"/>
    <s v="Football"/>
    <s v="Chennai"/>
    <s v="Tamil Nadu"/>
    <x v="1"/>
    <n v="5"/>
    <n v="1730"/>
    <n v="27"/>
    <n v="6314.5"/>
    <n v="6314.5"/>
    <n v="1763819.8500000015"/>
    <n v="3035.8345094664396"/>
    <n v="1432"/>
    <s v="Not Found"/>
    <s v="High Sale"/>
  </r>
  <r>
    <s v="ORD0378"/>
    <s v="2023-05-08"/>
    <s v="CUST045"/>
    <x v="2"/>
    <s v="Laptop"/>
    <s v="Delhi"/>
    <s v="Karnataka"/>
    <x v="3"/>
    <n v="2"/>
    <n v="4154"/>
    <n v="24"/>
    <n v="6314.08"/>
    <n v="6314.08"/>
    <n v="1757505.3500000015"/>
    <n v="3030.1816379310371"/>
    <n v="1427"/>
    <s v="Not Found"/>
    <s v="High Sale"/>
  </r>
  <r>
    <s v="ORD0418"/>
    <s v="2023-04-25"/>
    <s v="CUST113"/>
    <x v="4"/>
    <s v="Shoes"/>
    <s v="Bangalore"/>
    <s v="Maharashtra"/>
    <x v="3"/>
    <n v="2"/>
    <n v="3623"/>
    <n v="13"/>
    <n v="6304.02"/>
    <n v="6304.0199999999995"/>
    <n v="1751191.2700000014"/>
    <n v="3024.5099654576879"/>
    <n v="1425"/>
    <s v="Not Found"/>
    <s v="High Sale"/>
  </r>
  <r>
    <s v="ORD0607"/>
    <s v="2023-12-31"/>
    <s v="CUST230"/>
    <x v="2"/>
    <s v="T-Shirt"/>
    <s v="Delhi"/>
    <s v="Karnataka"/>
    <x v="3"/>
    <n v="5"/>
    <n v="1773"/>
    <n v="29"/>
    <n v="6294.15"/>
    <n v="6294.15"/>
    <n v="1744887.2500000014"/>
    <n v="3018.8360726643623"/>
    <n v="1423"/>
    <s v="Not Found"/>
    <s v="High Sale"/>
  </r>
  <r>
    <s v="ORD0644"/>
    <s v="2023-11-06"/>
    <s v="CUST246"/>
    <x v="2"/>
    <s v="Face Cream"/>
    <s v="Kolkata"/>
    <s v="Karnataka"/>
    <x v="3"/>
    <n v="3"/>
    <n v="2204"/>
    <n v="5"/>
    <n v="6281.4"/>
    <n v="6281.4"/>
    <n v="1738593.1000000013"/>
    <n v="3013.1596187175064"/>
    <n v="1418"/>
    <s v="Not Found"/>
    <s v="High Sale"/>
  </r>
  <r>
    <s v="ORD0818"/>
    <s v="2023-01-02"/>
    <s v="CUST296"/>
    <x v="1"/>
    <s v="Shoes"/>
    <s v="Mumbai"/>
    <s v="Karnataka"/>
    <x v="1"/>
    <n v="4"/>
    <n v="1847"/>
    <n v="15"/>
    <n v="6279.8"/>
    <n v="6279.8"/>
    <n v="1732311.7000000014"/>
    <n v="3007.4855902777799"/>
    <n v="1415"/>
    <s v="Not Found"/>
    <s v="High Sale"/>
  </r>
  <r>
    <s v="ORD0414"/>
    <s v="2023-12-01"/>
    <s v="CUST246"/>
    <x v="1"/>
    <s v="Face Cream"/>
    <s v="Mumbai"/>
    <s v="Delhi"/>
    <x v="3"/>
    <n v="2"/>
    <n v="3305"/>
    <n v="5"/>
    <n v="6279.5"/>
    <n v="6279.5"/>
    <n v="1726031.9000000013"/>
    <n v="3001.7946086956545"/>
    <n v="1411"/>
    <s v="Not Found"/>
    <s v="High Sale"/>
  </r>
  <r>
    <s v="ORD0196"/>
    <s v="2023-10-11"/>
    <s v="CUST194"/>
    <x v="3"/>
    <s v="T-Shirt"/>
    <s v="Kolkata"/>
    <s v="Maharashtra"/>
    <x v="3"/>
    <n v="4"/>
    <n v="1762"/>
    <n v="11"/>
    <n v="6272.72"/>
    <n v="6272.72"/>
    <n v="1719752.4000000013"/>
    <n v="2996.0843205574934"/>
    <n v="1409"/>
    <s v="Not Found"/>
    <s v="High Sale"/>
  </r>
  <r>
    <s v="ORD0115"/>
    <s v="2023-03-26"/>
    <s v="CUST213"/>
    <x v="4"/>
    <s v="Face Cream"/>
    <s v="Delhi"/>
    <s v="Karnataka"/>
    <x v="2"/>
    <n v="3"/>
    <n v="2811"/>
    <n v="26"/>
    <n v="6240.42"/>
    <n v="6240.42"/>
    <n v="1713479.6800000016"/>
    <n v="2990.3659336823762"/>
    <n v="1405"/>
    <s v="Not Found"/>
    <s v="High Sale"/>
  </r>
  <r>
    <s v="ORD0220"/>
    <s v="2023-03-13"/>
    <s v="CUST118"/>
    <x v="2"/>
    <s v="Laptop"/>
    <s v="Kolkata"/>
    <s v="West Bengal"/>
    <x v="2"/>
    <n v="5"/>
    <n v="1555"/>
    <n v="20"/>
    <n v="6220"/>
    <n v="6220"/>
    <n v="1707239.2600000014"/>
    <n v="2984.6840209790234"/>
    <n v="1402"/>
    <s v="Not Found"/>
    <s v="High Sale"/>
  </r>
  <r>
    <s v="ORD0953"/>
    <s v="2023-11-21"/>
    <s v="CUST013"/>
    <x v="0"/>
    <s v="Sofa"/>
    <s v="Mumbai"/>
    <s v="Karnataka"/>
    <x v="2"/>
    <n v="3"/>
    <n v="2960"/>
    <n v="30"/>
    <n v="6216"/>
    <n v="6216"/>
    <n v="1701019.2600000012"/>
    <n v="2979.0179684763593"/>
    <n v="1397"/>
    <s v="Not Found"/>
    <s v="High Sale"/>
  </r>
  <r>
    <s v="ORD0295"/>
    <s v="2023-09-23"/>
    <s v="CUST145"/>
    <x v="3"/>
    <s v="Football"/>
    <s v="Bangalore"/>
    <s v="Tamil Nadu"/>
    <x v="0"/>
    <n v="5"/>
    <n v="1267"/>
    <n v="2"/>
    <n v="6208.3"/>
    <n v="6208.3"/>
    <n v="1694803.2600000012"/>
    <n v="2973.3390526315811"/>
    <n v="1394"/>
    <s v="Not Found"/>
    <s v="High Sale"/>
  </r>
  <r>
    <s v="ORD0078"/>
    <s v="2023-07-29"/>
    <s v="CUST170"/>
    <x v="0"/>
    <s v="Face Cream"/>
    <s v="Bangalore"/>
    <s v="West Bengal"/>
    <x v="3"/>
    <n v="5"/>
    <n v="1698"/>
    <n v="27"/>
    <n v="6197.7"/>
    <n v="6197.7"/>
    <n v="1688594.9600000011"/>
    <n v="2967.6537082601076"/>
    <n v="1389"/>
    <s v="Not Found"/>
    <s v="High Sale"/>
  </r>
  <r>
    <s v="ORD0989"/>
    <s v="2023-09-09"/>
    <s v="CUST240"/>
    <x v="4"/>
    <s v="Face Cream"/>
    <s v="Mumbai"/>
    <s v="Karnataka"/>
    <x v="1"/>
    <n v="3"/>
    <n v="2825"/>
    <n v="27"/>
    <n v="6186.75"/>
    <n v="6186.75"/>
    <n v="1682397.2600000012"/>
    <n v="2961.9670070422558"/>
    <n v="1384"/>
    <s v="Not Found"/>
    <s v="High Sale"/>
  </r>
  <r>
    <s v="ORD0173"/>
    <s v="2023-10-31"/>
    <s v="CUST027"/>
    <x v="1"/>
    <s v="T-Shirt"/>
    <s v="Mumbai"/>
    <s v="West Bengal"/>
    <x v="1"/>
    <n v="2"/>
    <n v="3682"/>
    <n v="16"/>
    <n v="6185.76"/>
    <n v="6185.76"/>
    <n v="1676210.5100000012"/>
    <n v="2956.2795590828946"/>
    <n v="1381"/>
    <s v="Not Found"/>
    <s v="High Sale"/>
  </r>
  <r>
    <s v="ORD0895"/>
    <s v="2023-11-21"/>
    <s v="CUST068"/>
    <x v="0"/>
    <s v="T-Shirt"/>
    <s v="Chennai"/>
    <s v="Tamil Nadu"/>
    <x v="3"/>
    <n v="4"/>
    <n v="1560"/>
    <n v="1"/>
    <n v="6177.6"/>
    <n v="6177.6"/>
    <n v="1670024.7500000009"/>
    <n v="2950.5737632508849"/>
    <n v="1379"/>
    <s v="Not Found"/>
    <s v="High Sale"/>
  </r>
  <r>
    <s v="ORD0443"/>
    <s v="2023-12-31"/>
    <s v="CUST015"/>
    <x v="0"/>
    <s v="Mobile"/>
    <s v="Delhi"/>
    <s v="West Bengal"/>
    <x v="0"/>
    <n v="3"/>
    <n v="2478"/>
    <n v="17"/>
    <n v="6170.22"/>
    <n v="6170.2199999999993"/>
    <n v="1663847.1500000011"/>
    <n v="2944.8622123893824"/>
    <n v="1375"/>
    <s v="Not Found"/>
    <s v="High Sale"/>
  </r>
  <r>
    <s v="ORD0551"/>
    <s v="2023-05-12"/>
    <s v="CUST027"/>
    <x v="3"/>
    <s v="Laptop"/>
    <s v="Delhi"/>
    <s v="Delhi"/>
    <x v="1"/>
    <n v="3"/>
    <n v="2766"/>
    <n v="26"/>
    <n v="6140.52"/>
    <n v="6140.5199999999995"/>
    <n v="1657676.9300000009"/>
    <n v="2939.1434929078027"/>
    <n v="1372"/>
    <s v="Not Found"/>
    <s v="High Sale"/>
  </r>
  <r>
    <s v="ORD0394"/>
    <s v="2023-09-04"/>
    <s v="CUST242"/>
    <x v="0"/>
    <s v="Mobile"/>
    <s v="Kolkata"/>
    <s v="Tamil Nadu"/>
    <x v="3"/>
    <n v="3"/>
    <n v="2534"/>
    <n v="20"/>
    <n v="6081.6"/>
    <n v="6081.6"/>
    <n v="1651536.4100000008"/>
    <n v="2933.4572113676745"/>
    <n v="1369"/>
    <s v="Not Found"/>
    <s v="High Sale"/>
  </r>
  <r>
    <s v="ORD0589"/>
    <s v="2023-01-01"/>
    <s v="CUST173"/>
    <x v="3"/>
    <s v="Sofa"/>
    <s v="Chennai"/>
    <s v="Karnataka"/>
    <x v="3"/>
    <n v="4"/>
    <n v="1617"/>
    <n v="6"/>
    <n v="6079.92"/>
    <n v="6079.92"/>
    <n v="1645454.8100000008"/>
    <n v="2927.8555338078304"/>
    <n v="1366"/>
    <s v="Not Found"/>
    <s v="High Sale"/>
  </r>
  <r>
    <s v="ORD0464"/>
    <s v="2023-08-15"/>
    <s v="CUST243"/>
    <x v="1"/>
    <s v="T-Shirt"/>
    <s v="Bangalore"/>
    <s v="Tamil Nadu"/>
    <x v="2"/>
    <n v="4"/>
    <n v="1853"/>
    <n v="18"/>
    <n v="6077.84"/>
    <n v="6077.84"/>
    <n v="1639374.8900000008"/>
    <n v="2922.2368805704114"/>
    <n v="1362"/>
    <s v="Not Found"/>
    <s v="High Sale"/>
  </r>
  <r>
    <s v="ORD0966"/>
    <s v="2023-07-21"/>
    <s v="CUST250"/>
    <x v="4"/>
    <s v="Laptop"/>
    <s v="Delhi"/>
    <s v="Tamil Nadu"/>
    <x v="2"/>
    <n v="4"/>
    <n v="2108"/>
    <n v="28"/>
    <n v="6071.04"/>
    <n v="6071.04"/>
    <n v="1633297.050000001"/>
    <n v="2916.6018750000017"/>
    <n v="1358"/>
    <s v="Not Found"/>
    <s v="High Sale"/>
  </r>
  <r>
    <s v="ORD0505"/>
    <s v="2023-08-17"/>
    <s v="CUST287"/>
    <x v="1"/>
    <s v="Mobile"/>
    <s v="Delhi"/>
    <s v="Tamil Nadu"/>
    <x v="2"/>
    <n v="5"/>
    <n v="1302"/>
    <n v="7"/>
    <n v="6054.3"/>
    <n v="6054.2999999999993"/>
    <n v="1627226.0100000012"/>
    <n v="2910.9588729874799"/>
    <n v="1354"/>
    <s v="Not Found"/>
    <s v="High Sale"/>
  </r>
  <r>
    <s v="ORD0356"/>
    <s v="2023-10-13"/>
    <s v="CUST002"/>
    <x v="0"/>
    <s v="Mobile"/>
    <s v="Mumbai"/>
    <s v="Maharashtra"/>
    <x v="3"/>
    <n v="3"/>
    <n v="2641"/>
    <n v="24"/>
    <n v="6021.48"/>
    <n v="6021.4800000000005"/>
    <n v="1621171.7100000011"/>
    <n v="2905.3256451612924"/>
    <n v="1349"/>
    <s v="Not Found"/>
    <s v="High Sale"/>
  </r>
  <r>
    <s v="ORD0067"/>
    <s v="2023-10-13"/>
    <s v="CUST242"/>
    <x v="3"/>
    <s v="Shoes"/>
    <s v="Mumbai"/>
    <s v="Karnataka"/>
    <x v="3"/>
    <n v="5"/>
    <n v="1666"/>
    <n v="28"/>
    <n v="5997.6"/>
    <n v="5997.5999999999995"/>
    <n v="1615150.2300000007"/>
    <n v="2899.7311131059259"/>
    <n v="1346"/>
    <s v="Not Found"/>
    <s v="High Sale"/>
  </r>
  <r>
    <s v="ORD0684"/>
    <s v="2023-05-05"/>
    <s v="CUST075"/>
    <x v="2"/>
    <s v="Shoes"/>
    <s v="Mumbai"/>
    <s v="West Bengal"/>
    <x v="0"/>
    <n v="2"/>
    <n v="3745"/>
    <n v="20"/>
    <n v="5992"/>
    <n v="5992"/>
    <n v="1609152.6300000008"/>
    <n v="2894.1594064748215"/>
    <n v="1341"/>
    <s v="Not Found"/>
    <s v="High Sale"/>
  </r>
  <r>
    <s v="ORD0090"/>
    <s v="2023-10-14"/>
    <s v="CUST263"/>
    <x v="3"/>
    <s v="Mobile"/>
    <s v="Chennai"/>
    <s v="Delhi"/>
    <x v="0"/>
    <n v="2"/>
    <n v="3174"/>
    <n v="6"/>
    <n v="5967.12"/>
    <n v="5967.12"/>
    <n v="1603160.6300000006"/>
    <n v="2888.5777117117127"/>
    <n v="1339"/>
    <s v="Not Found"/>
    <s v="High Sale"/>
  </r>
  <r>
    <s v="ORD0969"/>
    <s v="2023-12-11"/>
    <s v="CUST253"/>
    <x v="4"/>
    <s v="Laptop"/>
    <s v="Kolkata"/>
    <s v="Karnataka"/>
    <x v="2"/>
    <n v="2"/>
    <n v="3201"/>
    <n v="7"/>
    <n v="5953.86"/>
    <n v="5953.86"/>
    <n v="1597193.5100000005"/>
    <n v="2883.0207761732859"/>
    <n v="1337"/>
    <s v="Not Found"/>
    <s v="High Sale"/>
  </r>
  <r>
    <s v="ORD0775"/>
    <s v="2023-05-04"/>
    <s v="CUST013"/>
    <x v="2"/>
    <s v="Face Cream"/>
    <s v="Bangalore"/>
    <s v="Maharashtra"/>
    <x v="3"/>
    <n v="5"/>
    <n v="1677"/>
    <n v="29"/>
    <n v="5953.35"/>
    <n v="5953.3499999999995"/>
    <n v="1591239.6500000008"/>
    <n v="2877.467721518989"/>
    <n v="1335"/>
    <s v="Not Found"/>
    <s v="High Sale"/>
  </r>
  <r>
    <s v="ORD0261"/>
    <s v="2023-11-21"/>
    <s v="CUST005"/>
    <x v="2"/>
    <s v="T-Shirt"/>
    <s v="Chennai"/>
    <s v="Maharashtra"/>
    <x v="2"/>
    <n v="2"/>
    <n v="3227"/>
    <n v="8"/>
    <n v="5937.68"/>
    <n v="5937.68"/>
    <n v="1585286.3000000007"/>
    <n v="2871.895471014494"/>
    <n v="1330"/>
    <s v="Not Found"/>
    <s v="High Sale"/>
  </r>
  <r>
    <s v="ORD0400"/>
    <s v="2023-04-12"/>
    <s v="CUST006"/>
    <x v="3"/>
    <s v="Shoes"/>
    <s v="Mumbai"/>
    <s v="Delhi"/>
    <x v="0"/>
    <n v="2"/>
    <n v="3450"/>
    <n v="14"/>
    <n v="5934"/>
    <n v="5934"/>
    <n v="1579348.620000001"/>
    <n v="2866.3314337568077"/>
    <n v="1328"/>
    <s v="Not Found"/>
    <s v="High Sale"/>
  </r>
  <r>
    <s v="ORD0435"/>
    <s v="2023-06-21"/>
    <s v="CUST036"/>
    <x v="2"/>
    <s v="Shoes"/>
    <s v="Kolkata"/>
    <s v="Tamil Nadu"/>
    <x v="0"/>
    <n v="4"/>
    <n v="1645"/>
    <n v="10"/>
    <n v="5922"/>
    <n v="5922"/>
    <n v="1573414.620000001"/>
    <n v="2860.7538545454563"/>
    <n v="1326"/>
    <s v="Not Found"/>
    <s v="High Sale"/>
  </r>
  <r>
    <s v="ORD0722"/>
    <s v="2023-10-25"/>
    <s v="CUST081"/>
    <x v="4"/>
    <s v="Football"/>
    <s v="Chennai"/>
    <s v="West Bengal"/>
    <x v="1"/>
    <n v="2"/>
    <n v="3887"/>
    <n v="24"/>
    <n v="5908.24"/>
    <n v="5908.24"/>
    <n v="1567492.6200000008"/>
    <n v="2855.1778142076519"/>
    <n v="1322"/>
    <s v="Not Found"/>
    <s v="High Sale"/>
  </r>
  <r>
    <s v="ORD0379"/>
    <s v="2023-10-18"/>
    <s v="CUST154"/>
    <x v="0"/>
    <s v="Laptop"/>
    <s v="Delhi"/>
    <s v="Maharashtra"/>
    <x v="3"/>
    <n v="2"/>
    <n v="3009"/>
    <n v="2"/>
    <n v="5897.64"/>
    <n v="5897.64"/>
    <n v="1561584.3800000008"/>
    <n v="2849.6065328467166"/>
    <n v="1320"/>
    <s v="Not Found"/>
    <s v="High Sale"/>
  </r>
  <r>
    <s v="ORD0861"/>
    <s v="2023-10-11"/>
    <s v="CUST050"/>
    <x v="1"/>
    <s v="Mobile"/>
    <s v="Bangalore"/>
    <s v="Delhi"/>
    <x v="1"/>
    <n v="5"/>
    <n v="1452"/>
    <n v="19"/>
    <n v="5880.6"/>
    <n v="5880.6"/>
    <n v="1555686.7400000009"/>
    <n v="2844.0342595978077"/>
    <n v="1318"/>
    <s v="Not Found"/>
    <s v="High Sale"/>
  </r>
  <r>
    <s v="ORD0098"/>
    <s v="2023-02-24"/>
    <s v="CUST151"/>
    <x v="4"/>
    <s v="Laptop"/>
    <s v="Bangalore"/>
    <s v="Tamil Nadu"/>
    <x v="2"/>
    <n v="2"/>
    <n v="3810"/>
    <n v="23"/>
    <n v="5867.4"/>
    <n v="5867.4000000000005"/>
    <n v="1549806.1400000008"/>
    <n v="2838.4727838827853"/>
    <n v="1313"/>
    <s v="Not Found"/>
    <s v="High Sale"/>
  </r>
  <r>
    <s v="ORD0475"/>
    <s v="2023-01-03"/>
    <s v="CUST183"/>
    <x v="1"/>
    <s v="Football"/>
    <s v="Bangalore"/>
    <s v="Karnataka"/>
    <x v="3"/>
    <n v="2"/>
    <n v="3181"/>
    <n v="8"/>
    <n v="5853.04"/>
    <n v="5853.04"/>
    <n v="1543938.7400000009"/>
    <n v="2832.9151192660565"/>
    <n v="1311"/>
    <s v="Not Found"/>
    <s v="High Sale"/>
  </r>
  <r>
    <s v="ORD0650"/>
    <s v="2023-05-31"/>
    <s v="CUST114"/>
    <x v="1"/>
    <s v="Shoes"/>
    <s v="Kolkata"/>
    <s v="Tamil Nadu"/>
    <x v="1"/>
    <n v="2"/>
    <n v="3657"/>
    <n v="20"/>
    <n v="5851.2"/>
    <n v="5851.2000000000007"/>
    <n v="1538085.7000000011"/>
    <n v="2827.3634191176493"/>
    <n v="1309"/>
    <s v="Not Found"/>
    <s v="High Sale"/>
  </r>
  <r>
    <s v="ORD0015"/>
    <s v="2023-03-27"/>
    <s v="CUST240"/>
    <x v="2"/>
    <s v="Mobile"/>
    <s v="Mumbai"/>
    <s v="Maharashtra"/>
    <x v="3"/>
    <n v="5"/>
    <n v="1182"/>
    <n v="1"/>
    <n v="5850.9"/>
    <n v="5850.9"/>
    <n v="1532234.5000000009"/>
    <n v="2821.7946593001857"/>
    <n v="1307"/>
    <s v="Not Found"/>
    <s v="High Sale"/>
  </r>
  <r>
    <s v="ORD0501"/>
    <s v="2023-11-16"/>
    <s v="CUST054"/>
    <x v="2"/>
    <s v="Shoes"/>
    <s v="Delhi"/>
    <s v="Karnataka"/>
    <x v="1"/>
    <n v="4"/>
    <n v="2081"/>
    <n v="30"/>
    <n v="5826.8"/>
    <n v="5826.7999999999993"/>
    <n v="1526383.600000001"/>
    <n v="2816.2059040590425"/>
    <n v="1302"/>
    <s v="Not Found"/>
    <s v="High Sale"/>
  </r>
  <r>
    <s v="ORD0012"/>
    <s v="2023-02-28"/>
    <s v="CUST046"/>
    <x v="2"/>
    <s v="Face Cream"/>
    <s v="Kolkata"/>
    <s v="Tamil Nadu"/>
    <x v="1"/>
    <n v="2"/>
    <n v="3237"/>
    <n v="11"/>
    <n v="5761.86"/>
    <n v="5761.86"/>
    <n v="1520556.8000000012"/>
    <n v="2810.6410351201503"/>
    <n v="1298"/>
    <s v="Not Found"/>
    <s v="High Sale"/>
  </r>
  <r>
    <s v="ORD0731"/>
    <s v="2023-05-08"/>
    <s v="CUST010"/>
    <x v="2"/>
    <s v="T-Shirt"/>
    <s v="Kolkata"/>
    <s v="Maharashtra"/>
    <x v="3"/>
    <n v="3"/>
    <n v="2657"/>
    <n v="28"/>
    <n v="5739.12"/>
    <n v="5739.12"/>
    <n v="1514794.9400000011"/>
    <n v="2805.1758148148169"/>
    <n v="1296"/>
    <s v="Not Found"/>
    <s v="High Sale"/>
  </r>
  <r>
    <s v="ORD0961"/>
    <s v="2023-07-17"/>
    <s v="CUST214"/>
    <x v="1"/>
    <s v="Laptop"/>
    <s v="Kolkata"/>
    <s v="Tamil Nadu"/>
    <x v="2"/>
    <n v="3"/>
    <n v="1950"/>
    <n v="2"/>
    <n v="5733"/>
    <n v="5733"/>
    <n v="1509055.8200000012"/>
    <n v="2799.7325046382211"/>
    <n v="1293"/>
    <s v="Not Found"/>
    <s v="High Sale"/>
  </r>
  <r>
    <s v="ORD0762"/>
    <s v="2023-03-01"/>
    <s v="CUST290"/>
    <x v="1"/>
    <s v="Mobile"/>
    <s v="Bangalore"/>
    <s v="West Bengal"/>
    <x v="0"/>
    <n v="4"/>
    <n v="1470"/>
    <n v="3"/>
    <n v="5703.6"/>
    <n v="5703.5999999999995"/>
    <n v="1503322.8200000012"/>
    <n v="2794.2803345724928"/>
    <n v="1290"/>
    <s v="Not Found"/>
    <s v="High Sale"/>
  </r>
  <r>
    <s v="ORD0426"/>
    <s v="2023-09-21"/>
    <s v="CUST146"/>
    <x v="1"/>
    <s v="Football"/>
    <s v="Bangalore"/>
    <s v="Delhi"/>
    <x v="2"/>
    <n v="3"/>
    <n v="1975"/>
    <n v="4"/>
    <n v="5688"/>
    <n v="5688"/>
    <n v="1497619.2200000011"/>
    <n v="2788.8626070763521"/>
    <n v="1286"/>
    <s v="Not Found"/>
    <s v="High Sale"/>
  </r>
  <r>
    <s v="ORD0964"/>
    <s v="2023-12-17"/>
    <s v="CUST061"/>
    <x v="0"/>
    <s v="Football"/>
    <s v="Kolkata"/>
    <s v="Delhi"/>
    <x v="3"/>
    <n v="4"/>
    <n v="1776"/>
    <n v="20"/>
    <n v="5683.2"/>
    <n v="5683.2000000000007"/>
    <n v="1491931.2200000011"/>
    <n v="2783.4537686567187"/>
    <n v="1283"/>
    <s v="Not Found"/>
    <s v="High Sale"/>
  </r>
  <r>
    <s v="ORD0238"/>
    <s v="2023-12-05"/>
    <s v="CUST177"/>
    <x v="0"/>
    <s v="T-Shirt"/>
    <s v="Delhi"/>
    <s v="Karnataka"/>
    <x v="3"/>
    <n v="2"/>
    <n v="3376"/>
    <n v="16"/>
    <n v="5671.68"/>
    <n v="5671.6799999999994"/>
    <n v="1486248.0200000009"/>
    <n v="2778.0336822429927"/>
    <n v="1279"/>
    <s v="Not Found"/>
    <s v="High Sale"/>
  </r>
  <r>
    <s v="ORD0294"/>
    <s v="2023-01-26"/>
    <s v="CUST291"/>
    <x v="2"/>
    <s v="T-Shirt"/>
    <s v="Bangalore"/>
    <s v="Karnataka"/>
    <x v="1"/>
    <n v="4"/>
    <n v="1417"/>
    <n v="0"/>
    <n v="5668"/>
    <n v="5668"/>
    <n v="1480576.3400000012"/>
    <n v="2772.6148689138599"/>
    <n v="1277"/>
    <s v="Not Found"/>
    <s v="High Sale"/>
  </r>
  <r>
    <s v="ORD0190"/>
    <s v="2023-06-04"/>
    <s v="CUST282"/>
    <x v="3"/>
    <s v="Face Cream"/>
    <s v="Mumbai"/>
    <s v="Delhi"/>
    <x v="0"/>
    <n v="5"/>
    <n v="1349"/>
    <n v="16"/>
    <n v="5665.8"/>
    <n v="5665.8"/>
    <n v="1474908.340000001"/>
    <n v="2767.1826266416529"/>
    <n v="1273"/>
    <s v="Not Found"/>
    <s v="High Sale"/>
  </r>
  <r>
    <s v="ORD0112"/>
    <s v="2023-04-11"/>
    <s v="CUST049"/>
    <x v="4"/>
    <s v="Face Cream"/>
    <s v="Mumbai"/>
    <s v="Karnataka"/>
    <x v="1"/>
    <n v="2"/>
    <n v="3926"/>
    <n v="28"/>
    <n v="5653.44"/>
    <n v="5653.44"/>
    <n v="1469242.540000001"/>
    <n v="2761.7340977443628"/>
    <n v="1268"/>
    <s v="Not Found"/>
    <s v="High Sale"/>
  </r>
  <r>
    <s v="ORD0769"/>
    <s v="2023-09-09"/>
    <s v="CUST290"/>
    <x v="0"/>
    <s v="T-Shirt"/>
    <s v="Delhi"/>
    <s v="Tamil Nadu"/>
    <x v="0"/>
    <n v="2"/>
    <n v="3136"/>
    <n v="10"/>
    <n v="5644.8"/>
    <n v="5644.8"/>
    <n v="1463589.1000000008"/>
    <n v="2756.2883239171388"/>
    <n v="1266"/>
    <s v="Not Found"/>
    <s v="High Sale"/>
  </r>
  <r>
    <s v="ORD0167"/>
    <s v="2023-05-14"/>
    <s v="CUST186"/>
    <x v="0"/>
    <s v="Sofa"/>
    <s v="Chennai"/>
    <s v="Delhi"/>
    <x v="1"/>
    <n v="4"/>
    <n v="1451"/>
    <n v="3"/>
    <n v="5629.88"/>
    <n v="5629.88"/>
    <n v="1457944.3000000005"/>
    <n v="2750.8383018867935"/>
    <n v="1264"/>
    <s v="Not Found"/>
    <s v="High Sale"/>
  </r>
  <r>
    <s v="ORD0064"/>
    <s v="2023-04-17"/>
    <s v="CUST259"/>
    <x v="1"/>
    <s v="Face Cream"/>
    <s v="Mumbai"/>
    <s v="Delhi"/>
    <x v="0"/>
    <n v="2"/>
    <n v="3852"/>
    <n v="27"/>
    <n v="5623.92"/>
    <n v="5623.92"/>
    <n v="1452314.4200000006"/>
    <n v="2745.3958790170145"/>
    <n v="1260"/>
    <s v="Not Found"/>
    <s v="High Sale"/>
  </r>
  <r>
    <s v="ORD0213"/>
    <s v="2023-08-02"/>
    <s v="CUST283"/>
    <x v="0"/>
    <s v="T-Shirt"/>
    <s v="Bangalore"/>
    <s v="Delhi"/>
    <x v="2"/>
    <n v="2"/>
    <n v="3422"/>
    <n v="18"/>
    <n v="5612.08"/>
    <n v="5612.0800000000008"/>
    <n v="1446690.5000000005"/>
    <n v="2739.9441287878799"/>
    <n v="1258"/>
    <s v="Not Found"/>
    <s v="High Sale"/>
  </r>
  <r>
    <s v="ORD0455"/>
    <s v="2023-09-14"/>
    <s v="CUST215"/>
    <x v="1"/>
    <s v="Football"/>
    <s v="Kolkata"/>
    <s v="Tamil Nadu"/>
    <x v="2"/>
    <n v="5"/>
    <n v="1363"/>
    <n v="18"/>
    <n v="5588.3"/>
    <n v="5588.3"/>
    <n v="1441078.4200000006"/>
    <n v="2734.4941555977243"/>
    <n v="1256"/>
    <s v="Not Found"/>
    <s v="High Sale"/>
  </r>
  <r>
    <s v="ORD0134"/>
    <s v="2023-12-21"/>
    <s v="CUST064"/>
    <x v="2"/>
    <s v="Football"/>
    <s v="Bangalore"/>
    <s v="Karnataka"/>
    <x v="2"/>
    <n v="2"/>
    <n v="3620"/>
    <n v="23"/>
    <n v="5574.8"/>
    <n v="5574.8"/>
    <n v="1435490.1200000008"/>
    <n v="2729.0686692015224"/>
    <n v="1251"/>
    <s v="Not Found"/>
    <s v="High Sale"/>
  </r>
  <r>
    <s v="ORD0546"/>
    <s v="2023-08-27"/>
    <s v="CUST164"/>
    <x v="1"/>
    <s v="Shoes"/>
    <s v="Delhi"/>
    <s v="Karnataka"/>
    <x v="3"/>
    <n v="2"/>
    <n v="3867"/>
    <n v="28"/>
    <n v="5568.48"/>
    <n v="5568.48"/>
    <n v="1429915.3200000008"/>
    <n v="2723.6482285714301"/>
    <n v="1249"/>
    <s v="Not Found"/>
    <s v="High Sale"/>
  </r>
  <r>
    <s v="ORD0011"/>
    <s v="2023-02-22"/>
    <s v="CUST098"/>
    <x v="3"/>
    <s v="Shoes"/>
    <s v="Delhi"/>
    <s v="West Bengal"/>
    <x v="0"/>
    <n v="4"/>
    <n v="1873"/>
    <n v="26"/>
    <n v="5544.08"/>
    <n v="5544.08"/>
    <n v="1424346.8400000008"/>
    <n v="2718.2191603053452"/>
    <n v="1247"/>
    <s v="Not Found"/>
    <s v="High Sale"/>
  </r>
  <r>
    <s v="ORD0835"/>
    <s v="2023-05-10"/>
    <s v="CUST059"/>
    <x v="0"/>
    <s v="Laptop"/>
    <s v="Bangalore"/>
    <s v="Karnataka"/>
    <x v="1"/>
    <n v="3"/>
    <n v="2555"/>
    <n v="28"/>
    <n v="5518.8"/>
    <n v="5518.8"/>
    <n v="1418802.7600000007"/>
    <n v="2712.8159847036341"/>
    <n v="1243"/>
    <s v="Not Found"/>
    <s v="High Sale"/>
  </r>
  <r>
    <s v="ORD0707"/>
    <s v="2023-03-24"/>
    <s v="CUST170"/>
    <x v="2"/>
    <s v="T-Shirt"/>
    <s v="Delhi"/>
    <s v="Tamil Nadu"/>
    <x v="2"/>
    <n v="4"/>
    <n v="1814"/>
    <n v="24"/>
    <n v="5514.56"/>
    <n v="5514.56"/>
    <n v="1413283.9600000007"/>
    <n v="2707.4405363984688"/>
    <n v="1240"/>
    <s v="Not Found"/>
    <s v="High Sale"/>
  </r>
  <r>
    <s v="ORD0729"/>
    <s v="2023-05-20"/>
    <s v="CUST293"/>
    <x v="4"/>
    <s v="Football"/>
    <s v="Delhi"/>
    <s v="Tamil Nadu"/>
    <x v="3"/>
    <n v="3"/>
    <n v="2370"/>
    <n v="23"/>
    <n v="5474.7"/>
    <n v="5474.7"/>
    <n v="1407769.4000000006"/>
    <n v="2702.0525911708264"/>
    <n v="1236"/>
    <s v="Not Found"/>
    <s v="High Sale"/>
  </r>
  <r>
    <s v="ORD0140"/>
    <s v="2023-01-31"/>
    <s v="CUST017"/>
    <x v="4"/>
    <s v="Face Cream"/>
    <s v="Bangalore"/>
    <s v="Delhi"/>
    <x v="0"/>
    <n v="4"/>
    <n v="1590"/>
    <n v="14"/>
    <n v="5469.6"/>
    <n v="5469.6"/>
    <n v="1402294.7000000009"/>
    <n v="2696.7205769230786"/>
    <n v="1233"/>
    <s v="Not Found"/>
    <s v="High Sale"/>
  </r>
  <r>
    <s v="ORD0625"/>
    <s v="2023-11-22"/>
    <s v="CUST241"/>
    <x v="0"/>
    <s v="Shoes"/>
    <s v="Bangalore"/>
    <s v="Karnataka"/>
    <x v="1"/>
    <n v="2"/>
    <n v="3901"/>
    <n v="30"/>
    <n v="5461.4"/>
    <n v="5461.4"/>
    <n v="1396825.1000000008"/>
    <n v="2691.3778420038552"/>
    <n v="1229"/>
    <s v="Not Found"/>
    <s v="High Sale"/>
  </r>
  <r>
    <s v="ORD0014"/>
    <s v="2023-10-30"/>
    <s v="CUST018"/>
    <x v="0"/>
    <s v="Football"/>
    <s v="Chennai"/>
    <s v="West Bengal"/>
    <x v="2"/>
    <n v="2"/>
    <n v="2873"/>
    <n v="5"/>
    <n v="5458.7"/>
    <n v="5458.7"/>
    <n v="1391363.7000000009"/>
    <n v="2686.0303088803107"/>
    <n v="1227"/>
    <s v="Not Found"/>
    <s v="High Sale"/>
  </r>
  <r>
    <s v="ORD0721"/>
    <s v="2023-03-18"/>
    <s v="CUST043"/>
    <x v="0"/>
    <s v="Mobile"/>
    <s v="Mumbai"/>
    <s v="Delhi"/>
    <x v="3"/>
    <n v="2"/>
    <n v="3671"/>
    <n v="26"/>
    <n v="5433.08"/>
    <n v="5433.08"/>
    <n v="1385905.0000000007"/>
    <n v="2680.6673114119935"/>
    <n v="1225"/>
    <s v="Not Found"/>
    <s v="High Sale"/>
  </r>
  <r>
    <s v="ORD0783"/>
    <s v="2023-01-24"/>
    <s v="CUST093"/>
    <x v="1"/>
    <s v="Face Cream"/>
    <s v="Delhi"/>
    <s v="West Bengal"/>
    <x v="3"/>
    <n v="4"/>
    <n v="1695"/>
    <n v="20"/>
    <n v="5424"/>
    <n v="5424"/>
    <n v="1380471.9200000009"/>
    <n v="2675.3331782945752"/>
    <n v="1223"/>
    <s v="Not Found"/>
    <s v="High Sale"/>
  </r>
  <r>
    <s v="ORD0838"/>
    <s v="2023-09-01"/>
    <s v="CUST203"/>
    <x v="1"/>
    <s v="Mobile"/>
    <s v="Chennai"/>
    <s v="Karnataka"/>
    <x v="2"/>
    <n v="3"/>
    <n v="2259"/>
    <n v="20"/>
    <n v="5421.6"/>
    <n v="5421.6"/>
    <n v="1375047.9200000009"/>
    <n v="2669.9959611650502"/>
    <n v="1219"/>
    <s v="Not Found"/>
    <s v="High Sale"/>
  </r>
  <r>
    <s v="ORD0113"/>
    <s v="2023-12-22"/>
    <s v="CUST143"/>
    <x v="2"/>
    <s v="Mobile"/>
    <s v="Kolkata"/>
    <s v="West Bengal"/>
    <x v="0"/>
    <n v="5"/>
    <n v="1246"/>
    <n v="13"/>
    <n v="5420.1"/>
    <n v="5420.1"/>
    <n v="1369626.3200000008"/>
    <n v="2664.6426459143986"/>
    <n v="1216"/>
    <s v="Not Found"/>
    <s v="High Sale"/>
  </r>
  <r>
    <s v="ORD0595"/>
    <s v="2023-07-08"/>
    <s v="CUST209"/>
    <x v="0"/>
    <s v="Laptop"/>
    <s v="Mumbai"/>
    <s v="Karnataka"/>
    <x v="2"/>
    <n v="4"/>
    <n v="1400"/>
    <n v="4"/>
    <n v="5376"/>
    <n v="5376"/>
    <n v="1364206.2200000009"/>
    <n v="2659.2713840155961"/>
    <n v="1211"/>
    <s v="Not Found"/>
    <s v="High Sale"/>
  </r>
  <r>
    <s v="ORD0956"/>
    <s v="2023-11-14"/>
    <s v="CUST208"/>
    <x v="1"/>
    <s v="Shoes"/>
    <s v="Bangalore"/>
    <s v="Delhi"/>
    <x v="2"/>
    <n v="2"/>
    <n v="3759"/>
    <n v="29"/>
    <n v="5337.78"/>
    <n v="5337.78"/>
    <n v="1358830.2200000009"/>
    <n v="2653.9652734375018"/>
    <n v="1207"/>
    <s v="Not Found"/>
    <s v="High Sale"/>
  </r>
  <r>
    <s v="ORD0533"/>
    <s v="2023-01-13"/>
    <s v="CUST262"/>
    <x v="0"/>
    <s v="Laptop"/>
    <s v="Delhi"/>
    <s v="Delhi"/>
    <x v="2"/>
    <n v="3"/>
    <n v="2211"/>
    <n v="20"/>
    <n v="5306.4"/>
    <n v="5306.4000000000005"/>
    <n v="1353492.4400000009"/>
    <n v="2648.7131898238763"/>
    <n v="1205"/>
    <s v="Not Found"/>
    <s v="High Sale"/>
  </r>
  <r>
    <s v="ORD0019"/>
    <s v="2023-10-14"/>
    <s v="CUST083"/>
    <x v="1"/>
    <s v="Face Cream"/>
    <s v="Mumbai"/>
    <s v="Maharashtra"/>
    <x v="0"/>
    <n v="3"/>
    <n v="2358"/>
    <n v="25"/>
    <n v="5305.5"/>
    <n v="5305.5"/>
    <n v="1348186.040000001"/>
    <n v="2643.502039215688"/>
    <n v="1202"/>
    <s v="Not Found"/>
    <s v="High Sale"/>
  </r>
  <r>
    <s v="ORD0564"/>
    <s v="2023-02-16"/>
    <s v="CUST193"/>
    <x v="1"/>
    <s v="Laptop"/>
    <s v="Bangalore"/>
    <s v="Maharashtra"/>
    <x v="2"/>
    <n v="5"/>
    <n v="1341"/>
    <n v="21"/>
    <n v="5296.95"/>
    <n v="5296.95"/>
    <n v="1342880.540000001"/>
    <n v="2638.2721807465637"/>
    <n v="1199"/>
    <s v="Not Found"/>
    <s v="High Sale"/>
  </r>
  <r>
    <s v="ORD0770"/>
    <s v="2023-01-03"/>
    <s v="CUST296"/>
    <x v="1"/>
    <s v="Mobile"/>
    <s v="Chennai"/>
    <s v="Karnataka"/>
    <x v="0"/>
    <n v="2"/>
    <n v="3108"/>
    <n v="15"/>
    <n v="5283.6"/>
    <n v="5283.5999999999995"/>
    <n v="1337583.5900000012"/>
    <n v="2633.0385629921284"/>
    <n v="1194"/>
    <s v="Not Found"/>
    <s v="High Sale"/>
  </r>
  <r>
    <s v="ORD0284"/>
    <s v="2023-07-26"/>
    <s v="CUST143"/>
    <x v="1"/>
    <s v="Football"/>
    <s v="Delhi"/>
    <s v="Maharashtra"/>
    <x v="3"/>
    <n v="2"/>
    <n v="3669"/>
    <n v="28"/>
    <n v="5283.36"/>
    <n v="5283.36"/>
    <n v="1332299.9900000012"/>
    <n v="2627.8106311637102"/>
    <n v="1192"/>
    <s v="Not Found"/>
    <s v="High Sale"/>
  </r>
  <r>
    <s v="ORD0741"/>
    <s v="2023-12-12"/>
    <s v="CUST080"/>
    <x v="2"/>
    <s v="Sofa"/>
    <s v="Mumbai"/>
    <s v="Karnataka"/>
    <x v="3"/>
    <n v="5"/>
    <n v="1075"/>
    <n v="2"/>
    <n v="5267.5"/>
    <n v="5267.5"/>
    <n v="1327016.6300000013"/>
    <n v="2622.5625098814253"/>
    <n v="1190"/>
    <s v="Not Found"/>
    <s v="High Sale"/>
  </r>
  <r>
    <s v="ORD0699"/>
    <s v="2023-03-12"/>
    <s v="CUST291"/>
    <x v="4"/>
    <s v="Mobile"/>
    <s v="Mumbai"/>
    <s v="Tamil Nadu"/>
    <x v="0"/>
    <n v="3"/>
    <n v="2503"/>
    <n v="30"/>
    <n v="5256.3"/>
    <n v="5256.2999999999993"/>
    <n v="1321749.1300000013"/>
    <n v="2617.3250099009924"/>
    <n v="1185"/>
    <s v="Not Found"/>
    <s v="High Sale"/>
  </r>
  <r>
    <s v="ORD0197"/>
    <s v="2023-11-11"/>
    <s v="CUST127"/>
    <x v="3"/>
    <s v="T-Shirt"/>
    <s v="Mumbai"/>
    <s v="Tamil Nadu"/>
    <x v="1"/>
    <n v="3"/>
    <n v="2428"/>
    <n v="28"/>
    <n v="5244.48"/>
    <n v="5244.48"/>
    <n v="1316492.8300000015"/>
    <n v="2612.0889484127015"/>
    <n v="1182"/>
    <s v="Not Found"/>
    <s v="High Sale"/>
  </r>
  <r>
    <s v="ORD0873"/>
    <s v="2023-07-25"/>
    <s v="CUST200"/>
    <x v="2"/>
    <s v="Face Cream"/>
    <s v="Delhi"/>
    <s v="Karnataka"/>
    <x v="2"/>
    <n v="2"/>
    <n v="3636"/>
    <n v="28"/>
    <n v="5235.84"/>
    <n v="5235.84"/>
    <n v="1311248.3500000015"/>
    <n v="2606.8555666004004"/>
    <n v="1179"/>
    <s v="Not Found"/>
    <s v="High Sale"/>
  </r>
  <r>
    <s v="ORD0372"/>
    <s v="2023-08-20"/>
    <s v="CUST294"/>
    <x v="4"/>
    <s v="Mobile"/>
    <s v="Kolkata"/>
    <s v="Karnataka"/>
    <x v="0"/>
    <n v="4"/>
    <n v="1419"/>
    <n v="8"/>
    <n v="5221.92"/>
    <n v="5221.92"/>
    <n v="1306012.5100000014"/>
    <n v="2601.6185458167361"/>
    <n v="1177"/>
    <s v="Not Found"/>
    <s v="High Sale"/>
  </r>
  <r>
    <s v="ORD0343"/>
    <s v="2023-05-13"/>
    <s v="CUST072"/>
    <x v="4"/>
    <s v="Face Cream"/>
    <s v="Mumbai"/>
    <s v="West Bengal"/>
    <x v="1"/>
    <n v="3"/>
    <n v="1755"/>
    <n v="1"/>
    <n v="5212.3500000000004"/>
    <n v="5212.3500000000004"/>
    <n v="1300790.5900000015"/>
    <n v="2596.3884031936159"/>
    <n v="1173"/>
    <s v="Not Found"/>
    <s v="High Sale"/>
  </r>
  <r>
    <s v="ORD0119"/>
    <s v="2023-08-29"/>
    <s v="CUST245"/>
    <x v="1"/>
    <s v="Face Cream"/>
    <s v="Mumbai"/>
    <s v="West Bengal"/>
    <x v="2"/>
    <n v="4"/>
    <n v="1496"/>
    <n v="13"/>
    <n v="5206.08"/>
    <n v="5206.08"/>
    <n v="1295578.2400000012"/>
    <n v="2591.1564800000024"/>
    <n v="1170"/>
    <s v="Not Found"/>
    <s v="High Sale"/>
  </r>
  <r>
    <s v="ORD0178"/>
    <s v="2023-07-15"/>
    <s v="CUST235"/>
    <x v="1"/>
    <s v="Football"/>
    <s v="Mumbai"/>
    <s v="Karnataka"/>
    <x v="0"/>
    <n v="2"/>
    <n v="3706"/>
    <n v="30"/>
    <n v="5188.3999999999996"/>
    <n v="5188.3999999999996"/>
    <n v="1290372.1600000013"/>
    <n v="2585.9161523046118"/>
    <n v="1166"/>
    <s v="Not Found"/>
    <s v="High Sale"/>
  </r>
  <r>
    <s v="ORD0063"/>
    <s v="2023-11-18"/>
    <s v="CUST142"/>
    <x v="3"/>
    <s v="Laptop"/>
    <s v="Kolkata"/>
    <s v="Maharashtra"/>
    <x v="2"/>
    <n v="5"/>
    <n v="1163"/>
    <n v="11"/>
    <n v="5175.3500000000004"/>
    <n v="5175.3500000000004"/>
    <n v="1285183.7600000012"/>
    <n v="2580.6902811245004"/>
    <n v="1164"/>
    <s v="Not Found"/>
    <s v="High Sale"/>
  </r>
  <r>
    <s v="ORD0678"/>
    <s v="2023-03-02"/>
    <s v="CUST011"/>
    <x v="2"/>
    <s v="Face Cream"/>
    <s v="Mumbai"/>
    <s v="Maharashtra"/>
    <x v="3"/>
    <n v="3"/>
    <n v="2331"/>
    <n v="26"/>
    <n v="5174.82"/>
    <n v="5174.82"/>
    <n v="1280008.4100000015"/>
    <n v="2575.469637826965"/>
    <n v="1159"/>
    <s v="Not Found"/>
    <s v="High Sale"/>
  </r>
  <r>
    <s v="ORD0108"/>
    <s v="2023-04-07"/>
    <s v="CUST068"/>
    <x v="4"/>
    <s v="Laptop"/>
    <s v="Mumbai"/>
    <s v="Maharashtra"/>
    <x v="1"/>
    <n v="3"/>
    <n v="2075"/>
    <n v="17"/>
    <n v="5166.75"/>
    <n v="5166.75"/>
    <n v="1274833.5900000017"/>
    <n v="2570.2290120967778"/>
    <n v="1156"/>
    <s v="Not Found"/>
    <s v="High Sale"/>
  </r>
  <r>
    <s v="ORD0239"/>
    <s v="2023-02-27"/>
    <s v="CUST074"/>
    <x v="1"/>
    <s v="Face Cream"/>
    <s v="Delhi"/>
    <s v="West Bengal"/>
    <x v="1"/>
    <n v="5"/>
    <n v="1092"/>
    <n v="6"/>
    <n v="5132.3999999999996"/>
    <n v="5132.3999999999996"/>
    <n v="1269666.8400000015"/>
    <n v="2564.9835151515181"/>
    <n v="1153"/>
    <s v="Not Found"/>
    <s v="High Sale"/>
  </r>
  <r>
    <s v="ORD0292"/>
    <s v="2023-01-26"/>
    <s v="CUST096"/>
    <x v="4"/>
    <s v="T-Shirt"/>
    <s v="Kolkata"/>
    <s v="West Bengal"/>
    <x v="1"/>
    <n v="2"/>
    <n v="3247"/>
    <n v="21"/>
    <n v="5130.26"/>
    <n v="5130.26"/>
    <n v="1264534.4400000016"/>
    <n v="2559.7863157894767"/>
    <n v="1148"/>
    <s v="Not Found"/>
    <s v="High Sale"/>
  </r>
  <r>
    <s v="ORD0905"/>
    <s v="2023-09-03"/>
    <s v="CUST115"/>
    <x v="2"/>
    <s v="Shoes"/>
    <s v="Mumbai"/>
    <s v="Tamil Nadu"/>
    <x v="1"/>
    <n v="5"/>
    <n v="1347"/>
    <n v="24"/>
    <n v="5118.6000000000004"/>
    <n v="5118.6000000000004"/>
    <n v="1259404.1800000016"/>
    <n v="2554.5723732251554"/>
    <n v="1146"/>
    <s v="Not Found"/>
    <s v="High Sale"/>
  </r>
  <r>
    <s v="ORD0727"/>
    <s v="2023-12-06"/>
    <s v="CUST218"/>
    <x v="0"/>
    <s v="Shoes"/>
    <s v="Kolkata"/>
    <s v="Tamil Nadu"/>
    <x v="0"/>
    <n v="5"/>
    <n v="1260"/>
    <n v="19"/>
    <n v="5103"/>
    <n v="5103"/>
    <n v="1254285.5800000017"/>
    <n v="2549.360934959353"/>
    <n v="1141"/>
    <s v="Not Found"/>
    <s v="High Sale"/>
  </r>
  <r>
    <s v="ORD0130"/>
    <s v="2023-09-19"/>
    <s v="CUST290"/>
    <x v="0"/>
    <s v="Shoes"/>
    <s v="Bangalore"/>
    <s v="West Bengal"/>
    <x v="1"/>
    <n v="4"/>
    <n v="1822"/>
    <n v="30"/>
    <n v="5101.6000000000004"/>
    <n v="5101.5999999999995"/>
    <n v="1249182.5800000015"/>
    <n v="2544.1600407332007"/>
    <n v="1136"/>
    <s v="Not Found"/>
    <s v="High Sale"/>
  </r>
  <r>
    <s v="ORD0272"/>
    <s v="2023-04-29"/>
    <s v="CUST079"/>
    <x v="2"/>
    <s v="Face Cream"/>
    <s v="Kolkata"/>
    <s v="West Bengal"/>
    <x v="0"/>
    <n v="2"/>
    <n v="2678"/>
    <n v="5"/>
    <n v="5088.2"/>
    <n v="5088.2"/>
    <n v="1244080.9800000016"/>
    <n v="2538.9407755102075"/>
    <n v="1132"/>
    <s v="Not Found"/>
    <s v="High Sale"/>
  </r>
  <r>
    <s v="ORD0061"/>
    <s v="2023-08-09"/>
    <s v="CUST286"/>
    <x v="2"/>
    <s v="Laptop"/>
    <s v="Kolkata"/>
    <s v="Tamil Nadu"/>
    <x v="2"/>
    <n v="4"/>
    <n v="1781"/>
    <n v="29"/>
    <n v="5058.04"/>
    <n v="5058.04"/>
    <n v="1238992.7800000014"/>
    <n v="2533.7275664621707"/>
    <n v="1130"/>
    <s v="Not Found"/>
    <s v="High Sale"/>
  </r>
  <r>
    <s v="ORD0692"/>
    <s v="2023-08-18"/>
    <s v="CUST262"/>
    <x v="4"/>
    <s v="Mobile"/>
    <s v="Chennai"/>
    <s v="Maharashtra"/>
    <x v="1"/>
    <n v="2"/>
    <n v="2541"/>
    <n v="1"/>
    <n v="5031.18"/>
    <n v="5031.18"/>
    <n v="1233934.7400000014"/>
    <n v="2528.55479508197"/>
    <n v="1126"/>
    <s v="Not Found"/>
    <s v="High Sale"/>
  </r>
  <r>
    <s v="ORD0271"/>
    <s v="2023-01-29"/>
    <s v="CUST169"/>
    <x v="2"/>
    <s v="Football"/>
    <s v="Chennai"/>
    <s v="Karnataka"/>
    <x v="3"/>
    <n v="2"/>
    <n v="3173"/>
    <n v="21"/>
    <n v="5013.34"/>
    <n v="5013.34"/>
    <n v="1228903.5600000012"/>
    <n v="2523.4159342915837"/>
    <n v="1124"/>
    <s v="Not Found"/>
    <s v="High Sale"/>
  </r>
  <r>
    <s v="ORD0994"/>
    <s v="2023-05-09"/>
    <s v="CUST233"/>
    <x v="1"/>
    <s v="Laptop"/>
    <s v="Kolkata"/>
    <s v="Karnataka"/>
    <x v="2"/>
    <n v="3"/>
    <n v="2169"/>
    <n v="23"/>
    <n v="5010.3900000000003"/>
    <n v="5010.3900000000003"/>
    <n v="1223890.2200000011"/>
    <n v="2518.2926337448584"/>
    <n v="1122"/>
    <s v="Not Found"/>
    <s v="High Sale"/>
  </r>
  <r>
    <s v="ORD0968"/>
    <s v="2023-11-09"/>
    <s v="CUST218"/>
    <x v="2"/>
    <s v="T-Shirt"/>
    <s v="Kolkata"/>
    <s v="Karnataka"/>
    <x v="3"/>
    <n v="2"/>
    <n v="2549"/>
    <n v="2"/>
    <n v="4996.04"/>
    <n v="4996.04"/>
    <n v="1218879.830000001"/>
    <n v="2513.1542886597958"/>
    <n v="1119"/>
    <s v="Not Found"/>
    <s v="High Sale"/>
  </r>
  <r>
    <s v="ORD0201"/>
    <s v="2023-08-14"/>
    <s v="CUST041"/>
    <x v="0"/>
    <s v="T-Shirt"/>
    <s v="Bangalore"/>
    <s v="Maharashtra"/>
    <x v="3"/>
    <n v="4"/>
    <n v="1402"/>
    <n v="11"/>
    <n v="4991.12"/>
    <n v="4991.12"/>
    <n v="1213883.7900000012"/>
    <n v="2508.0243595041347"/>
    <n v="1117"/>
    <s v="Not Found"/>
    <s v="High Sale"/>
  </r>
  <r>
    <s v="ORD0903"/>
    <s v="2023-03-16"/>
    <s v="CUST143"/>
    <x v="4"/>
    <s v="Football"/>
    <s v="Chennai"/>
    <s v="Tamil Nadu"/>
    <x v="0"/>
    <n v="1"/>
    <n v="4971"/>
    <n v="0"/>
    <n v="4971"/>
    <n v="4971"/>
    <n v="1208892.6700000013"/>
    <n v="2502.8833747412036"/>
    <n v="1113"/>
    <s v="Not Found"/>
    <s v="High Sale"/>
  </r>
  <r>
    <s v="ORD0613"/>
    <s v="2023-01-17"/>
    <s v="CUST003"/>
    <x v="2"/>
    <s v="Football"/>
    <s v="Chennai"/>
    <s v="Tamil Nadu"/>
    <x v="2"/>
    <n v="3"/>
    <n v="2365"/>
    <n v="30"/>
    <n v="4966.5"/>
    <n v="4966.5"/>
    <n v="1203921.6700000013"/>
    <n v="2497.7628008298784"/>
    <n v="1112"/>
    <s v="Not Found"/>
    <s v="High Sale"/>
  </r>
  <r>
    <s v="ORD0038"/>
    <s v="2023-02-06"/>
    <s v="CUST244"/>
    <x v="2"/>
    <s v="Mobile"/>
    <s v="Delhi"/>
    <s v="Maharashtra"/>
    <x v="0"/>
    <n v="2"/>
    <n v="2773"/>
    <n v="11"/>
    <n v="4935.9399999999996"/>
    <n v="4935.9400000000005"/>
    <n v="1198955.1700000013"/>
    <n v="2492.630291060294"/>
    <n v="1109"/>
    <s v="Not Found"/>
    <s v="High Sale"/>
  </r>
  <r>
    <s v="ORD0203"/>
    <s v="2023-11-29"/>
    <s v="CUST047"/>
    <x v="4"/>
    <s v="Face Cream"/>
    <s v="Kolkata"/>
    <s v="Delhi"/>
    <x v="3"/>
    <n v="4"/>
    <n v="1602"/>
    <n v="23"/>
    <n v="4934.16"/>
    <n v="4934.16"/>
    <n v="1194019.2300000009"/>
    <n v="2487.540062500002"/>
    <n v="1107"/>
    <s v="Not Found"/>
    <s v="High Sale"/>
  </r>
  <r>
    <s v="ORD0327"/>
    <s v="2023-10-27"/>
    <s v="CUST025"/>
    <x v="4"/>
    <s v="Football"/>
    <s v="Kolkata"/>
    <s v="Delhi"/>
    <x v="3"/>
    <n v="2"/>
    <n v="2772"/>
    <n v="11"/>
    <n v="4934.16"/>
    <n v="4934.16"/>
    <n v="1189085.0700000008"/>
    <n v="2482.4322964509411"/>
    <n v="1103"/>
    <s v="Not Found"/>
    <s v="High Sale"/>
  </r>
  <r>
    <s v="ORD0041"/>
    <s v="2023-12-12"/>
    <s v="CUST040"/>
    <x v="3"/>
    <s v="Laptop"/>
    <s v="Mumbai"/>
    <s v="Delhi"/>
    <x v="0"/>
    <n v="4"/>
    <n v="1707"/>
    <n v="28"/>
    <n v="4916.16"/>
    <n v="4916.16"/>
    <n v="1184150.9100000006"/>
    <n v="2477.3031589958173"/>
    <n v="1101"/>
    <s v="Not Found"/>
    <s v="High Sale"/>
  </r>
  <r>
    <s v="ORD0324"/>
    <s v="2023-11-20"/>
    <s v="CUST142"/>
    <x v="3"/>
    <s v="T-Shirt"/>
    <s v="Delhi"/>
    <s v="West Bengal"/>
    <x v="1"/>
    <n v="3"/>
    <n v="2084"/>
    <n v="22"/>
    <n v="4876.5600000000004"/>
    <n v="4876.5600000000004"/>
    <n v="1179234.7500000005"/>
    <n v="2472.1902515723282"/>
    <n v="1097"/>
    <s v="Not Found"/>
    <s v="High Sale"/>
  </r>
  <r>
    <s v="ORD0363"/>
    <s v="2023-11-30"/>
    <s v="CUST148"/>
    <x v="4"/>
    <s v="Face Cream"/>
    <s v="Delhi"/>
    <s v="Delhi"/>
    <x v="0"/>
    <n v="2"/>
    <n v="2620"/>
    <n v="7"/>
    <n v="4873.2"/>
    <n v="4873.2"/>
    <n v="1174358.1900000006"/>
    <n v="2467.1390546218499"/>
    <n v="1094"/>
    <s v="Not Found"/>
    <s v="High Sale"/>
  </r>
  <r>
    <s v="ORD0556"/>
    <s v="2023-03-01"/>
    <s v="CUST102"/>
    <x v="1"/>
    <s v="Shoes"/>
    <s v="Chennai"/>
    <s v="Karnataka"/>
    <x v="0"/>
    <n v="3"/>
    <n v="2074"/>
    <n v="22"/>
    <n v="4853.16"/>
    <n v="4853.16"/>
    <n v="1169484.9900000005"/>
    <n v="2462.0736631578957"/>
    <n v="1092"/>
    <s v="Not Found"/>
    <s v="High Sale"/>
  </r>
  <r>
    <s v="ORD0573"/>
    <s v="2023-01-12"/>
    <s v="CUST193"/>
    <x v="0"/>
    <s v="Shoes"/>
    <s v="Mumbai"/>
    <s v="Maharashtra"/>
    <x v="0"/>
    <n v="2"/>
    <n v="2811"/>
    <n v="14"/>
    <n v="4834.92"/>
    <n v="4834.92"/>
    <n v="1164631.8300000003"/>
    <n v="2457.0291772151904"/>
    <n v="1089"/>
    <s v="Not Found"/>
    <s v="High Sale"/>
  </r>
  <r>
    <s v="ORD0608"/>
    <s v="2023-07-01"/>
    <s v="CUST012"/>
    <x v="3"/>
    <s v="Football"/>
    <s v="Mumbai"/>
    <s v="Delhi"/>
    <x v="0"/>
    <n v="3"/>
    <n v="1894"/>
    <n v="15"/>
    <n v="4829.7"/>
    <n v="4829.7"/>
    <n v="1159796.9100000004"/>
    <n v="2452.0019238900641"/>
    <n v="1087"/>
    <s v="Not Found"/>
    <s v="High Sale"/>
  </r>
  <r>
    <s v="ORD0395"/>
    <s v="2023-01-30"/>
    <s v="CUST285"/>
    <x v="2"/>
    <s v="Laptop"/>
    <s v="Delhi"/>
    <s v="Tamil Nadu"/>
    <x v="0"/>
    <n v="5"/>
    <n v="1340"/>
    <n v="28"/>
    <n v="4824"/>
    <n v="4824"/>
    <n v="1154967.2100000004"/>
    <n v="2446.9644279661024"/>
    <n v="1084"/>
    <s v="Not Found"/>
    <s v="High Sale"/>
  </r>
  <r>
    <s v="ORD0275"/>
    <s v="2023-03-16"/>
    <s v="CUST116"/>
    <x v="0"/>
    <s v="Face Cream"/>
    <s v="Kolkata"/>
    <s v="Delhi"/>
    <x v="0"/>
    <n v="3"/>
    <n v="2222"/>
    <n v="28"/>
    <n v="4799.5200000000004"/>
    <n v="4799.5199999999995"/>
    <n v="1150143.2100000004"/>
    <n v="2441.9176433121029"/>
    <n v="1079"/>
    <s v="Not Found"/>
    <s v="High Sale"/>
  </r>
  <r>
    <s v="ORD0558"/>
    <s v="2024-01-01"/>
    <s v="CUST249"/>
    <x v="3"/>
    <s v="Sofa"/>
    <s v="Kolkata"/>
    <s v="Delhi"/>
    <x v="2"/>
    <n v="3"/>
    <n v="2016"/>
    <n v="21"/>
    <n v="4777.92"/>
    <n v="4777.92"/>
    <n v="1145343.6900000004"/>
    <n v="2436.9014680851074"/>
    <n v="1076"/>
    <s v="Not Found"/>
    <s v="High Sale"/>
  </r>
  <r>
    <s v="ORD0523"/>
    <s v="2023-05-13"/>
    <s v="CUST204"/>
    <x v="0"/>
    <s v="Sofa"/>
    <s v="Bangalore"/>
    <s v="Maharashtra"/>
    <x v="3"/>
    <n v="3"/>
    <n v="1748"/>
    <n v="9"/>
    <n v="4772.04"/>
    <n v="4772.04"/>
    <n v="1140565.7700000007"/>
    <n v="2431.9099573560784"/>
    <n v="1073"/>
    <s v="Not Found"/>
    <s v="High Sale"/>
  </r>
  <r>
    <s v="ORD0348"/>
    <s v="2023-11-20"/>
    <s v="CUST138"/>
    <x v="0"/>
    <s v="Face Cream"/>
    <s v="Delhi"/>
    <s v="Maharashtra"/>
    <x v="2"/>
    <n v="1"/>
    <n v="4803"/>
    <n v="1"/>
    <n v="4754.97"/>
    <n v="4754.97"/>
    <n v="1135793.7300000002"/>
    <n v="2426.9096794871798"/>
    <n v="1070"/>
    <s v="Not Found"/>
    <s v="High Sale"/>
  </r>
  <r>
    <s v="ORD0680"/>
    <s v="2023-07-20"/>
    <s v="CUST091"/>
    <x v="0"/>
    <s v="Face Cream"/>
    <s v="Chennai"/>
    <s v="Maharashtra"/>
    <x v="0"/>
    <n v="3"/>
    <n v="1879"/>
    <n v="16"/>
    <n v="4735.08"/>
    <n v="4735.08"/>
    <n v="1131038.7600000005"/>
    <n v="2421.924539614562"/>
    <n v="1069"/>
    <s v="Not Found"/>
    <s v="High Sale"/>
  </r>
  <r>
    <s v="ORD0996"/>
    <s v="2023-12-03"/>
    <s v="CUST191"/>
    <x v="0"/>
    <s v="Sofa"/>
    <s v="Bangalore"/>
    <s v="Karnataka"/>
    <x v="1"/>
    <n v="5"/>
    <n v="983"/>
    <n v="5"/>
    <n v="4669.25"/>
    <n v="4669.25"/>
    <n v="1126303.6800000006"/>
    <n v="2416.9606866952804"/>
    <n v="1066"/>
    <s v="Not Found"/>
    <s v="High Sale"/>
  </r>
  <r>
    <s v="ORD0188"/>
    <s v="2023-05-03"/>
    <s v="CUST033"/>
    <x v="1"/>
    <s v="T-Shirt"/>
    <s v="Bangalore"/>
    <s v="Karnataka"/>
    <x v="3"/>
    <n v="3"/>
    <n v="1968"/>
    <n v="21"/>
    <n v="4664.16"/>
    <n v="4664.16"/>
    <n v="1121634.4300000004"/>
    <n v="2412.1170537634416"/>
    <n v="1061"/>
    <s v="Not Found"/>
    <s v="High Sale"/>
  </r>
  <r>
    <s v="ORD0035"/>
    <s v="2023-01-28"/>
    <s v="CUST005"/>
    <x v="2"/>
    <s v="Laptop"/>
    <s v="Delhi"/>
    <s v="West Bengal"/>
    <x v="1"/>
    <n v="3"/>
    <n v="2012"/>
    <n v="23"/>
    <n v="4647.72"/>
    <n v="4647.72"/>
    <n v="1116970.2700000003"/>
    <n v="2407.2635129310352"/>
    <n v="1058"/>
    <s v="Not Found"/>
    <s v="High Sale"/>
  </r>
  <r>
    <s v="ORD0797"/>
    <s v="2023-04-20"/>
    <s v="CUST125"/>
    <x v="1"/>
    <s v="T-Shirt"/>
    <s v="Kolkata"/>
    <s v="Karnataka"/>
    <x v="2"/>
    <n v="4"/>
    <n v="1659"/>
    <n v="30"/>
    <n v="4645.2"/>
    <n v="4645.2"/>
    <n v="1112322.55"/>
    <n v="2402.4245140388771"/>
    <n v="1055"/>
    <s v="Not Found"/>
    <s v="High Sale"/>
  </r>
  <r>
    <s v="ORD0165"/>
    <s v="2023-12-20"/>
    <s v="CUST222"/>
    <x v="4"/>
    <s v="Football"/>
    <s v="Delhi"/>
    <s v="West Bengal"/>
    <x v="2"/>
    <n v="2"/>
    <n v="2521"/>
    <n v="8"/>
    <n v="4638.6400000000003"/>
    <n v="4638.6400000000003"/>
    <n v="1107677.3499999999"/>
    <n v="2397.5700216450214"/>
    <n v="1051"/>
    <s v="Not Found"/>
    <s v="High Sale"/>
  </r>
  <r>
    <s v="ORD0584"/>
    <s v="2023-08-28"/>
    <s v="CUST240"/>
    <x v="2"/>
    <s v="T-Shirt"/>
    <s v="Kolkata"/>
    <s v="Maharashtra"/>
    <x v="2"/>
    <n v="5"/>
    <n v="1040"/>
    <n v="11"/>
    <n v="4628"/>
    <n v="4628"/>
    <n v="1103038.71"/>
    <n v="2392.7086984815619"/>
    <n v="1049"/>
    <s v="Not Found"/>
    <s v="High Sale"/>
  </r>
  <r>
    <s v="ORD0068"/>
    <s v="2023-03-23"/>
    <s v="CUST029"/>
    <x v="3"/>
    <s v="Laptop"/>
    <s v="Mumbai"/>
    <s v="Maharashtra"/>
    <x v="0"/>
    <n v="4"/>
    <n v="1189"/>
    <n v="3"/>
    <n v="4613.32"/>
    <n v="4613.32"/>
    <n v="1098410.7100000002"/>
    <n v="2387.8493695652178"/>
    <n v="1044"/>
    <s v="Not Found"/>
    <s v="High Sale"/>
  </r>
  <r>
    <s v="ORD0578"/>
    <s v="2023-03-20"/>
    <s v="CUST166"/>
    <x v="0"/>
    <s v="Sofa"/>
    <s v="Delhi"/>
    <s v="West Bengal"/>
    <x v="0"/>
    <n v="4"/>
    <n v="1558"/>
    <n v="26"/>
    <n v="4611.68"/>
    <n v="4611.68"/>
    <n v="1093797.3900000004"/>
    <n v="2383.0008496732034"/>
    <n v="1040"/>
    <s v="Not Found"/>
    <s v="High Sale"/>
  </r>
  <r>
    <s v="ORD0662"/>
    <s v="2023-01-14"/>
    <s v="CUST032"/>
    <x v="0"/>
    <s v="T-Shirt"/>
    <s v="Chennai"/>
    <s v="Delhi"/>
    <x v="0"/>
    <n v="2"/>
    <n v="3188"/>
    <n v="28"/>
    <n v="4590.72"/>
    <n v="4590.72"/>
    <n v="1089185.7100000002"/>
    <n v="2378.1347379912668"/>
    <n v="1036"/>
    <s v="Not Found"/>
    <s v="High Sale"/>
  </r>
  <r>
    <s v="ORD0694"/>
    <s v="2023-01-05"/>
    <s v="CUST254"/>
    <x v="4"/>
    <s v="Football"/>
    <s v="Delhi"/>
    <s v="Maharashtra"/>
    <x v="1"/>
    <n v="2"/>
    <n v="2465"/>
    <n v="7"/>
    <n v="4584.8999999999996"/>
    <n v="4584.8999999999996"/>
    <n v="1084594.99"/>
    <n v="2373.2931947483589"/>
    <n v="1034"/>
    <s v="Not Found"/>
    <s v="High Sale"/>
  </r>
  <r>
    <s v="ORD0537"/>
    <s v="2023-07-22"/>
    <s v="CUST036"/>
    <x v="4"/>
    <s v="Face Cream"/>
    <s v="Kolkata"/>
    <s v="Karnataka"/>
    <x v="0"/>
    <n v="4"/>
    <n v="1156"/>
    <n v="1"/>
    <n v="4577.76"/>
    <n v="4577.76"/>
    <n v="1080010.0899999996"/>
    <n v="2368.4431798245605"/>
    <n v="1032"/>
    <s v="Not Found"/>
    <s v="High Sale"/>
  </r>
  <r>
    <s v="ORD0593"/>
    <s v="2023-03-04"/>
    <s v="CUST288"/>
    <x v="3"/>
    <s v="Face Cream"/>
    <s v="Chennai"/>
    <s v="Karnataka"/>
    <x v="2"/>
    <n v="2"/>
    <n v="2957"/>
    <n v="23"/>
    <n v="4553.78"/>
    <n v="4553.78"/>
    <n v="1075432.3299999996"/>
    <n v="2363.5875384615374"/>
    <n v="1028"/>
    <s v="Not Found"/>
    <s v="High Sale"/>
  </r>
  <r>
    <s v="ORD0060"/>
    <s v="2023-08-22"/>
    <s v="CUST207"/>
    <x v="4"/>
    <s v="Sofa"/>
    <s v="Mumbai"/>
    <s v="Maharashtra"/>
    <x v="2"/>
    <n v="2"/>
    <n v="2421"/>
    <n v="6"/>
    <n v="4551.4799999999996"/>
    <n v="4551.4799999999996"/>
    <n v="1070878.5499999993"/>
    <n v="2358.7633259911881"/>
    <n v="1026"/>
    <s v="Not Found"/>
    <s v="High Sale"/>
  </r>
  <r>
    <s v="ORD0669"/>
    <s v="2023-12-03"/>
    <s v="CUST005"/>
    <x v="1"/>
    <s v="Mobile"/>
    <s v="Kolkata"/>
    <s v="Maharashtra"/>
    <x v="2"/>
    <n v="4"/>
    <n v="1599"/>
    <n v="29"/>
    <n v="4541.16"/>
    <n v="4541.16"/>
    <n v="1066327.0699999991"/>
    <n v="2353.9228918322278"/>
    <n v="1024"/>
    <s v="Not Found"/>
    <s v="High Sale"/>
  </r>
  <r>
    <s v="ORD0695"/>
    <s v="2023-02-13"/>
    <s v="CUST096"/>
    <x v="4"/>
    <s v="Shoes"/>
    <s v="Bangalore"/>
    <s v="Karnataka"/>
    <x v="1"/>
    <n v="1"/>
    <n v="4716"/>
    <n v="4"/>
    <n v="4527.3599999999997"/>
    <n v="4527.3599999999997"/>
    <n v="1061785.9099999992"/>
    <n v="2349.0838716814142"/>
    <n v="1020"/>
    <s v="Not Found"/>
    <s v="High Sale"/>
  </r>
  <r>
    <s v="ORD0691"/>
    <s v="2023-12-27"/>
    <s v="CUST207"/>
    <x v="2"/>
    <s v="Shoes"/>
    <s v="Bangalore"/>
    <s v="West Bengal"/>
    <x v="0"/>
    <n v="5"/>
    <n v="1025"/>
    <n v="12"/>
    <n v="4510"/>
    <n v="4510"/>
    <n v="1057258.5499999993"/>
    <n v="2344.253991130819"/>
    <n v="1019"/>
    <s v="Not Found"/>
    <s v="High Sale"/>
  </r>
  <r>
    <s v="ORD0886"/>
    <s v="2023-01-12"/>
    <s v="CUST297"/>
    <x v="3"/>
    <s v="T-Shirt"/>
    <s v="Mumbai"/>
    <s v="Delhi"/>
    <x v="0"/>
    <n v="5"/>
    <n v="1085"/>
    <n v="17"/>
    <n v="4502.75"/>
    <n v="4502.75"/>
    <n v="1052748.5499999996"/>
    <n v="2339.4412222222213"/>
    <n v="1014"/>
    <s v="Not Found"/>
    <s v="High Sale"/>
  </r>
  <r>
    <s v="ORD0753"/>
    <s v="2023-11-22"/>
    <s v="CUST239"/>
    <x v="1"/>
    <s v="Laptop"/>
    <s v="Mumbai"/>
    <s v="Maharashtra"/>
    <x v="3"/>
    <n v="3"/>
    <n v="2143"/>
    <n v="30"/>
    <n v="4500.3"/>
    <n v="4500.2999999999993"/>
    <n v="1048245.8"/>
    <n v="2334.6231625835189"/>
    <n v="1009"/>
    <s v="Not Found"/>
    <s v="High Sale"/>
  </r>
  <r>
    <s v="ORD0385"/>
    <s v="2023-11-29"/>
    <s v="CUST248"/>
    <x v="3"/>
    <s v="Football"/>
    <s v="Delhi"/>
    <s v="West Bengal"/>
    <x v="3"/>
    <n v="1"/>
    <n v="4623"/>
    <n v="3"/>
    <n v="4484.3100000000004"/>
    <n v="4484.3099999999995"/>
    <n v="1043745.5000000001"/>
    <n v="2329.7890625000005"/>
    <n v="1006"/>
    <s v="Not Found"/>
    <s v="High Sale"/>
  </r>
  <r>
    <s v="ORD0336"/>
    <s v="2023-05-06"/>
    <s v="CUST241"/>
    <x v="2"/>
    <s v="Laptop"/>
    <s v="Kolkata"/>
    <s v="Delhi"/>
    <x v="3"/>
    <n v="2"/>
    <n v="2430"/>
    <n v="8"/>
    <n v="4471.2"/>
    <n v="4471.2"/>
    <n v="1039261.1900000002"/>
    <n v="2324.9691051454142"/>
    <n v="1005"/>
    <s v="Not Found"/>
    <s v="High Sale"/>
  </r>
  <r>
    <s v="ORD0072"/>
    <s v="2023-09-06"/>
    <s v="CUST024"/>
    <x v="4"/>
    <s v="Mobile"/>
    <s v="Chennai"/>
    <s v="Tamil Nadu"/>
    <x v="0"/>
    <n v="3"/>
    <n v="1856"/>
    <n v="20"/>
    <n v="4454.3999999999996"/>
    <n v="4454.4000000000005"/>
    <n v="1034789.9900000001"/>
    <n v="2320.1569282511214"/>
    <n v="1003"/>
    <s v="Not Found"/>
    <s v="High Sale"/>
  </r>
  <r>
    <s v="ORD0597"/>
    <s v="2023-10-23"/>
    <s v="CUST178"/>
    <x v="1"/>
    <s v="Mobile"/>
    <s v="Kolkata"/>
    <s v="Karnataka"/>
    <x v="1"/>
    <n v="2"/>
    <n v="2778"/>
    <n v="20"/>
    <n v="4444.8"/>
    <n v="4444.8"/>
    <n v="1030335.59"/>
    <n v="2315.3608764044943"/>
    <n v="1000"/>
    <s v="Not Found"/>
    <s v="High Sale"/>
  </r>
  <r>
    <s v="ORD0362"/>
    <s v="2023-07-31"/>
    <s v="CUST006"/>
    <x v="2"/>
    <s v="Mobile"/>
    <s v="Bangalore"/>
    <s v="Tamil Nadu"/>
    <x v="3"/>
    <n v="2"/>
    <n v="2329"/>
    <n v="5"/>
    <n v="4425.1000000000004"/>
    <n v="4425.0999999999995"/>
    <n v="1025890.7899999999"/>
    <n v="2310.5648423423422"/>
    <n v="998"/>
    <s v="Not Found"/>
    <s v="High Sale"/>
  </r>
  <r>
    <s v="ORD0932"/>
    <s v="2023-08-05"/>
    <s v="CUST056"/>
    <x v="4"/>
    <s v="T-Shirt"/>
    <s v="Kolkata"/>
    <s v="Delhi"/>
    <x v="2"/>
    <n v="1"/>
    <n v="4888"/>
    <n v="10"/>
    <n v="4399.2"/>
    <n v="4399.2"/>
    <n v="1021465.69"/>
    <n v="2305.7916252821669"/>
    <n v="996"/>
    <s v="Not Found"/>
    <s v="High Sale"/>
  </r>
  <r>
    <s v="ORD0319"/>
    <s v="2023-09-30"/>
    <s v="CUST003"/>
    <x v="1"/>
    <s v="Shoes"/>
    <s v="Kolkata"/>
    <s v="West Bengal"/>
    <x v="3"/>
    <n v="5"/>
    <n v="1057"/>
    <n v="17"/>
    <n v="4386.55"/>
    <n v="4386.55"/>
    <n v="1017066.4899999999"/>
    <n v="2301.0554072398186"/>
    <n v="995"/>
    <s v="Not Found"/>
    <s v="High Sale"/>
  </r>
  <r>
    <s v="ORD0049"/>
    <s v="2023-04-25"/>
    <s v="CUST165"/>
    <x v="4"/>
    <s v="Football"/>
    <s v="Delhi"/>
    <s v="Karnataka"/>
    <x v="3"/>
    <n v="3"/>
    <n v="1535"/>
    <n v="5"/>
    <n v="4374.75"/>
    <n v="4374.75"/>
    <n v="1012679.94"/>
    <n v="2296.3263945578228"/>
    <n v="990"/>
    <s v="Not Found"/>
    <s v="High Sale"/>
  </r>
  <r>
    <s v="ORD0690"/>
    <s v="2023-08-02"/>
    <s v="CUST234"/>
    <x v="1"/>
    <s v="Face Cream"/>
    <s v="Bangalore"/>
    <s v="West Bengal"/>
    <x v="3"/>
    <n v="3"/>
    <n v="1557"/>
    <n v="7"/>
    <n v="4344.03"/>
    <n v="4344.03"/>
    <n v="1008305.19"/>
    <n v="2291.6027045454543"/>
    <n v="987"/>
    <s v="Not Found"/>
    <s v="High Sale"/>
  </r>
  <r>
    <s v="ORD0057"/>
    <s v="2023-11-16"/>
    <s v="CUST288"/>
    <x v="2"/>
    <s v="Sofa"/>
    <s v="Chennai"/>
    <s v="Karnataka"/>
    <x v="3"/>
    <n v="4"/>
    <n v="1463"/>
    <n v="26"/>
    <n v="4330.4799999999996"/>
    <n v="4330.4799999999996"/>
    <n v="1003961.16"/>
    <n v="2286.9274715261959"/>
    <n v="984"/>
    <s v="Not Found"/>
    <s v="High Sale"/>
  </r>
  <r>
    <s v="ORD0555"/>
    <s v="2023-12-26"/>
    <s v="CUST020"/>
    <x v="1"/>
    <s v="Mobile"/>
    <s v="Mumbai"/>
    <s v="Delhi"/>
    <x v="0"/>
    <n v="3"/>
    <n v="1441"/>
    <n v="0"/>
    <n v="4323"/>
    <n v="4323"/>
    <n v="999630.67999999993"/>
    <n v="2282.261826484018"/>
    <n v="980"/>
    <s v="Not Found"/>
    <s v="High Sale"/>
  </r>
  <r>
    <s v="ORD0040"/>
    <s v="2023-09-22"/>
    <s v="CUST127"/>
    <x v="2"/>
    <s v="Shoes"/>
    <s v="Mumbai"/>
    <s v="West Bengal"/>
    <x v="0"/>
    <n v="5"/>
    <n v="1213"/>
    <n v="29"/>
    <n v="4306.1499999999996"/>
    <n v="4306.1499999999996"/>
    <n v="995307.67999999993"/>
    <n v="2277.5919450800916"/>
    <n v="977"/>
    <s v="Not Found"/>
    <s v="High Sale"/>
  </r>
  <r>
    <s v="ORD0814"/>
    <s v="2023-09-15"/>
    <s v="CUST283"/>
    <x v="4"/>
    <s v="Laptop"/>
    <s v="Delhi"/>
    <s v="Karnataka"/>
    <x v="1"/>
    <n v="3"/>
    <n v="1860"/>
    <n v="23"/>
    <n v="4296.6000000000004"/>
    <n v="4296.6000000000004"/>
    <n v="991001.53"/>
    <n v="2272.9392889908258"/>
    <n v="972"/>
    <s v="Not Found"/>
    <s v="High Sale"/>
  </r>
  <r>
    <s v="ORD0867"/>
    <s v="2023-04-25"/>
    <s v="CUST130"/>
    <x v="0"/>
    <s v="Shoes"/>
    <s v="Bangalore"/>
    <s v="Karnataka"/>
    <x v="1"/>
    <n v="4"/>
    <n v="1426"/>
    <n v="25"/>
    <n v="4278"/>
    <n v="4278"/>
    <n v="986704.93"/>
    <n v="2268.2871954022989"/>
    <n v="969"/>
    <s v="Not Found"/>
    <s v="High Sale"/>
  </r>
  <r>
    <s v="ORD0504"/>
    <s v="2023-05-30"/>
    <s v="CUST070"/>
    <x v="4"/>
    <s v="T-Shirt"/>
    <s v="Bangalore"/>
    <s v="Tamil Nadu"/>
    <x v="3"/>
    <n v="1"/>
    <n v="4268"/>
    <n v="0"/>
    <n v="4268"/>
    <n v="4268"/>
    <n v="982426.93000000017"/>
    <n v="2263.6565207373274"/>
    <n v="965"/>
    <s v="Not Found"/>
    <s v="High Sale"/>
  </r>
  <r>
    <s v="ORD0409"/>
    <s v="2023-09-12"/>
    <s v="CUST250"/>
    <x v="4"/>
    <s v="T-Shirt"/>
    <s v="Bangalore"/>
    <s v="Karnataka"/>
    <x v="0"/>
    <n v="3"/>
    <n v="1959"/>
    <n v="28"/>
    <n v="4231.4399999999996"/>
    <n v="4231.4399999999996"/>
    <n v="978158.93000000017"/>
    <n v="2259.0275519630491"/>
    <n v="964"/>
    <s v="Not Found"/>
    <s v="High Sale"/>
  </r>
  <r>
    <s v="ORD0939"/>
    <s v="2023-09-14"/>
    <s v="CUST197"/>
    <x v="4"/>
    <s v="Face Cream"/>
    <s v="Delhi"/>
    <s v="Delhi"/>
    <x v="3"/>
    <n v="1"/>
    <n v="4951"/>
    <n v="15"/>
    <n v="4208.3500000000004"/>
    <n v="4208.3499999999995"/>
    <n v="973927.49000000011"/>
    <n v="2254.4617824074076"/>
    <n v="961"/>
    <s v="Not Found"/>
    <s v="High Sale"/>
  </r>
  <r>
    <s v="ORD0561"/>
    <s v="2023-12-06"/>
    <s v="CUST290"/>
    <x v="2"/>
    <s v="Shoes"/>
    <s v="Kolkata"/>
    <s v="Karnataka"/>
    <x v="3"/>
    <n v="5"/>
    <n v="988"/>
    <n v="15"/>
    <n v="4199"/>
    <n v="4199"/>
    <n v="969719.14000000013"/>
    <n v="2249.9283990719259"/>
    <n v="960"/>
    <s v="Not Found"/>
    <s v="High Sale"/>
  </r>
  <r>
    <s v="ORD0949"/>
    <s v="2023-11-12"/>
    <s v="CUST005"/>
    <x v="2"/>
    <s v="Sofa"/>
    <s v="Kolkata"/>
    <s v="Maharashtra"/>
    <x v="0"/>
    <n v="3"/>
    <n v="1908"/>
    <n v="27"/>
    <n v="4178.5200000000004"/>
    <n v="4178.5199999999995"/>
    <n v="965520.14000000013"/>
    <n v="2245.3956744186048"/>
    <n v="955"/>
    <s v="Not Found"/>
    <s v="High Sale"/>
  </r>
  <r>
    <s v="ORD0863"/>
    <s v="2023-11-09"/>
    <s v="CUST264"/>
    <x v="0"/>
    <s v="Sofa"/>
    <s v="Kolkata"/>
    <s v="Tamil Nadu"/>
    <x v="0"/>
    <n v="2"/>
    <n v="2150"/>
    <n v="3"/>
    <n v="4171"/>
    <n v="4171"/>
    <n v="961341.62"/>
    <n v="2240.8895571095572"/>
    <n v="952"/>
    <s v="Not Found"/>
    <s v="High Sale"/>
  </r>
  <r>
    <s v="ORD0892"/>
    <s v="2023-03-02"/>
    <s v="CUST054"/>
    <x v="3"/>
    <s v="Face Cream"/>
    <s v="Mumbai"/>
    <s v="West Bengal"/>
    <x v="1"/>
    <n v="2"/>
    <n v="2600"/>
    <n v="20"/>
    <n v="4160"/>
    <n v="4160"/>
    <n v="957170.62"/>
    <n v="2236.3799532710282"/>
    <n v="950"/>
    <s v="Not Found"/>
    <s v="High Sale"/>
  </r>
  <r>
    <s v="ORD0768"/>
    <s v="2023-10-11"/>
    <s v="CUST268"/>
    <x v="2"/>
    <s v="Sofa"/>
    <s v="Delhi"/>
    <s v="Delhi"/>
    <x v="2"/>
    <n v="2"/>
    <n v="2386"/>
    <n v="13"/>
    <n v="4151.6400000000003"/>
    <n v="4151.6400000000003"/>
    <n v="953010.62000000011"/>
    <n v="2231.8749882903985"/>
    <n v="948"/>
    <s v="Not Found"/>
    <s v="High Sale"/>
  </r>
  <r>
    <s v="ORD0129"/>
    <s v="2023-06-29"/>
    <s v="CUST286"/>
    <x v="4"/>
    <s v="Sofa"/>
    <s v="Chennai"/>
    <s v="Maharashtra"/>
    <x v="1"/>
    <n v="3"/>
    <n v="1529"/>
    <n v="10"/>
    <n v="4128.3"/>
    <n v="4128.3"/>
    <n v="948858.98"/>
    <n v="2227.3684976525819"/>
    <n v="946"/>
    <s v="Not Found"/>
    <s v="High Sale"/>
  </r>
  <r>
    <s v="ORD0759"/>
    <s v="2023-04-06"/>
    <s v="CUST176"/>
    <x v="4"/>
    <s v="Shoes"/>
    <s v="Kolkata"/>
    <s v="Karnataka"/>
    <x v="0"/>
    <n v="4"/>
    <n v="1154"/>
    <n v="11"/>
    <n v="4108.24"/>
    <n v="4108.24"/>
    <n v="944730.68"/>
    <n v="2222.895717647059"/>
    <n v="943"/>
    <s v="Not Found"/>
    <s v="High Sale"/>
  </r>
  <r>
    <s v="ORD0874"/>
    <s v="2023-06-21"/>
    <s v="CUST100"/>
    <x v="2"/>
    <s v="T-Shirt"/>
    <s v="Mumbai"/>
    <s v="Tamil Nadu"/>
    <x v="1"/>
    <n v="1"/>
    <n v="4775"/>
    <n v="14"/>
    <n v="4106.5"/>
    <n v="4106.5"/>
    <n v="940622.44000000006"/>
    <n v="2218.4491509433965"/>
    <n v="939"/>
    <s v="Not Found"/>
    <s v="High Sale"/>
  </r>
  <r>
    <s v="ORD0411"/>
    <s v="2023-07-05"/>
    <s v="CUST177"/>
    <x v="3"/>
    <s v="Mobile"/>
    <s v="Chennai"/>
    <s v="Karnataka"/>
    <x v="0"/>
    <n v="2"/>
    <n v="2414"/>
    <n v="15"/>
    <n v="4103.8"/>
    <n v="4103.8"/>
    <n v="936515.94"/>
    <n v="2213.9856737588652"/>
    <n v="938"/>
    <s v="Not Found"/>
    <s v="High Sale"/>
  </r>
  <r>
    <s v="ORD0087"/>
    <s v="2023-04-28"/>
    <s v="CUST235"/>
    <x v="4"/>
    <s v="Sofa"/>
    <s v="Delhi"/>
    <s v="Maharashtra"/>
    <x v="2"/>
    <n v="1"/>
    <n v="4500"/>
    <n v="9"/>
    <n v="4095"/>
    <n v="4095"/>
    <n v="932412.14"/>
    <n v="2209.5074407582938"/>
    <n v="936"/>
    <s v="Not Found"/>
    <s v="High Sale"/>
  </r>
  <r>
    <s v="ORD0927"/>
    <s v="2023-10-20"/>
    <s v="CUST299"/>
    <x v="3"/>
    <s v="Face Cream"/>
    <s v="Mumbai"/>
    <s v="Maharashtra"/>
    <x v="0"/>
    <n v="2"/>
    <n v="2045"/>
    <n v="0"/>
    <n v="4090"/>
    <n v="4090"/>
    <n v="928317.14"/>
    <n v="2205.0288361045132"/>
    <n v="935"/>
    <s v="Not Found"/>
    <s v="High Sale"/>
  </r>
  <r>
    <s v="ORD0102"/>
    <s v="2023-11-10"/>
    <s v="CUST057"/>
    <x v="4"/>
    <s v="Sofa"/>
    <s v="Chennai"/>
    <s v="Maharashtra"/>
    <x v="2"/>
    <n v="3"/>
    <n v="1547"/>
    <n v="12"/>
    <n v="4084.08"/>
    <n v="4084.08"/>
    <n v="924227.14"/>
    <n v="2200.5408095238095"/>
    <n v="933"/>
    <s v="Not Found"/>
    <s v="High Sale"/>
  </r>
  <r>
    <s v="ORD0548"/>
    <s v="2023-08-10"/>
    <s v="CUST286"/>
    <x v="4"/>
    <s v="Sofa"/>
    <s v="Delhi"/>
    <s v="Karnataka"/>
    <x v="3"/>
    <n v="5"/>
    <n v="995"/>
    <n v="18"/>
    <n v="4079.5"/>
    <n v="4079.5000000000005"/>
    <n v="920143.06"/>
    <n v="2196.0454892601433"/>
    <n v="930"/>
    <s v="Not Found"/>
    <s v="High Sale"/>
  </r>
  <r>
    <s v="ORD0454"/>
    <s v="2023-05-03"/>
    <s v="CUST233"/>
    <x v="0"/>
    <s v="Shoes"/>
    <s v="Mumbai"/>
    <s v="West Bengal"/>
    <x v="3"/>
    <n v="5"/>
    <n v="1019"/>
    <n v="20"/>
    <n v="4076"/>
    <n v="4076"/>
    <n v="916063.56000000017"/>
    <n v="2191.5396172248807"/>
    <n v="925"/>
    <s v="Not Found"/>
    <s v="High Sale"/>
  </r>
  <r>
    <s v="ORD0304"/>
    <s v="2023-12-29"/>
    <s v="CUST171"/>
    <x v="3"/>
    <s v="Sofa"/>
    <s v="Bangalore"/>
    <s v="Tamil Nadu"/>
    <x v="0"/>
    <n v="1"/>
    <n v="4334"/>
    <n v="6"/>
    <n v="4073.96"/>
    <n v="4073.9599999999996"/>
    <n v="911987.56"/>
    <n v="2187.0205275779376"/>
    <n v="920"/>
    <s v="Not Found"/>
    <s v="High Sale"/>
  </r>
  <r>
    <s v="ORD0754"/>
    <s v="2023-09-24"/>
    <s v="CUST155"/>
    <x v="1"/>
    <s v="Sofa"/>
    <s v="Mumbai"/>
    <s v="Maharashtra"/>
    <x v="1"/>
    <n v="1"/>
    <n v="4523"/>
    <n v="10"/>
    <n v="4070.7"/>
    <n v="4070.7000000000003"/>
    <n v="907913.60000000009"/>
    <n v="2182.4846153846156"/>
    <n v="919"/>
    <s v="Not Found"/>
    <s v="High Sale"/>
  </r>
  <r>
    <s v="ORD0611"/>
    <s v="2023-05-02"/>
    <s v="CUST157"/>
    <x v="4"/>
    <s v="T-Shirt"/>
    <s v="Bangalore"/>
    <s v="Delhi"/>
    <x v="2"/>
    <n v="2"/>
    <n v="2233"/>
    <n v="9"/>
    <n v="4064.06"/>
    <n v="4064.06"/>
    <n v="903842.90000000014"/>
    <n v="2177.9346987951812"/>
    <n v="918"/>
    <s v="Not Found"/>
    <s v="High Sale"/>
  </r>
  <r>
    <s v="ORD0393"/>
    <s v="2023-10-10"/>
    <s v="CUST035"/>
    <x v="3"/>
    <s v="T-Shirt"/>
    <s v="Chennai"/>
    <s v="Maharashtra"/>
    <x v="1"/>
    <n v="2"/>
    <n v="2304"/>
    <n v="12"/>
    <n v="4055.04"/>
    <n v="4055.04"/>
    <n v="899778.8400000002"/>
    <n v="2173.3788405797104"/>
    <n v="916"/>
    <s v="Not Found"/>
    <s v="High Sale"/>
  </r>
  <r>
    <s v="ORD0241"/>
    <s v="2023-04-29"/>
    <s v="CUST048"/>
    <x v="0"/>
    <s v="Face Cream"/>
    <s v="Mumbai"/>
    <s v="Maharashtra"/>
    <x v="2"/>
    <n v="1"/>
    <n v="4752"/>
    <n v="15"/>
    <n v="4039.2"/>
    <n v="4039.2"/>
    <n v="895723.80000000016"/>
    <n v="2168.8227602905572"/>
    <n v="914"/>
    <s v="Not Found"/>
    <s v="High Sale"/>
  </r>
  <r>
    <s v="ORD0268"/>
    <s v="2023-10-27"/>
    <s v="CUST196"/>
    <x v="0"/>
    <s v="Football"/>
    <s v="Chennai"/>
    <s v="West Bengal"/>
    <x v="1"/>
    <n v="1"/>
    <n v="4338"/>
    <n v="7"/>
    <n v="4034.34"/>
    <n v="4034.3399999999997"/>
    <n v="891684.60000000021"/>
    <n v="2164.2830097087385"/>
    <n v="913"/>
    <s v="Not Found"/>
    <s v="High Sale"/>
  </r>
  <r>
    <s v="ORD0442"/>
    <s v="2023-07-02"/>
    <s v="CUST083"/>
    <x v="4"/>
    <s v="T-Shirt"/>
    <s v="Bangalore"/>
    <s v="West Bengal"/>
    <x v="3"/>
    <n v="1"/>
    <n v="4033"/>
    <n v="0"/>
    <n v="4033"/>
    <n v="4033"/>
    <n v="887650.26000000024"/>
    <n v="2159.7329927007304"/>
    <n v="912"/>
    <s v="Not Found"/>
    <s v="High Sale"/>
  </r>
  <r>
    <s v="ORD0840"/>
    <s v="2023-10-02"/>
    <s v="CUST178"/>
    <x v="0"/>
    <s v="Shoes"/>
    <s v="Mumbai"/>
    <s v="West Bengal"/>
    <x v="0"/>
    <n v="1"/>
    <n v="4722"/>
    <n v="15"/>
    <n v="4013.7"/>
    <n v="4013.7"/>
    <n v="883617.26000000024"/>
    <n v="2155.1640487804884"/>
    <n v="911"/>
    <s v="Not Found"/>
    <s v="High Sale"/>
  </r>
  <r>
    <s v="ORD0920"/>
    <s v="2023-02-09"/>
    <s v="CUST024"/>
    <x v="3"/>
    <s v="Face Cream"/>
    <s v="Chennai"/>
    <s v="Maharashtra"/>
    <x v="0"/>
    <n v="2"/>
    <n v="2059"/>
    <n v="3"/>
    <n v="3994.46"/>
    <n v="3994.46"/>
    <n v="879603.56000000017"/>
    <n v="2150.6199511002451"/>
    <n v="910"/>
    <s v="Not Found"/>
    <s v="High Sale"/>
  </r>
  <r>
    <s v="ORD0602"/>
    <s v="2023-07-25"/>
    <s v="CUST038"/>
    <x v="3"/>
    <s v="Football"/>
    <s v="Mumbai"/>
    <s v="Karnataka"/>
    <x v="0"/>
    <n v="4"/>
    <n v="1104"/>
    <n v="11"/>
    <n v="3930.24"/>
    <n v="3930.2400000000002"/>
    <n v="875609.10000000021"/>
    <n v="2146.1007352941183"/>
    <n v="908"/>
    <s v="Not Found"/>
    <s v="High Sale"/>
  </r>
  <r>
    <s v="ORD0793"/>
    <s v="2023-05-11"/>
    <s v="CUST121"/>
    <x v="3"/>
    <s v="Mobile"/>
    <s v="Bangalore"/>
    <s v="Maharashtra"/>
    <x v="1"/>
    <n v="5"/>
    <n v="1028"/>
    <n v="24"/>
    <n v="3906.4"/>
    <n v="3906.4"/>
    <n v="871678.86000000034"/>
    <n v="2141.7171007371016"/>
    <n v="904"/>
    <s v="Not Found"/>
    <s v="High Sale"/>
  </r>
  <r>
    <s v="ORD0788"/>
    <s v="2023-05-18"/>
    <s v="CUST156"/>
    <x v="4"/>
    <s v="Mobile"/>
    <s v="Bangalore"/>
    <s v="Tamil Nadu"/>
    <x v="1"/>
    <n v="1"/>
    <n v="4153"/>
    <n v="6"/>
    <n v="3903.82"/>
    <n v="3903.8199999999997"/>
    <n v="867772.46000000031"/>
    <n v="2137.3705911330057"/>
    <n v="899"/>
    <s v="Not Found"/>
    <s v="High Sale"/>
  </r>
  <r>
    <s v="ORD0496"/>
    <s v="2023-06-27"/>
    <s v="CUST083"/>
    <x v="3"/>
    <s v="Sofa"/>
    <s v="Delhi"/>
    <s v="Karnataka"/>
    <x v="3"/>
    <n v="3"/>
    <n v="1754"/>
    <n v="26"/>
    <n v="3893.88"/>
    <n v="3893.88"/>
    <n v="863868.64000000036"/>
    <n v="2133.008987654322"/>
    <n v="898"/>
    <s v="Not Found"/>
    <s v="High Sale"/>
  </r>
  <r>
    <s v="ORD0366"/>
    <s v="2023-11-11"/>
    <s v="CUST284"/>
    <x v="0"/>
    <s v="Sofa"/>
    <s v="Mumbai"/>
    <s v="West Bengal"/>
    <x v="3"/>
    <n v="1"/>
    <n v="4123"/>
    <n v="6"/>
    <n v="3875.62"/>
    <n v="3875.62"/>
    <n v="859974.76000000036"/>
    <n v="2128.6503960396049"/>
    <n v="895"/>
    <s v="Not Found"/>
    <s v="High Sale"/>
  </r>
  <r>
    <s v="ORD0798"/>
    <s v="2023-03-10"/>
    <s v="CUST069"/>
    <x v="3"/>
    <s v="T-Shirt"/>
    <s v="Mumbai"/>
    <s v="Maharashtra"/>
    <x v="3"/>
    <n v="5"/>
    <n v="1072"/>
    <n v="28"/>
    <n v="3859.2"/>
    <n v="3859.2"/>
    <n v="856099.14000000036"/>
    <n v="2124.3154838709688"/>
    <n v="894"/>
    <s v="Not Found"/>
    <s v="High Sale"/>
  </r>
  <r>
    <s v="ORD0997"/>
    <s v="2023-03-08"/>
    <s v="CUST160"/>
    <x v="3"/>
    <s v="Football"/>
    <s v="Mumbai"/>
    <s v="Delhi"/>
    <x v="3"/>
    <n v="4"/>
    <n v="1378"/>
    <n v="30"/>
    <n v="3858.4"/>
    <n v="3858.3999999999996"/>
    <n v="852239.94000000029"/>
    <n v="2119.9998507462692"/>
    <n v="889"/>
    <s v="Not Found"/>
    <s v="High Sale"/>
  </r>
  <r>
    <s v="ORD0437"/>
    <s v="2023-03-12"/>
    <s v="CUST238"/>
    <x v="0"/>
    <s v="Sofa"/>
    <s v="Bangalore"/>
    <s v="West Bengal"/>
    <x v="2"/>
    <n v="5"/>
    <n v="777"/>
    <n v="1"/>
    <n v="3846.15"/>
    <n v="3846.15"/>
    <n v="848381.54000000039"/>
    <n v="2115.6646882793029"/>
    <n v="885"/>
    <s v="Not Found"/>
    <s v="High Sale"/>
  </r>
  <r>
    <s v="ORD0605"/>
    <s v="2023-08-21"/>
    <s v="CUST151"/>
    <x v="4"/>
    <s v="Shoes"/>
    <s v="Kolkata"/>
    <s v="Tamil Nadu"/>
    <x v="1"/>
    <n v="1"/>
    <n v="4208"/>
    <n v="9"/>
    <n v="3829.28"/>
    <n v="3829.28"/>
    <n v="844535.39000000036"/>
    <n v="2111.3384750000009"/>
    <n v="880"/>
    <s v="Not Found"/>
    <s v="High Sale"/>
  </r>
  <r>
    <s v="ORD0837"/>
    <s v="2023-02-17"/>
    <s v="CUST177"/>
    <x v="3"/>
    <s v="T-Shirt"/>
    <s v="Chennai"/>
    <s v="Karnataka"/>
    <x v="2"/>
    <n v="1"/>
    <n v="4969"/>
    <n v="23"/>
    <n v="3826.13"/>
    <n v="3826.13"/>
    <n v="840706.11000000034"/>
    <n v="2107.0328571428581"/>
    <n v="879"/>
    <s v="Not Found"/>
    <s v="High Sale"/>
  </r>
  <r>
    <s v="ORD0617"/>
    <s v="2023-03-06"/>
    <s v="CUST001"/>
    <x v="4"/>
    <s v="Football"/>
    <s v="Delhi"/>
    <s v="Tamil Nadu"/>
    <x v="0"/>
    <n v="1"/>
    <n v="4023"/>
    <n v="5"/>
    <n v="3821.85"/>
    <n v="3821.85"/>
    <n v="836879.98000000045"/>
    <n v="2102.7135175879407"/>
    <n v="878"/>
    <s v="Not Found"/>
    <s v="High Sale"/>
  </r>
  <r>
    <s v="ORD0460"/>
    <s v="2023-06-14"/>
    <s v="CUST258"/>
    <x v="0"/>
    <s v="Football"/>
    <s v="Kolkata"/>
    <s v="West Bengal"/>
    <x v="2"/>
    <n v="1"/>
    <n v="4775"/>
    <n v="20"/>
    <n v="3820"/>
    <n v="3820"/>
    <n v="833058.13000000035"/>
    <n v="2098.3831989924442"/>
    <n v="877"/>
    <s v="Not Found"/>
    <s v="High Sale"/>
  </r>
  <r>
    <s v="ORD0624"/>
    <s v="2023-08-22"/>
    <s v="CUST165"/>
    <x v="1"/>
    <s v="Football"/>
    <s v="Delhi"/>
    <s v="West Bengal"/>
    <x v="3"/>
    <n v="3"/>
    <n v="1308"/>
    <n v="3"/>
    <n v="3806.28"/>
    <n v="3806.2799999999997"/>
    <n v="829238.13000000024"/>
    <n v="2094.0356818181826"/>
    <n v="876"/>
    <s v="Not Found"/>
    <s v="High Sale"/>
  </r>
  <r>
    <s v="ORD0219"/>
    <s v="2023-09-25"/>
    <s v="CUST010"/>
    <x v="2"/>
    <s v="T-Shirt"/>
    <s v="Mumbai"/>
    <s v="Delhi"/>
    <x v="3"/>
    <n v="2"/>
    <n v="2536"/>
    <n v="25"/>
    <n v="3804"/>
    <n v="3804"/>
    <n v="825431.85000000033"/>
    <n v="2089.7008860759502"/>
    <n v="873"/>
    <s v="Not Found"/>
    <s v="High Sale"/>
  </r>
  <r>
    <s v="ORD0446"/>
    <s v="2023-08-20"/>
    <s v="CUST128"/>
    <x v="3"/>
    <s v="Laptop"/>
    <s v="Kolkata"/>
    <s v="Maharashtra"/>
    <x v="0"/>
    <n v="2"/>
    <n v="2568"/>
    <n v="26"/>
    <n v="3800.64"/>
    <n v="3800.64"/>
    <n v="821627.85000000033"/>
    <n v="2085.3498730964475"/>
    <n v="871"/>
    <s v="Not Found"/>
    <s v="High Sale"/>
  </r>
  <r>
    <s v="ORD0784"/>
    <s v="2023-09-16"/>
    <s v="CUST245"/>
    <x v="3"/>
    <s v="Laptop"/>
    <s v="Kolkata"/>
    <s v="Maharashtra"/>
    <x v="1"/>
    <n v="2"/>
    <n v="2462"/>
    <n v="23"/>
    <n v="3791.48"/>
    <n v="3791.48"/>
    <n v="817827.21000000031"/>
    <n v="2080.9852671755734"/>
    <n v="869"/>
    <s v="Not Found"/>
    <s v="High Sale"/>
  </r>
  <r>
    <s v="ORD0879"/>
    <s v="2023-02-07"/>
    <s v="CUST158"/>
    <x v="1"/>
    <s v="Mobile"/>
    <s v="Mumbai"/>
    <s v="Karnataka"/>
    <x v="3"/>
    <n v="2"/>
    <n v="1888"/>
    <n v="0"/>
    <n v="3776"/>
    <n v="3776"/>
    <n v="814035.73000000021"/>
    <n v="2076.621760204082"/>
    <n v="867"/>
    <s v="Not Found"/>
    <s v="High Sale"/>
  </r>
  <r>
    <s v="ORD0387"/>
    <s v="2023-10-20"/>
    <s v="CUST076"/>
    <x v="0"/>
    <s v="Sofa"/>
    <s v="Kolkata"/>
    <s v="Tamil Nadu"/>
    <x v="0"/>
    <n v="5"/>
    <n v="1031"/>
    <n v="27"/>
    <n v="3763.15"/>
    <n v="3763.15"/>
    <n v="810259.73000000033"/>
    <n v="2072.2755242966759"/>
    <n v="865"/>
    <s v="Not Found"/>
    <s v="High Sale"/>
  </r>
  <r>
    <s v="ORD0735"/>
    <s v="2023-12-16"/>
    <s v="CUST180"/>
    <x v="3"/>
    <s v="Sofa"/>
    <s v="Bangalore"/>
    <s v="West Bengal"/>
    <x v="3"/>
    <n v="2"/>
    <n v="2613"/>
    <n v="28"/>
    <n v="3762.72"/>
    <n v="3762.72"/>
    <n v="806496.58000000019"/>
    <n v="2067.9399487179494"/>
    <n v="860"/>
    <s v="Not Found"/>
    <s v="High Sale"/>
  </r>
  <r>
    <s v="ORD0230"/>
    <s v="2023-07-01"/>
    <s v="CUST061"/>
    <x v="4"/>
    <s v="Mobile"/>
    <s v="Bangalore"/>
    <s v="Maharashtra"/>
    <x v="2"/>
    <n v="1"/>
    <n v="4477"/>
    <n v="16"/>
    <n v="3760.68"/>
    <n v="3760.68"/>
    <n v="802733.86000000022"/>
    <n v="2063.583187660669"/>
    <n v="858"/>
    <s v="Not Found"/>
    <s v="High Sale"/>
  </r>
  <r>
    <s v="ORD0335"/>
    <s v="2023-02-24"/>
    <s v="CUST148"/>
    <x v="0"/>
    <s v="Laptop"/>
    <s v="Mumbai"/>
    <s v="Karnataka"/>
    <x v="2"/>
    <n v="2"/>
    <n v="1856"/>
    <n v="0"/>
    <n v="3712"/>
    <n v="3712"/>
    <n v="798973.18000000017"/>
    <n v="2059.2092268041242"/>
    <n v="857"/>
    <s v="Not Found"/>
    <s v="High Sale"/>
  </r>
  <r>
    <s v="ORD0074"/>
    <s v="2023-11-03"/>
    <s v="CUST209"/>
    <x v="1"/>
    <s v="Laptop"/>
    <s v="Kolkata"/>
    <s v="Karnataka"/>
    <x v="2"/>
    <n v="1"/>
    <n v="4330"/>
    <n v="15"/>
    <n v="3680.5"/>
    <n v="3680.5"/>
    <n v="795261.18000000017"/>
    <n v="2054.9384496124035"/>
    <n v="855"/>
    <s v="Not Found"/>
    <s v="High Sale"/>
  </r>
  <r>
    <s v="ORD0962"/>
    <s v="2023-06-14"/>
    <s v="CUST192"/>
    <x v="2"/>
    <s v="Football"/>
    <s v="Kolkata"/>
    <s v="Maharashtra"/>
    <x v="0"/>
    <n v="5"/>
    <n v="968"/>
    <n v="24"/>
    <n v="3678.4"/>
    <n v="3678.4"/>
    <n v="791580.68000000017"/>
    <n v="2050.7271502590679"/>
    <n v="854"/>
    <s v="Not Found"/>
    <s v="High Sale"/>
  </r>
  <r>
    <s v="ORD0915"/>
    <s v="2023-07-27"/>
    <s v="CUST154"/>
    <x v="0"/>
    <s v="T-Shirt"/>
    <s v="Chennai"/>
    <s v="Tamil Nadu"/>
    <x v="1"/>
    <n v="5"/>
    <n v="885"/>
    <n v="17"/>
    <n v="3672.75"/>
    <n v="3672.75"/>
    <n v="787902.28000000014"/>
    <n v="2046.499428571429"/>
    <n v="849"/>
    <s v="Not Found"/>
    <s v="High Sale"/>
  </r>
  <r>
    <s v="ORD0151"/>
    <s v="2023-12-01"/>
    <s v="CUST162"/>
    <x v="0"/>
    <s v="Football"/>
    <s v="Chennai"/>
    <s v="Maharashtra"/>
    <x v="0"/>
    <n v="2"/>
    <n v="2433"/>
    <n v="25"/>
    <n v="3649.5"/>
    <n v="3649.5"/>
    <n v="784229.53000000014"/>
    <n v="2042.264401041667"/>
    <n v="844"/>
    <s v="Not Found"/>
    <s v="High Sale"/>
  </r>
  <r>
    <s v="ORD0974"/>
    <s v="2023-06-12"/>
    <s v="CUST045"/>
    <x v="0"/>
    <s v="Mobile"/>
    <s v="Mumbai"/>
    <s v="Tamil Nadu"/>
    <x v="0"/>
    <n v="4"/>
    <n v="1084"/>
    <n v="16"/>
    <n v="3642.24"/>
    <n v="3642.24"/>
    <n v="780580.03000000014"/>
    <n v="2038.0679634464755"/>
    <n v="842"/>
    <s v="Not Found"/>
    <s v="High Sale"/>
  </r>
  <r>
    <s v="ORD0381"/>
    <s v="2023-09-21"/>
    <s v="CUST031"/>
    <x v="0"/>
    <s v="Laptop"/>
    <s v="Mumbai"/>
    <s v="Maharashtra"/>
    <x v="2"/>
    <n v="2"/>
    <n v="1937"/>
    <n v="6"/>
    <n v="3641.56"/>
    <n v="3641.56"/>
    <n v="776937.79000000015"/>
    <n v="2033.8685602094245"/>
    <n v="838"/>
    <s v="Not Found"/>
    <s v="High Sale"/>
  </r>
  <r>
    <s v="ORD0229"/>
    <s v="2023-07-15"/>
    <s v="CUST144"/>
    <x v="1"/>
    <s v="Football"/>
    <s v="Kolkata"/>
    <s v="Maharashtra"/>
    <x v="1"/>
    <n v="1"/>
    <n v="4604"/>
    <n v="21"/>
    <n v="3637.16"/>
    <n v="3637.1600000000003"/>
    <n v="773296.23000000021"/>
    <n v="2029.6488976377959"/>
    <n v="836"/>
    <s v="Not Found"/>
    <s v="High Sale"/>
  </r>
  <r>
    <s v="ORD0626"/>
    <s v="2023-05-20"/>
    <s v="CUST033"/>
    <x v="1"/>
    <s v="Laptop"/>
    <s v="Mumbai"/>
    <s v="Maharashtra"/>
    <x v="3"/>
    <n v="2"/>
    <n v="1855"/>
    <n v="2"/>
    <n v="3635.8"/>
    <n v="3635.7999999999997"/>
    <n v="769659.07000000007"/>
    <n v="2025.418605263158"/>
    <n v="835"/>
    <s v="Not Found"/>
    <s v="High Sale"/>
  </r>
  <r>
    <s v="ORD0153"/>
    <s v="2023-01-21"/>
    <s v="CUST078"/>
    <x v="4"/>
    <s v="Shoes"/>
    <s v="Delhi"/>
    <s v="Delhi"/>
    <x v="0"/>
    <n v="3"/>
    <n v="1391"/>
    <n v="13"/>
    <n v="3630.51"/>
    <n v="3630.5099999999998"/>
    <n v="766023.27000000014"/>
    <n v="2021.1695778364119"/>
    <n v="833"/>
    <s v="Not Found"/>
    <s v="High Sale"/>
  </r>
  <r>
    <s v="ORD0350"/>
    <s v="2023-01-09"/>
    <s v="CUST208"/>
    <x v="1"/>
    <s v="Face Cream"/>
    <s v="Kolkata"/>
    <s v="Delhi"/>
    <x v="1"/>
    <n v="2"/>
    <n v="2481"/>
    <n v="27"/>
    <n v="3622.26"/>
    <n v="3622.2599999999998"/>
    <n v="762392.76000000013"/>
    <n v="2016.9120634920639"/>
    <n v="830"/>
    <s v="Not Found"/>
    <s v="High Sale"/>
  </r>
  <r>
    <s v="ORD0458"/>
    <s v="2023-08-09"/>
    <s v="CUST269"/>
    <x v="1"/>
    <s v="Sofa"/>
    <s v="Chennai"/>
    <s v="Tamil Nadu"/>
    <x v="3"/>
    <n v="2"/>
    <n v="1984"/>
    <n v="9"/>
    <n v="3610.88"/>
    <n v="3610.88"/>
    <n v="758770.5"/>
    <n v="2012.6538461538462"/>
    <n v="828"/>
    <s v="Not Found"/>
    <s v="High Sale"/>
  </r>
  <r>
    <s v="ORD0955"/>
    <s v="2023-07-01"/>
    <s v="CUST214"/>
    <x v="2"/>
    <s v="Face Cream"/>
    <s v="Bangalore"/>
    <s v="Tamil Nadu"/>
    <x v="0"/>
    <n v="1"/>
    <n v="4444"/>
    <n v="19"/>
    <n v="3599.64"/>
    <n v="3599.6400000000003"/>
    <n v="755159.61999999988"/>
    <n v="2008.4032446808508"/>
    <n v="826"/>
    <s v="Not Found"/>
    <s v="High Sale"/>
  </r>
  <r>
    <s v="ORD0050"/>
    <s v="2023-12-06"/>
    <s v="CUST163"/>
    <x v="4"/>
    <s v="Face Cream"/>
    <s v="Kolkata"/>
    <s v="West Bengal"/>
    <x v="0"/>
    <n v="3"/>
    <n v="1462"/>
    <n v="18"/>
    <n v="3596.52"/>
    <n v="3596.5200000000004"/>
    <n v="751559.97999999986"/>
    <n v="2004.1599466666662"/>
    <n v="825"/>
    <s v="Not Found"/>
    <s v="High Sale"/>
  </r>
  <r>
    <s v="ORD0208"/>
    <s v="2023-11-27"/>
    <s v="CUST117"/>
    <x v="1"/>
    <s v="Face Cream"/>
    <s v="Chennai"/>
    <s v="Maharashtra"/>
    <x v="2"/>
    <n v="4"/>
    <n v="914"/>
    <n v="2"/>
    <n v="3582.88"/>
    <n v="3582.88"/>
    <n v="747963.45999999985"/>
    <n v="1999.9022994652403"/>
    <n v="822"/>
    <s v="Not Found"/>
    <s v="High Sale"/>
  </r>
  <r>
    <s v="ORD0963"/>
    <s v="2023-12-05"/>
    <s v="CUST081"/>
    <x v="2"/>
    <s v="Football"/>
    <s v="Bangalore"/>
    <s v="Karnataka"/>
    <x v="3"/>
    <n v="2"/>
    <n v="2262"/>
    <n v="21"/>
    <n v="3573.96"/>
    <n v="3573.96"/>
    <n v="744380.58"/>
    <n v="1995.6583914209114"/>
    <n v="818"/>
    <s v="Not Found"/>
    <s v="High Sale"/>
  </r>
  <r>
    <s v="ORD0600"/>
    <s v="2023-04-29"/>
    <s v="CUST172"/>
    <x v="3"/>
    <s v="Sofa"/>
    <s v="Mumbai"/>
    <s v="West Bengal"/>
    <x v="1"/>
    <n v="3"/>
    <n v="1487"/>
    <n v="20"/>
    <n v="3568.8"/>
    <n v="3568.8"/>
    <n v="740806.62"/>
    <n v="1991.4156451612903"/>
    <n v="816"/>
    <s v="Not Found"/>
    <s v="High Sale"/>
  </r>
  <r>
    <s v="ORD0542"/>
    <s v="2023-01-06"/>
    <s v="CUST034"/>
    <x v="4"/>
    <s v="Sofa"/>
    <s v="Delhi"/>
    <s v="Karnataka"/>
    <x v="2"/>
    <n v="2"/>
    <n v="2315"/>
    <n v="23"/>
    <n v="3565.1"/>
    <n v="3565.1"/>
    <n v="737237.82"/>
    <n v="1987.1639353099729"/>
    <n v="813"/>
    <s v="Not Found"/>
    <s v="High Sale"/>
  </r>
  <r>
    <s v="ORD0606"/>
    <s v="2023-02-03"/>
    <s v="CUST190"/>
    <x v="4"/>
    <s v="Face Cream"/>
    <s v="Bangalore"/>
    <s v="Tamil Nadu"/>
    <x v="1"/>
    <n v="5"/>
    <n v="848"/>
    <n v="16"/>
    <n v="3561.6"/>
    <n v="3561.6"/>
    <n v="733672.71999999986"/>
    <n v="1982.8992432432428"/>
    <n v="811"/>
    <s v="Not Found"/>
    <s v="High Sale"/>
  </r>
  <r>
    <s v="ORD0160"/>
    <s v="2023-05-04"/>
    <s v="CUST229"/>
    <x v="0"/>
    <s v="T-Shirt"/>
    <s v="Mumbai"/>
    <s v="Karnataka"/>
    <x v="1"/>
    <n v="5"/>
    <n v="866"/>
    <n v="18"/>
    <n v="3550.6"/>
    <n v="3550.6000000000004"/>
    <n v="730111.11999999988"/>
    <n v="1978.6209214092137"/>
    <n v="806"/>
    <s v="Not Found"/>
    <s v="High Sale"/>
  </r>
  <r>
    <s v="ORD0778"/>
    <s v="2023-01-09"/>
    <s v="CUST160"/>
    <x v="2"/>
    <s v="Football"/>
    <s v="Bangalore"/>
    <s v="Karnataka"/>
    <x v="2"/>
    <n v="3"/>
    <n v="1438"/>
    <n v="18"/>
    <n v="3537.48"/>
    <n v="3537.4800000000005"/>
    <n v="726560.5199999999"/>
    <n v="1974.3492391304346"/>
    <n v="801"/>
    <s v="Not Found"/>
    <s v="High Sale"/>
  </r>
  <r>
    <s v="ORD0354"/>
    <s v="2023-06-02"/>
    <s v="CUST249"/>
    <x v="2"/>
    <s v="Shoes"/>
    <s v="Kolkata"/>
    <s v="Tamil Nadu"/>
    <x v="3"/>
    <n v="1"/>
    <n v="3571"/>
    <n v="1"/>
    <n v="3535.29"/>
    <n v="3535.29"/>
    <n v="723023.03999999992"/>
    <n v="1970.0900272479562"/>
    <n v="798"/>
    <s v="Not Found"/>
    <s v="High Sale"/>
  </r>
  <r>
    <s v="ORD0749"/>
    <s v="2023-09-12"/>
    <s v="CUST179"/>
    <x v="4"/>
    <s v="Face Cream"/>
    <s v="Bangalore"/>
    <s v="Karnataka"/>
    <x v="3"/>
    <n v="2"/>
    <n v="1767"/>
    <n v="0"/>
    <n v="3534"/>
    <n v="3534"/>
    <n v="719487.74999999988"/>
    <n v="1965.8135245901635"/>
    <n v="797"/>
    <s v="Not Found"/>
    <s v="High Sale"/>
  </r>
  <r>
    <s v="ORD0518"/>
    <s v="2023-02-28"/>
    <s v="CUST104"/>
    <x v="4"/>
    <s v="Football"/>
    <s v="Chennai"/>
    <s v="Tamil Nadu"/>
    <x v="2"/>
    <n v="5"/>
    <n v="892"/>
    <n v="21"/>
    <n v="3523.4"/>
    <n v="3523.4"/>
    <n v="715953.74999999977"/>
    <n v="1961.5171232876705"/>
    <n v="795"/>
    <s v="Not Found"/>
    <s v="High Sale"/>
  </r>
  <r>
    <s v="ORD0308"/>
    <s v="2023-02-05"/>
    <s v="CUST029"/>
    <x v="0"/>
    <s v="Face Cream"/>
    <s v="Mumbai"/>
    <s v="West Bengal"/>
    <x v="0"/>
    <n v="4"/>
    <n v="917"/>
    <n v="4"/>
    <n v="3521.28"/>
    <n v="3521.2799999999997"/>
    <n v="712430.34999999974"/>
    <n v="1957.2262362637355"/>
    <n v="790"/>
    <s v="Not Found"/>
    <s v="High Sale"/>
  </r>
  <r>
    <s v="ORD0926"/>
    <s v="2023-03-02"/>
    <s v="CUST291"/>
    <x v="2"/>
    <s v="Laptop"/>
    <s v="Delhi"/>
    <s v="Karnataka"/>
    <x v="0"/>
    <n v="3"/>
    <n v="1290"/>
    <n v="10"/>
    <n v="3483"/>
    <n v="3483"/>
    <n v="708909.06999999972"/>
    <n v="1952.9175482093656"/>
    <n v="786"/>
    <s v="Not Found"/>
    <s v="High Sale"/>
  </r>
  <r>
    <s v="ORD0359"/>
    <s v="2023-01-18"/>
    <s v="CUST194"/>
    <x v="0"/>
    <s v="Football"/>
    <s v="Kolkata"/>
    <s v="Tamil Nadu"/>
    <x v="2"/>
    <n v="3"/>
    <n v="1206"/>
    <n v="4"/>
    <n v="3473.28"/>
    <n v="3473.2799999999997"/>
    <n v="705426.0699999996"/>
    <n v="1948.6908011049713"/>
    <n v="783"/>
    <s v="Not Found"/>
    <s v="High Sale"/>
  </r>
  <r>
    <s v="ORD0517"/>
    <s v="2023-09-26"/>
    <s v="CUST194"/>
    <x v="3"/>
    <s v="Shoes"/>
    <s v="Mumbai"/>
    <s v="Delhi"/>
    <x v="2"/>
    <n v="5"/>
    <n v="898"/>
    <n v="23"/>
    <n v="3457.3"/>
    <n v="3457.3"/>
    <n v="701952.78999999969"/>
    <n v="1944.467562326869"/>
    <n v="780"/>
    <s v="Not Found"/>
    <s v="High Sale"/>
  </r>
  <r>
    <s v="ORD0117"/>
    <s v="2023-07-23"/>
    <s v="CUST049"/>
    <x v="4"/>
    <s v="Shoes"/>
    <s v="Chennai"/>
    <s v="Maharashtra"/>
    <x v="1"/>
    <n v="3"/>
    <n v="1618"/>
    <n v="29"/>
    <n v="3446.34"/>
    <n v="3446.3399999999997"/>
    <n v="698495.48999999976"/>
    <n v="1940.2652499999992"/>
    <n v="775"/>
    <s v="Not Found"/>
    <s v="High Sale"/>
  </r>
  <r>
    <s v="ORD0876"/>
    <s v="2023-07-18"/>
    <s v="CUST079"/>
    <x v="3"/>
    <s v="Football"/>
    <s v="Bangalore"/>
    <s v="Tamil Nadu"/>
    <x v="3"/>
    <n v="2"/>
    <n v="2266"/>
    <n v="24"/>
    <n v="3444.32"/>
    <n v="3444.32"/>
    <n v="695049.14999999967"/>
    <n v="1936.0700557103055"/>
    <n v="772"/>
    <s v="Not Found"/>
    <s v="High Sale"/>
  </r>
  <r>
    <s v="ORD0529"/>
    <s v="2023-04-21"/>
    <s v="CUST056"/>
    <x v="3"/>
    <s v="Football"/>
    <s v="Bangalore"/>
    <s v="Maharashtra"/>
    <x v="3"/>
    <n v="4"/>
    <n v="1148"/>
    <n v="25"/>
    <n v="3444"/>
    <n v="3444"/>
    <n v="691604.82999999961"/>
    <n v="1931.857067039105"/>
    <n v="770"/>
    <s v="Not Found"/>
    <s v="High Sale"/>
  </r>
  <r>
    <s v="ORD0128"/>
    <s v="2023-07-02"/>
    <s v="CUST168"/>
    <x v="2"/>
    <s v="Laptop"/>
    <s v="Chennai"/>
    <s v="Karnataka"/>
    <x v="3"/>
    <n v="5"/>
    <n v="871"/>
    <n v="21"/>
    <n v="3440.45"/>
    <n v="3440.4500000000003"/>
    <n v="688160.82999999961"/>
    <n v="1927.6213725490186"/>
    <n v="766"/>
    <s v="Not Found"/>
    <s v="High Sale"/>
  </r>
  <r>
    <s v="ORD0541"/>
    <s v="2023-11-03"/>
    <s v="CUST152"/>
    <x v="0"/>
    <s v="Shoes"/>
    <s v="Delhi"/>
    <s v="Delhi"/>
    <x v="0"/>
    <n v="2"/>
    <n v="1716"/>
    <n v="0"/>
    <n v="3432"/>
    <n v="3432"/>
    <n v="684720.37999999954"/>
    <n v="1923.371853932583"/>
    <n v="761"/>
    <s v="Not Found"/>
    <s v="High Sale"/>
  </r>
  <r>
    <s v="ORD0986"/>
    <s v="2023-01-30"/>
    <s v="CUST060"/>
    <x v="4"/>
    <s v="Mobile"/>
    <s v="Mumbai"/>
    <s v="West Bengal"/>
    <x v="2"/>
    <n v="2"/>
    <n v="2448"/>
    <n v="30"/>
    <n v="3427.2"/>
    <n v="3427.2"/>
    <n v="681288.37999999966"/>
    <n v="1919.1221971830976"/>
    <n v="759"/>
    <s v="Not Found"/>
    <s v="High Sale"/>
  </r>
  <r>
    <s v="ORD0487"/>
    <s v="2023-04-23"/>
    <s v="CUST137"/>
    <x v="4"/>
    <s v="Mobile"/>
    <s v="Kolkata"/>
    <s v="Maharashtra"/>
    <x v="2"/>
    <n v="5"/>
    <n v="936"/>
    <n v="27"/>
    <n v="3416.4"/>
    <n v="3416.4"/>
    <n v="677861.17999999959"/>
    <n v="1914.8620903954791"/>
    <n v="757"/>
    <s v="Not Found"/>
    <s v="High Sale"/>
  </r>
  <r>
    <s v="ORD0706"/>
    <s v="2023-05-14"/>
    <s v="CUST155"/>
    <x v="4"/>
    <s v="Football"/>
    <s v="Mumbai"/>
    <s v="West Bengal"/>
    <x v="1"/>
    <n v="2"/>
    <n v="1743"/>
    <n v="2"/>
    <n v="3416.28"/>
    <n v="3416.2799999999997"/>
    <n v="674444.7799999998"/>
    <n v="1910.608441926345"/>
    <n v="752"/>
    <s v="Not Found"/>
    <s v="High Sale"/>
  </r>
  <r>
    <s v="ORD0290"/>
    <s v="2023-02-28"/>
    <s v="CUST170"/>
    <x v="3"/>
    <s v="Mobile"/>
    <s v="Kolkata"/>
    <s v="West Bengal"/>
    <x v="3"/>
    <n v="1"/>
    <n v="3826"/>
    <n v="11"/>
    <n v="3405.14"/>
    <n v="3405.14"/>
    <n v="671028.49999999977"/>
    <n v="1906.3309659090903"/>
    <n v="750"/>
    <s v="Not Found"/>
    <s v="High Sale"/>
  </r>
  <r>
    <s v="ORD0618"/>
    <s v="2023-03-26"/>
    <s v="CUST192"/>
    <x v="2"/>
    <s v="Sofa"/>
    <s v="Delhi"/>
    <s v="Delhi"/>
    <x v="1"/>
    <n v="2"/>
    <n v="1830"/>
    <n v="7"/>
    <n v="3403.8"/>
    <n v="3403.7999999999997"/>
    <n v="667623.35999999975"/>
    <n v="1902.060854700854"/>
    <n v="749"/>
    <s v="Not Found"/>
    <s v="High Sale"/>
  </r>
  <r>
    <s v="ORD0236"/>
    <s v="2023-07-19"/>
    <s v="CUST283"/>
    <x v="4"/>
    <s v="Mobile"/>
    <s v="Delhi"/>
    <s v="Tamil Nadu"/>
    <x v="3"/>
    <n v="1"/>
    <n v="3473"/>
    <n v="2"/>
    <n v="3403.54"/>
    <n v="3403.54"/>
    <n v="664219.55999999982"/>
    <n v="1897.7701714285708"/>
    <n v="747"/>
    <s v="Not Found"/>
    <s v="High Sale"/>
  </r>
  <r>
    <s v="ORD0822"/>
    <s v="2023-05-09"/>
    <s v="CUST094"/>
    <x v="2"/>
    <s v="Face Cream"/>
    <s v="Bangalore"/>
    <s v="West Bengal"/>
    <x v="2"/>
    <n v="2"/>
    <n v="2154"/>
    <n v="21"/>
    <n v="3403.32"/>
    <n v="3403.32"/>
    <n v="660816.0199999999"/>
    <n v="1893.4556446991401"/>
    <n v="746"/>
    <s v="Not Found"/>
    <s v="High Sale"/>
  </r>
  <r>
    <s v="ORD0582"/>
    <s v="2023-12-22"/>
    <s v="CUST121"/>
    <x v="1"/>
    <s v="T-Shirt"/>
    <s v="Bangalore"/>
    <s v="Tamil Nadu"/>
    <x v="1"/>
    <n v="2"/>
    <n v="1932"/>
    <n v="12"/>
    <n v="3400.32"/>
    <n v="3400.32"/>
    <n v="657412.70000000007"/>
    <n v="1889.1169540229887"/>
    <n v="744"/>
    <s v="Not Found"/>
    <s v="High Sale"/>
  </r>
  <r>
    <s v="ORD0663"/>
    <s v="2023-05-31"/>
    <s v="CUST294"/>
    <x v="2"/>
    <s v="Football"/>
    <s v="Chennai"/>
    <s v="Delhi"/>
    <x v="0"/>
    <n v="2"/>
    <n v="2073"/>
    <n v="18"/>
    <n v="3399.72"/>
    <n v="3399.7200000000003"/>
    <n v="654012.38"/>
    <n v="1884.761902017291"/>
    <n v="742"/>
    <s v="Not Found"/>
    <s v="High Sale"/>
  </r>
  <r>
    <s v="ORD0361"/>
    <s v="2023-07-28"/>
    <s v="CUST209"/>
    <x v="2"/>
    <s v="Face Cream"/>
    <s v="Bangalore"/>
    <s v="Karnataka"/>
    <x v="3"/>
    <n v="4"/>
    <n v="845"/>
    <n v="0"/>
    <n v="3380"/>
    <n v="3380"/>
    <n v="650612.66"/>
    <n v="1880.3834104046243"/>
    <n v="740"/>
    <s v="Not Found"/>
    <s v="High Sale"/>
  </r>
  <r>
    <s v="ORD0902"/>
    <s v="2023-01-08"/>
    <s v="CUST045"/>
    <x v="4"/>
    <s v="Face Cream"/>
    <s v="Kolkata"/>
    <s v="Delhi"/>
    <x v="0"/>
    <n v="1"/>
    <n v="4502"/>
    <n v="25"/>
    <n v="3376.5"/>
    <n v="3376.5"/>
    <n v="647232.66"/>
    <n v="1876.0366956521741"/>
    <n v="736"/>
    <s v="Not Found"/>
    <s v="High Sale"/>
  </r>
  <r>
    <s v="ORD0604"/>
    <s v="2023-06-01"/>
    <s v="CUST098"/>
    <x v="0"/>
    <s v="Mobile"/>
    <s v="Chennai"/>
    <s v="West Bengal"/>
    <x v="2"/>
    <n v="2"/>
    <n v="2034"/>
    <n v="17"/>
    <n v="3376.44"/>
    <n v="3376.44"/>
    <n v="643856.16"/>
    <n v="1871.6748837209304"/>
    <n v="735"/>
    <s v="Not Found"/>
    <s v="High Sale"/>
  </r>
  <r>
    <s v="ORD0062"/>
    <s v="2023-10-09"/>
    <s v="CUST092"/>
    <x v="2"/>
    <s v="Football"/>
    <s v="Chennai"/>
    <s v="West Bengal"/>
    <x v="2"/>
    <n v="1"/>
    <n v="4242"/>
    <n v="21"/>
    <n v="3351.18"/>
    <n v="3351.1800000000003"/>
    <n v="640479.72"/>
    <n v="1867.2878134110786"/>
    <n v="733"/>
    <s v="Not Found"/>
    <s v="High Sale"/>
  </r>
  <r>
    <s v="ORD0865"/>
    <s v="2023-05-23"/>
    <s v="CUST264"/>
    <x v="4"/>
    <s v="Laptop"/>
    <s v="Mumbai"/>
    <s v="Maharashtra"/>
    <x v="1"/>
    <n v="1"/>
    <n v="3932"/>
    <n v="15"/>
    <n v="3342.2"/>
    <n v="3342.2"/>
    <n v="637128.54"/>
    <n v="1862.9489473684212"/>
    <n v="732"/>
    <s v="Not Found"/>
    <s v="High Sale"/>
  </r>
  <r>
    <s v="ORD0171"/>
    <s v="2023-07-19"/>
    <s v="CUST216"/>
    <x v="3"/>
    <s v="Shoes"/>
    <s v="Bangalore"/>
    <s v="West Bengal"/>
    <x v="3"/>
    <n v="1"/>
    <n v="3396"/>
    <n v="2"/>
    <n v="3328.08"/>
    <n v="3328.08"/>
    <n v="633786.34"/>
    <n v="1858.6109677419354"/>
    <n v="731"/>
    <s v="Not Found"/>
    <s v="High Sale"/>
  </r>
  <r>
    <s v="ORD0162"/>
    <s v="2023-07-26"/>
    <s v="CUST281"/>
    <x v="4"/>
    <s v="Laptop"/>
    <s v="Bangalore"/>
    <s v="Maharashtra"/>
    <x v="3"/>
    <n v="2"/>
    <n v="1926"/>
    <n v="14"/>
    <n v="3312.72"/>
    <n v="3312.72"/>
    <n v="630458.26"/>
    <n v="1854.289"/>
    <n v="730"/>
    <s v="Not Found"/>
    <s v="High Sale"/>
  </r>
  <r>
    <s v="ORD0320"/>
    <s v="2023-08-21"/>
    <s v="CUST006"/>
    <x v="2"/>
    <s v="Face Cream"/>
    <s v="Kolkata"/>
    <s v="Tamil Nadu"/>
    <x v="3"/>
    <n v="5"/>
    <n v="807"/>
    <n v="18"/>
    <n v="3308.7"/>
    <n v="3308.7000000000003"/>
    <n v="627145.53999999992"/>
    <n v="1849.986843657817"/>
    <n v="728"/>
    <s v="Not Found"/>
    <s v="High Sale"/>
  </r>
  <r>
    <s v="ORD0404"/>
    <s v="2023-07-04"/>
    <s v="CUST016"/>
    <x v="4"/>
    <s v="Shoes"/>
    <s v="Kolkata"/>
    <s v="Tamil Nadu"/>
    <x v="2"/>
    <n v="1"/>
    <n v="4557"/>
    <n v="28"/>
    <n v="3281.04"/>
    <n v="3281.04"/>
    <n v="623836.84"/>
    <n v="1845.6711242603549"/>
    <n v="723"/>
    <s v="Not Found"/>
    <s v="High Sale"/>
  </r>
  <r>
    <s v="ORD0482"/>
    <s v="2023-10-03"/>
    <s v="CUST262"/>
    <x v="2"/>
    <s v="Face Cream"/>
    <s v="Mumbai"/>
    <s v="Maharashtra"/>
    <x v="1"/>
    <n v="1"/>
    <n v="4149"/>
    <n v="21"/>
    <n v="3277.71"/>
    <n v="3277.71"/>
    <n v="620555.79999999993"/>
    <n v="1841.4118694362016"/>
    <n v="722"/>
    <s v="Not Found"/>
    <s v="High Sale"/>
  </r>
  <r>
    <s v="ORD0302"/>
    <s v="2023-08-30"/>
    <s v="CUST292"/>
    <x v="0"/>
    <s v="Football"/>
    <s v="Chennai"/>
    <s v="Karnataka"/>
    <x v="0"/>
    <n v="3"/>
    <n v="1101"/>
    <n v="1"/>
    <n v="3269.97"/>
    <n v="3269.97"/>
    <n v="617278.08999999985"/>
    <n v="1837.1371726190471"/>
    <n v="721"/>
    <s v="Not Found"/>
    <s v="High Sale"/>
  </r>
  <r>
    <s v="ORD0170"/>
    <s v="2023-03-11"/>
    <s v="CUST047"/>
    <x v="4"/>
    <s v="Football"/>
    <s v="Delhi"/>
    <s v="Tamil Nadu"/>
    <x v="1"/>
    <n v="2"/>
    <n v="2000"/>
    <n v="19"/>
    <n v="3240"/>
    <n v="3240"/>
    <n v="614008.12"/>
    <n v="1832.8600597014924"/>
    <n v="718"/>
    <s v="Not Found"/>
    <s v="High Sale"/>
  </r>
  <r>
    <s v="ORD0852"/>
    <s v="2023-08-30"/>
    <s v="CUST287"/>
    <x v="2"/>
    <s v="Football"/>
    <s v="Delhi"/>
    <s v="Delhi"/>
    <x v="3"/>
    <n v="1"/>
    <n v="4421"/>
    <n v="27"/>
    <n v="3227.33"/>
    <n v="3227.33"/>
    <n v="610768.12"/>
    <n v="1828.6470658682636"/>
    <n v="716"/>
    <s v="Not Found"/>
    <s v="High Sale"/>
  </r>
  <r>
    <s v="ORD0774"/>
    <s v="2023-07-22"/>
    <s v="CUST194"/>
    <x v="4"/>
    <s v="Sofa"/>
    <s v="Kolkata"/>
    <s v="West Bengal"/>
    <x v="0"/>
    <n v="5"/>
    <n v="740"/>
    <n v="13"/>
    <n v="3219"/>
    <n v="3219"/>
    <n v="607540.79"/>
    <n v="1824.4468168168169"/>
    <n v="715"/>
    <s v="Not Found"/>
    <s v="High Sale"/>
  </r>
  <r>
    <s v="ORD0906"/>
    <s v="2023-12-04"/>
    <s v="CUST088"/>
    <x v="4"/>
    <s v="Laptop"/>
    <s v="Chennai"/>
    <s v="West Bengal"/>
    <x v="2"/>
    <n v="1"/>
    <n v="4223"/>
    <n v="24"/>
    <n v="3209.48"/>
    <n v="3209.48"/>
    <n v="604321.78999999992"/>
    <n v="1820.2463554216865"/>
    <n v="710"/>
    <s v="Not Found"/>
    <s v="High Sale"/>
  </r>
  <r>
    <s v="ORD0252"/>
    <s v="2023-12-21"/>
    <s v="CUST037"/>
    <x v="3"/>
    <s v="T-Shirt"/>
    <s v="Mumbai"/>
    <s v="West Bengal"/>
    <x v="1"/>
    <n v="2"/>
    <n v="2259"/>
    <n v="29"/>
    <n v="3207.78"/>
    <n v="3207.7799999999997"/>
    <n v="601112.30999999994"/>
    <n v="1816.0492749244711"/>
    <n v="709"/>
    <s v="Not Found"/>
    <s v="High Sale"/>
  </r>
  <r>
    <s v="ORD0791"/>
    <s v="2023-12-29"/>
    <s v="CUST218"/>
    <x v="0"/>
    <s v="Football"/>
    <s v="Kolkata"/>
    <s v="Karnataka"/>
    <x v="1"/>
    <n v="3"/>
    <n v="1402"/>
    <n v="24"/>
    <n v="3196.56"/>
    <n v="3196.56"/>
    <n v="597904.5299999998"/>
    <n v="1811.8319090909085"/>
    <n v="707"/>
    <s v="Not Found"/>
    <s v="High Sale"/>
  </r>
  <r>
    <s v="ORD0341"/>
    <s v="2023-08-02"/>
    <s v="CUST210"/>
    <x v="2"/>
    <s v="Mobile"/>
    <s v="Delhi"/>
    <s v="West Bengal"/>
    <x v="0"/>
    <n v="3"/>
    <n v="1197"/>
    <n v="11"/>
    <n v="3195.99"/>
    <n v="3195.9900000000002"/>
    <n v="594707.96999999986"/>
    <n v="1807.6230091185405"/>
    <n v="704"/>
    <s v="Not Found"/>
    <s v="High Sale"/>
  </r>
  <r>
    <s v="ORD0653"/>
    <s v="2023-01-29"/>
    <s v="CUST171"/>
    <x v="4"/>
    <s v="Mobile"/>
    <s v="Chennai"/>
    <s v="Maharashtra"/>
    <x v="1"/>
    <n v="1"/>
    <n v="4044"/>
    <n v="21"/>
    <n v="3194.76"/>
    <n v="3194.76"/>
    <n v="591511.98"/>
    <n v="1803.3901829268293"/>
    <n v="701"/>
    <s v="Not Found"/>
    <s v="High Sale"/>
  </r>
  <r>
    <s v="ORD0118"/>
    <s v="2023-05-08"/>
    <s v="CUST094"/>
    <x v="4"/>
    <s v="Sofa"/>
    <s v="Chennai"/>
    <s v="Tamil Nadu"/>
    <x v="2"/>
    <n v="1"/>
    <n v="4229"/>
    <n v="25"/>
    <n v="3171.75"/>
    <n v="3171.75"/>
    <n v="588317.22"/>
    <n v="1799.1352293577982"/>
    <n v="700"/>
    <s v="Not Found"/>
    <s v="High Sale"/>
  </r>
  <r>
    <s v="ORD0816"/>
    <s v="2023-07-22"/>
    <s v="CUST251"/>
    <x v="0"/>
    <s v="Shoes"/>
    <s v="Bangalore"/>
    <s v="Tamil Nadu"/>
    <x v="3"/>
    <n v="5"/>
    <n v="893"/>
    <n v="29"/>
    <n v="3170.15"/>
    <n v="3170.1499999999996"/>
    <n v="585145.47000000009"/>
    <n v="1794.9247546012273"/>
    <n v="699"/>
    <s v="Not Found"/>
    <s v="High Sale"/>
  </r>
  <r>
    <s v="ORD0850"/>
    <s v="2023-11-03"/>
    <s v="CUST199"/>
    <x v="2"/>
    <s v="Face Cream"/>
    <s v="Kolkata"/>
    <s v="Delhi"/>
    <x v="3"/>
    <n v="1"/>
    <n v="4224"/>
    <n v="25"/>
    <n v="3168"/>
    <n v="3168"/>
    <n v="581975.31999999995"/>
    <n v="1790.6932923076922"/>
    <n v="694"/>
    <s v="Not Found"/>
    <s v="High Sale"/>
  </r>
  <r>
    <s v="ORD0192"/>
    <s v="2023-10-25"/>
    <s v="CUST267"/>
    <x v="4"/>
    <s v="Face Cream"/>
    <s v="Delhi"/>
    <s v="Tamil Nadu"/>
    <x v="0"/>
    <n v="5"/>
    <n v="904"/>
    <n v="30"/>
    <n v="3164"/>
    <n v="3164"/>
    <n v="578807.31999999995"/>
    <n v="1786.4423456790121"/>
    <n v="693"/>
    <s v="Not Found"/>
    <s v="High Sale"/>
  </r>
  <r>
    <s v="ORD0301"/>
    <s v="2023-09-04"/>
    <s v="CUST006"/>
    <x v="4"/>
    <s v="Laptop"/>
    <s v="Delhi"/>
    <s v="Maharashtra"/>
    <x v="1"/>
    <n v="5"/>
    <n v="753"/>
    <n v="16"/>
    <n v="3162.6"/>
    <n v="3162.6"/>
    <n v="575643.31999999995"/>
    <n v="1782.1774613003095"/>
    <n v="688"/>
    <s v="Not Found"/>
    <s v="High Sale"/>
  </r>
  <r>
    <s v="ORD0054"/>
    <s v="2023-09-28"/>
    <s v="CUST127"/>
    <x v="2"/>
    <s v="Sofa"/>
    <s v="Mumbai"/>
    <s v="Delhi"/>
    <x v="2"/>
    <n v="3"/>
    <n v="1223"/>
    <n v="14"/>
    <n v="3155.34"/>
    <n v="3155.34"/>
    <n v="572480.71999999986"/>
    <n v="1777.8904347826083"/>
    <n v="683"/>
    <s v="Not Found"/>
    <s v="High Sale"/>
  </r>
  <r>
    <s v="ORD0232"/>
    <s v="2023-10-29"/>
    <s v="CUST013"/>
    <x v="1"/>
    <s v="Shoes"/>
    <s v="Mumbai"/>
    <s v="Maharashtra"/>
    <x v="1"/>
    <n v="5"/>
    <n v="708"/>
    <n v="11"/>
    <n v="3150.6"/>
    <n v="3150.6"/>
    <n v="569325.38"/>
    <n v="1773.5993146417445"/>
    <n v="680"/>
    <s v="Not Found"/>
    <s v="High Sale"/>
  </r>
  <r>
    <s v="ORD0679"/>
    <s v="2023-02-23"/>
    <s v="CUST281"/>
    <x v="4"/>
    <s v="T-Shirt"/>
    <s v="Bangalore"/>
    <s v="West Bengal"/>
    <x v="0"/>
    <n v="2"/>
    <n v="1606"/>
    <n v="2"/>
    <n v="3147.76"/>
    <n v="3147.7599999999998"/>
    <n v="566174.77999999991"/>
    <n v="1769.2961874999996"/>
    <n v="675"/>
    <s v="Not Found"/>
    <s v="High Sale"/>
  </r>
  <r>
    <s v="ORD0422"/>
    <s v="2023-11-03"/>
    <s v="CUST230"/>
    <x v="2"/>
    <s v="Face Cream"/>
    <s v="Chennai"/>
    <s v="Maharashtra"/>
    <x v="3"/>
    <n v="1"/>
    <n v="4032"/>
    <n v="22"/>
    <n v="3144.96"/>
    <n v="3144.96"/>
    <n v="563027.0199999999"/>
    <n v="1764.9749843260186"/>
    <n v="673"/>
    <s v="Not Found"/>
    <s v="High Sale"/>
  </r>
  <r>
    <s v="ORD0907"/>
    <s v="2023-01-04"/>
    <s v="CUST015"/>
    <x v="3"/>
    <s v="Football"/>
    <s v="Delhi"/>
    <s v="West Bengal"/>
    <x v="1"/>
    <n v="3"/>
    <n v="1342"/>
    <n v="22"/>
    <n v="3140.28"/>
    <n v="3140.28"/>
    <n v="559882.06000000006"/>
    <n v="1760.6354088050316"/>
    <n v="672"/>
    <s v="Not Found"/>
    <s v="High Sale"/>
  </r>
  <r>
    <s v="ORD0689"/>
    <s v="2023-11-14"/>
    <s v="CUST149"/>
    <x v="3"/>
    <s v="Football"/>
    <s v="Mumbai"/>
    <s v="Tamil Nadu"/>
    <x v="1"/>
    <n v="5"/>
    <n v="837"/>
    <n v="25"/>
    <n v="3138.75"/>
    <n v="3138.75"/>
    <n v="556741.78000000014"/>
    <n v="1756.2832176656157"/>
    <n v="669"/>
    <s v="Not Found"/>
    <s v="High Sale"/>
  </r>
  <r>
    <s v="ORD0655"/>
    <s v="2023-03-29"/>
    <s v="CUST193"/>
    <x v="1"/>
    <s v="Laptop"/>
    <s v="Delhi"/>
    <s v="Tamil Nadu"/>
    <x v="2"/>
    <n v="2"/>
    <n v="1782"/>
    <n v="12"/>
    <n v="3136.32"/>
    <n v="3136.32"/>
    <n v="553603.03000000014"/>
    <n v="1751.9083227848105"/>
    <n v="664"/>
    <s v="Not Found"/>
    <s v="High Sale"/>
  </r>
  <r>
    <s v="ORD0325"/>
    <s v="2023-05-23"/>
    <s v="CUST143"/>
    <x v="1"/>
    <s v="Football"/>
    <s v="Chennai"/>
    <s v="Karnataka"/>
    <x v="0"/>
    <n v="1"/>
    <n v="3132"/>
    <n v="0"/>
    <n v="3132"/>
    <n v="3132"/>
    <n v="550466.7100000002"/>
    <n v="1747.5133650793657"/>
    <n v="662"/>
    <s v="Not Found"/>
    <s v="High Sale"/>
  </r>
  <r>
    <s v="ORD0221"/>
    <s v="2023-08-06"/>
    <s v="CUST247"/>
    <x v="2"/>
    <s v="T-Shirt"/>
    <s v="Delhi"/>
    <s v="Maharashtra"/>
    <x v="3"/>
    <n v="5"/>
    <n v="728"/>
    <n v="14"/>
    <n v="3130.4"/>
    <n v="3130.4"/>
    <n v="547334.71000000008"/>
    <n v="1743.1041719745226"/>
    <n v="661"/>
    <s v="Not Found"/>
    <s v="High Sale"/>
  </r>
  <r>
    <s v="ORD0084"/>
    <s v="2023-01-10"/>
    <s v="CUST222"/>
    <x v="2"/>
    <s v="T-Shirt"/>
    <s v="Chennai"/>
    <s v="Maharashtra"/>
    <x v="0"/>
    <n v="4"/>
    <n v="987"/>
    <n v="21"/>
    <n v="3118.92"/>
    <n v="3118.92"/>
    <n v="544204.31000000006"/>
    <n v="1738.6719169329076"/>
    <n v="656"/>
    <s v="Not Found"/>
    <s v="High Sale"/>
  </r>
  <r>
    <s v="ORD0789"/>
    <s v="2023-06-06"/>
    <s v="CUST068"/>
    <x v="4"/>
    <s v="Sofa"/>
    <s v="Bangalore"/>
    <s v="Maharashtra"/>
    <x v="1"/>
    <n v="4"/>
    <n v="1053"/>
    <n v="26"/>
    <n v="3116.88"/>
    <n v="3116.88"/>
    <n v="541085.39000000013"/>
    <n v="1734.2480448717954"/>
    <n v="652"/>
    <s v="Not Found"/>
    <s v="High Sale"/>
  </r>
  <r>
    <s v="ORD0209"/>
    <s v="2023-06-08"/>
    <s v="CUST218"/>
    <x v="2"/>
    <s v="T-Shirt"/>
    <s v="Mumbai"/>
    <s v="Delhi"/>
    <x v="2"/>
    <n v="2"/>
    <n v="1824"/>
    <n v="15"/>
    <n v="3100.8"/>
    <n v="3100.7999999999997"/>
    <n v="537968.51"/>
    <n v="1729.8022829581994"/>
    <n v="648"/>
    <s v="Not Found"/>
    <s v="High Sale"/>
  </r>
  <r>
    <s v="ORD0513"/>
    <s v="2023-05-16"/>
    <s v="CUST221"/>
    <x v="1"/>
    <s v="Face Cream"/>
    <s v="Mumbai"/>
    <s v="Karnataka"/>
    <x v="2"/>
    <n v="1"/>
    <n v="3951"/>
    <n v="22"/>
    <n v="3081.78"/>
    <n v="3081.78"/>
    <n v="534867.71"/>
    <n v="1725.3797096774192"/>
    <n v="646"/>
    <s v="Not Found"/>
    <s v="High Sale"/>
  </r>
  <r>
    <s v="ORD0825"/>
    <s v="2023-03-09"/>
    <s v="CUST258"/>
    <x v="1"/>
    <s v="Laptop"/>
    <s v="Bangalore"/>
    <s v="Karnataka"/>
    <x v="2"/>
    <n v="1"/>
    <n v="3655"/>
    <n v="16"/>
    <n v="3070.2"/>
    <n v="3070.2"/>
    <n v="531785.93000000017"/>
    <n v="1720.9900647249196"/>
    <n v="645"/>
    <s v="Not Found"/>
    <s v="High Sale"/>
  </r>
  <r>
    <s v="ORD0413"/>
    <s v="2023-06-08"/>
    <s v="CUST053"/>
    <x v="1"/>
    <s v="Face Cream"/>
    <s v="Mumbai"/>
    <s v="Karnataka"/>
    <x v="0"/>
    <n v="2"/>
    <n v="1565"/>
    <n v="2"/>
    <n v="3067.4"/>
    <n v="3067.4"/>
    <n v="528715.73"/>
    <n v="1716.609512987013"/>
    <n v="644"/>
    <s v="Not Found"/>
    <s v="High Sale"/>
  </r>
  <r>
    <s v="ORD0044"/>
    <s v="2023-07-22"/>
    <s v="CUST160"/>
    <x v="0"/>
    <s v="Shoes"/>
    <s v="Delhi"/>
    <s v="Karnataka"/>
    <x v="2"/>
    <n v="3"/>
    <n v="1457"/>
    <n v="30"/>
    <n v="3059.7"/>
    <n v="3059.7"/>
    <n v="525648.32999999984"/>
    <n v="1712.2095439739408"/>
    <n v="642"/>
    <s v="Not Found"/>
    <s v="High Sale"/>
  </r>
  <r>
    <s v="ORD0036"/>
    <s v="2023-11-14"/>
    <s v="CUST136"/>
    <x v="3"/>
    <s v="Face Cream"/>
    <s v="Kolkata"/>
    <s v="West Bengal"/>
    <x v="1"/>
    <n v="1"/>
    <n v="3640"/>
    <n v="16"/>
    <n v="3057.6"/>
    <n v="3057.6"/>
    <n v="522588.62999999989"/>
    <n v="1707.8059803921565"/>
    <n v="639"/>
    <s v="Not Found"/>
    <s v="High Sale"/>
  </r>
  <r>
    <s v="ORD0817"/>
    <s v="2023-04-01"/>
    <s v="CUST230"/>
    <x v="0"/>
    <s v="T-Shirt"/>
    <s v="Mumbai"/>
    <s v="West Bengal"/>
    <x v="0"/>
    <n v="1"/>
    <n v="3666"/>
    <n v="17"/>
    <n v="3042.78"/>
    <n v="3042.7799999999997"/>
    <n v="519531.02999999991"/>
    <n v="1703.380426229508"/>
    <n v="638"/>
    <s v="Not Found"/>
    <s v="High Sale"/>
  </r>
  <r>
    <s v="ORD0406"/>
    <s v="2023-06-14"/>
    <s v="CUST184"/>
    <x v="4"/>
    <s v="Mobile"/>
    <s v="Bangalore"/>
    <s v="Tamil Nadu"/>
    <x v="1"/>
    <n v="4"/>
    <n v="783"/>
    <n v="3"/>
    <n v="3038.04"/>
    <n v="3038.04"/>
    <n v="516488.24999999988"/>
    <n v="1698.9745065789471"/>
    <n v="637"/>
    <s v="Not Found"/>
    <s v="High Sale"/>
  </r>
  <r>
    <s v="ORD0080"/>
    <s v="2023-05-30"/>
    <s v="CUST208"/>
    <x v="0"/>
    <s v="Mobile"/>
    <s v="Mumbai"/>
    <s v="Delhi"/>
    <x v="0"/>
    <n v="2"/>
    <n v="1608"/>
    <n v="6"/>
    <n v="3023.04"/>
    <n v="3023.04"/>
    <n v="513450.2099999999"/>
    <n v="1694.5551485148512"/>
    <n v="633"/>
    <s v="Not Found"/>
    <s v="High Sale"/>
  </r>
  <r>
    <s v="ORD0175"/>
    <s v="2023-07-08"/>
    <s v="CUST167"/>
    <x v="3"/>
    <s v="Sofa"/>
    <s v="Bangalore"/>
    <s v="Delhi"/>
    <x v="1"/>
    <n v="3"/>
    <n v="1126"/>
    <n v="11"/>
    <n v="3006.42"/>
    <n v="3006.42"/>
    <n v="510427.16999999993"/>
    <n v="1690.1561920529798"/>
    <n v="631"/>
    <s v="Not Found"/>
    <s v="High Sale"/>
  </r>
  <r>
    <s v="ORD0862"/>
    <s v="2023-01-14"/>
    <s v="CUST028"/>
    <x v="0"/>
    <s v="Sofa"/>
    <s v="Mumbai"/>
    <s v="Maharashtra"/>
    <x v="1"/>
    <n v="5"/>
    <n v="798"/>
    <n v="25"/>
    <n v="2992.5"/>
    <n v="2992.5"/>
    <n v="507420.74999999994"/>
    <n v="1685.7832225913619"/>
    <n v="628"/>
    <s v="Not Found"/>
    <s v="Low Sale"/>
  </r>
  <r>
    <s v="ORD0930"/>
    <s v="2023-10-21"/>
    <s v="CUST289"/>
    <x v="0"/>
    <s v="Laptop"/>
    <s v="Bangalore"/>
    <s v="Delhi"/>
    <x v="3"/>
    <n v="1"/>
    <n v="3595"/>
    <n v="17"/>
    <n v="2983.85"/>
    <n v="2983.85"/>
    <n v="504428.24999999994"/>
    <n v="1681.4274999999998"/>
    <n v="623"/>
    <s v="Not Found"/>
    <s v="Low Sale"/>
  </r>
  <r>
    <s v="ORD0174"/>
    <s v="2023-02-04"/>
    <s v="CUST184"/>
    <x v="1"/>
    <s v="Face Cream"/>
    <s v="Kolkata"/>
    <s v="West Bengal"/>
    <x v="0"/>
    <n v="1"/>
    <n v="4242"/>
    <n v="30"/>
    <n v="2969.4"/>
    <n v="2969.3999999999996"/>
    <n v="501444.4"/>
    <n v="1677.0715719063546"/>
    <n v="622"/>
    <s v="Not Found"/>
    <s v="Low Sale"/>
  </r>
  <r>
    <s v="ORD0149"/>
    <s v="2023-07-26"/>
    <s v="CUST192"/>
    <x v="4"/>
    <s v="Shoes"/>
    <s v="Delhi"/>
    <s v="West Bengal"/>
    <x v="3"/>
    <n v="2"/>
    <n v="1712"/>
    <n v="14"/>
    <n v="2944.64"/>
    <n v="2944.64"/>
    <n v="498475"/>
    <n v="1672.734899328859"/>
    <n v="621"/>
    <s v="Not Found"/>
    <s v="Low Sale"/>
  </r>
  <r>
    <s v="ORD0184"/>
    <s v="2023-06-07"/>
    <s v="CUST105"/>
    <x v="2"/>
    <s v="Mobile"/>
    <s v="Delhi"/>
    <s v="West Bengal"/>
    <x v="1"/>
    <n v="1"/>
    <n v="3948"/>
    <n v="26"/>
    <n v="2921.52"/>
    <n v="2921.52"/>
    <n v="495530.36000000004"/>
    <n v="1668.4523905723906"/>
    <n v="619"/>
    <s v="Not Found"/>
    <s v="Low Sale"/>
  </r>
  <r>
    <s v="ORD0310"/>
    <s v="2023-06-07"/>
    <s v="CUST048"/>
    <x v="3"/>
    <s v="Football"/>
    <s v="Mumbai"/>
    <s v="Delhi"/>
    <x v="0"/>
    <n v="4"/>
    <n v="1043"/>
    <n v="30"/>
    <n v="2920.4"/>
    <n v="2920.3999999999996"/>
    <n v="492608.84"/>
    <n v="1664.2190540540541"/>
    <n v="618"/>
    <s v="Not Found"/>
    <s v="Low Sale"/>
  </r>
  <r>
    <s v="ORD0478"/>
    <s v="2023-06-07"/>
    <s v="CUST221"/>
    <x v="2"/>
    <s v="Sofa"/>
    <s v="Mumbai"/>
    <s v="Delhi"/>
    <x v="0"/>
    <n v="5"/>
    <n v="647"/>
    <n v="10"/>
    <n v="2911.5"/>
    <n v="2911.5"/>
    <n v="489688.43999999994"/>
    <n v="1659.9608135593219"/>
    <n v="614"/>
    <s v="Not Found"/>
    <s v="Low Sale"/>
  </r>
  <r>
    <s v="ORD0792"/>
    <s v="2023-12-11"/>
    <s v="CUST170"/>
    <x v="2"/>
    <s v="Face Cream"/>
    <s v="Bangalore"/>
    <s v="Maharashtra"/>
    <x v="0"/>
    <n v="4"/>
    <n v="876"/>
    <n v="17"/>
    <n v="2908.32"/>
    <n v="2908.3199999999997"/>
    <n v="486776.94"/>
    <n v="1655.7038775510205"/>
    <n v="609"/>
    <s v="Not Found"/>
    <s v="Low Sale"/>
  </r>
  <r>
    <s v="ORD0497"/>
    <s v="2023-06-07"/>
    <s v="CUST289"/>
    <x v="1"/>
    <s v="Shoes"/>
    <s v="Bangalore"/>
    <s v="West Bengal"/>
    <x v="2"/>
    <n v="4"/>
    <n v="857"/>
    <n v="16"/>
    <n v="2879.52"/>
    <n v="2879.52"/>
    <n v="483868.61999999994"/>
    <n v="1651.428737201365"/>
    <n v="605"/>
    <s v="Not Found"/>
    <s v="Low Sale"/>
  </r>
  <r>
    <s v="ORD0212"/>
    <s v="2023-02-24"/>
    <s v="CUST024"/>
    <x v="0"/>
    <s v="Mobile"/>
    <s v="Kolkata"/>
    <s v="Delhi"/>
    <x v="3"/>
    <n v="1"/>
    <n v="3505"/>
    <n v="18"/>
    <n v="2874.1"/>
    <n v="2874.1000000000004"/>
    <n v="480989.09999999992"/>
    <n v="1647.2229452054792"/>
    <n v="601"/>
    <s v="Not Found"/>
    <s v="Low Sale"/>
  </r>
  <r>
    <s v="ORD0683"/>
    <s v="2023-09-17"/>
    <s v="CUST091"/>
    <x v="3"/>
    <s v="Football"/>
    <s v="Chennai"/>
    <s v="Tamil Nadu"/>
    <x v="0"/>
    <n v="3"/>
    <n v="1111"/>
    <n v="14"/>
    <n v="2866.38"/>
    <n v="2866.38"/>
    <n v="478114.99999999988"/>
    <n v="1643.0068728522333"/>
    <n v="600"/>
    <s v="Not Found"/>
    <s v="Low Sale"/>
  </r>
  <r>
    <s v="ORD0919"/>
    <s v="2023-10-06"/>
    <s v="CUST243"/>
    <x v="0"/>
    <s v="Face Cream"/>
    <s v="Bangalore"/>
    <s v="Tamil Nadu"/>
    <x v="3"/>
    <n v="1"/>
    <n v="2969"/>
    <n v="4"/>
    <n v="2850.24"/>
    <n v="2850.24"/>
    <n v="475248.61999999988"/>
    <n v="1638.7883448275859"/>
    <n v="597"/>
    <s v="Not Found"/>
    <s v="Low Sale"/>
  </r>
  <r>
    <s v="ORD0186"/>
    <s v="2023-12-18"/>
    <s v="CUST061"/>
    <x v="3"/>
    <s v="Face Cream"/>
    <s v="Mumbai"/>
    <s v="Maharashtra"/>
    <x v="0"/>
    <n v="5"/>
    <n v="739"/>
    <n v="23"/>
    <n v="2845.15"/>
    <n v="2845.15"/>
    <n v="472398.37999999989"/>
    <n v="1634.596470588235"/>
    <n v="596"/>
    <s v="Not Found"/>
    <s v="Low Sale"/>
  </r>
  <r>
    <s v="ORD0037"/>
    <s v="2023-01-18"/>
    <s v="CUST177"/>
    <x v="3"/>
    <s v="Shoes"/>
    <s v="Mumbai"/>
    <s v="Tamil Nadu"/>
    <x v="1"/>
    <n v="2"/>
    <n v="1542"/>
    <n v="8"/>
    <n v="2837.28"/>
    <n v="2837.28"/>
    <n v="469553.22999999986"/>
    <n v="1630.3931597222218"/>
    <n v="591"/>
    <s v="Not Found"/>
    <s v="Low Sale"/>
  </r>
  <r>
    <s v="ORD0826"/>
    <s v="2023-03-19"/>
    <s v="CUST210"/>
    <x v="2"/>
    <s v="Face Cream"/>
    <s v="Bangalore"/>
    <s v="Delhi"/>
    <x v="2"/>
    <n v="1"/>
    <n v="2895"/>
    <n v="2"/>
    <n v="2837.1"/>
    <n v="2837.1"/>
    <n v="466715.94999999984"/>
    <n v="1626.1879790940761"/>
    <n v="589"/>
    <s v="Not Found"/>
    <s v="Low Sale"/>
  </r>
  <r>
    <s v="ORD0024"/>
    <s v="2023-11-02"/>
    <s v="CUST108"/>
    <x v="4"/>
    <s v="Football"/>
    <s v="Bangalore"/>
    <s v="Maharashtra"/>
    <x v="3"/>
    <n v="2"/>
    <n v="1569"/>
    <n v="10"/>
    <n v="2824.2"/>
    <n v="2824.2000000000003"/>
    <n v="463878.84999999986"/>
    <n v="1621.9540209790205"/>
    <n v="588"/>
    <s v="Not Found"/>
    <s v="Low Sale"/>
  </r>
  <r>
    <s v="ORD0871"/>
    <s v="2023-09-02"/>
    <s v="CUST186"/>
    <x v="4"/>
    <s v="Laptop"/>
    <s v="Delhi"/>
    <s v="Karnataka"/>
    <x v="3"/>
    <n v="1"/>
    <n v="3180"/>
    <n v="12"/>
    <n v="2798.4"/>
    <n v="2798.4"/>
    <n v="461054.64999999985"/>
    <n v="1617.7356140350871"/>
    <n v="586"/>
    <s v="Not Found"/>
    <s v="Low Sale"/>
  </r>
  <r>
    <s v="ORD0666"/>
    <s v="2023-07-09"/>
    <s v="CUST142"/>
    <x v="1"/>
    <s v="Shoes"/>
    <s v="Chennai"/>
    <s v="West Bengal"/>
    <x v="2"/>
    <n v="1"/>
    <n v="3629"/>
    <n v="23"/>
    <n v="2794.33"/>
    <n v="2794.33"/>
    <n v="458256.24999999988"/>
    <n v="1613.5783450704221"/>
    <n v="585"/>
    <s v="Not Found"/>
    <s v="Low Sale"/>
  </r>
  <r>
    <s v="ORD0256"/>
    <s v="2023-06-22"/>
    <s v="CUST020"/>
    <x v="4"/>
    <s v="Shoes"/>
    <s v="Kolkata"/>
    <s v="Tamil Nadu"/>
    <x v="0"/>
    <n v="2"/>
    <n v="1744"/>
    <n v="20"/>
    <n v="2790.4"/>
    <n v="2790.4"/>
    <n v="455461.91999999993"/>
    <n v="1609.4060777385157"/>
    <n v="584"/>
    <s v="Not Found"/>
    <s v="Low Sale"/>
  </r>
  <r>
    <s v="ORD0743"/>
    <s v="2023-08-10"/>
    <s v="CUST105"/>
    <x v="3"/>
    <s v="Mobile"/>
    <s v="Bangalore"/>
    <s v="Maharashtra"/>
    <x v="2"/>
    <n v="4"/>
    <n v="850"/>
    <n v="18"/>
    <n v="2788"/>
    <n v="2788"/>
    <n v="452671.51999999996"/>
    <n v="1605.2181560283686"/>
    <n v="582"/>
    <s v="Not Found"/>
    <s v="Low Sale"/>
  </r>
  <r>
    <s v="ORD0250"/>
    <s v="2023-10-24"/>
    <s v="CUST089"/>
    <x v="0"/>
    <s v="Shoes"/>
    <s v="Delhi"/>
    <s v="Maharashtra"/>
    <x v="2"/>
    <n v="1"/>
    <n v="3357"/>
    <n v="17"/>
    <n v="2786.31"/>
    <n v="2786.31"/>
    <n v="449883.52"/>
    <n v="1601.0089679715304"/>
    <n v="578"/>
    <s v="Not Found"/>
    <s v="Low Sale"/>
  </r>
  <r>
    <s v="ORD0511"/>
    <s v="2023-05-03"/>
    <s v="CUST230"/>
    <x v="4"/>
    <s v="Laptop"/>
    <s v="Chennai"/>
    <s v="Delhi"/>
    <x v="1"/>
    <n v="3"/>
    <n v="1067"/>
    <n v="13"/>
    <n v="2784.87"/>
    <n v="2784.87"/>
    <n v="447097.21"/>
    <n v="1596.77575"/>
    <n v="577"/>
    <s v="Not Found"/>
    <s v="Low Sale"/>
  </r>
  <r>
    <s v="ORD0757"/>
    <s v="2023-10-06"/>
    <s v="CUST063"/>
    <x v="0"/>
    <s v="Shoes"/>
    <s v="Delhi"/>
    <s v="West Bengal"/>
    <x v="3"/>
    <n v="2"/>
    <n v="1529"/>
    <n v="9"/>
    <n v="2782.78"/>
    <n v="2782.78"/>
    <n v="444312.34"/>
    <n v="1592.517347670251"/>
    <n v="574"/>
    <s v="Not Found"/>
    <s v="Low Sale"/>
  </r>
  <r>
    <s v="ORD0794"/>
    <s v="2023-03-19"/>
    <s v="CUST249"/>
    <x v="3"/>
    <s v="Sofa"/>
    <s v="Bangalore"/>
    <s v="Tamil Nadu"/>
    <x v="0"/>
    <n v="1"/>
    <n v="3968"/>
    <n v="30"/>
    <n v="2777.6"/>
    <n v="2777.6"/>
    <n v="441529.56"/>
    <n v="1588.2358273381294"/>
    <n v="572"/>
    <s v="Not Found"/>
    <s v="Low Sale"/>
  </r>
  <r>
    <s v="ORD0670"/>
    <s v="2023-07-12"/>
    <s v="CUST065"/>
    <x v="1"/>
    <s v="Mobile"/>
    <s v="Chennai"/>
    <s v="Delhi"/>
    <x v="0"/>
    <n v="3"/>
    <n v="1027"/>
    <n v="10"/>
    <n v="2772.9"/>
    <n v="2772.9"/>
    <n v="438751.95999999996"/>
    <n v="1583.9420938628157"/>
    <n v="571"/>
    <s v="Not Found"/>
    <s v="Low Sale"/>
  </r>
  <r>
    <s v="ORD0008"/>
    <s v="2023-06-04"/>
    <s v="CUST101"/>
    <x v="1"/>
    <s v="Sofa"/>
    <s v="Delhi"/>
    <s v="Karnataka"/>
    <x v="0"/>
    <n v="1"/>
    <n v="2884"/>
    <n v="4"/>
    <n v="2768.64"/>
    <n v="2768.64"/>
    <n v="435979.06"/>
    <n v="1579.6342753623189"/>
    <n v="568"/>
    <s v="Not Found"/>
    <s v="Low Sale"/>
  </r>
  <r>
    <s v="ORD0673"/>
    <s v="2023-07-27"/>
    <s v="CUST039"/>
    <x v="3"/>
    <s v="Laptop"/>
    <s v="Bangalore"/>
    <s v="Maharashtra"/>
    <x v="0"/>
    <n v="2"/>
    <n v="1613"/>
    <n v="15"/>
    <n v="2742.1"/>
    <n v="2742.1"/>
    <n v="433210.42"/>
    <n v="1575.3106181818182"/>
    <n v="567"/>
    <s v="Not Found"/>
    <s v="Low Sale"/>
  </r>
  <r>
    <s v="ORD0947"/>
    <s v="2023-09-09"/>
    <s v="CUST170"/>
    <x v="3"/>
    <s v="Shoes"/>
    <s v="Bangalore"/>
    <s v="Maharashtra"/>
    <x v="0"/>
    <n v="1"/>
    <n v="2980"/>
    <n v="8"/>
    <n v="2741.6"/>
    <n v="2741.6"/>
    <n v="430468.32"/>
    <n v="1571.0522627737228"/>
    <n v="565"/>
    <s v="Not Found"/>
    <s v="Low Sale"/>
  </r>
  <r>
    <s v="ORD0646"/>
    <s v="2023-02-16"/>
    <s v="CUST244"/>
    <x v="2"/>
    <s v="Football"/>
    <s v="Delhi"/>
    <s v="West Bengal"/>
    <x v="2"/>
    <n v="4"/>
    <n v="729"/>
    <n v="6"/>
    <n v="2741.04"/>
    <n v="2741.04"/>
    <n v="427726.72000000003"/>
    <n v="1566.7645421245422"/>
    <n v="564"/>
    <s v="Not Found"/>
    <s v="Low Sale"/>
  </r>
  <r>
    <s v="ORD0147"/>
    <s v="2023-05-14"/>
    <s v="CUST146"/>
    <x v="2"/>
    <s v="Shoes"/>
    <s v="Kolkata"/>
    <s v="Karnataka"/>
    <x v="3"/>
    <n v="4"/>
    <n v="761"/>
    <n v="10"/>
    <n v="2739.6"/>
    <n v="2739.6"/>
    <n v="424985.68000000005"/>
    <n v="1562.4473529411766"/>
    <n v="560"/>
    <s v="Not Found"/>
    <s v="Low Sale"/>
  </r>
  <r>
    <s v="ORD0168"/>
    <s v="2023-08-18"/>
    <s v="CUST164"/>
    <x v="3"/>
    <s v="Football"/>
    <s v="Mumbai"/>
    <s v="Delhi"/>
    <x v="3"/>
    <n v="2"/>
    <n v="1610"/>
    <n v="15"/>
    <n v="2737"/>
    <n v="2737"/>
    <n v="422246.08"/>
    <n v="1558.1036162361625"/>
    <n v="556"/>
    <s v="Not Found"/>
    <s v="Low Sale"/>
  </r>
  <r>
    <s v="ORD0934"/>
    <s v="2023-09-11"/>
    <s v="CUST025"/>
    <x v="1"/>
    <s v="Laptop"/>
    <s v="Chennai"/>
    <s v="Maharashtra"/>
    <x v="0"/>
    <n v="4"/>
    <n v="735"/>
    <n v="7"/>
    <n v="2734.2"/>
    <n v="2734.2"/>
    <n v="419509.08"/>
    <n v="1553.7373333333335"/>
    <n v="554"/>
    <s v="Not Found"/>
    <s v="Low Sale"/>
  </r>
  <r>
    <s v="ORD0392"/>
    <s v="2023-01-22"/>
    <s v="CUST178"/>
    <x v="2"/>
    <s v="Football"/>
    <s v="Delhi"/>
    <s v="Tamil Nadu"/>
    <x v="0"/>
    <n v="1"/>
    <n v="3130"/>
    <n v="13"/>
    <n v="2723.1"/>
    <n v="2723.1"/>
    <n v="416774.88000000006"/>
    <n v="1549.3489962825281"/>
    <n v="550"/>
    <s v="Not Found"/>
    <s v="Low Sale"/>
  </r>
  <r>
    <s v="ORD0917"/>
    <s v="2023-12-20"/>
    <s v="CUST239"/>
    <x v="0"/>
    <s v="T-Shirt"/>
    <s v="Chennai"/>
    <s v="Delhi"/>
    <x v="1"/>
    <n v="1"/>
    <n v="3240"/>
    <n v="16"/>
    <n v="2721.6"/>
    <n v="2721.6"/>
    <n v="414051.78"/>
    <n v="1544.9693283582092"/>
    <n v="549"/>
    <s v="Not Found"/>
    <s v="Low Sale"/>
  </r>
  <r>
    <s v="ORD0802"/>
    <s v="2023-04-04"/>
    <s v="CUST068"/>
    <x v="1"/>
    <s v="T-Shirt"/>
    <s v="Mumbai"/>
    <s v="Delhi"/>
    <x v="2"/>
    <n v="1"/>
    <n v="3572"/>
    <n v="24"/>
    <n v="2714.72"/>
    <n v="2714.7200000000003"/>
    <n v="411330.18000000005"/>
    <n v="1540.5624719101127"/>
    <n v="548"/>
    <s v="Not Found"/>
    <s v="Low Sale"/>
  </r>
  <r>
    <s v="ORD0772"/>
    <s v="2023-02-24"/>
    <s v="CUST228"/>
    <x v="4"/>
    <s v="Shoes"/>
    <s v="Mumbai"/>
    <s v="West Bengal"/>
    <x v="2"/>
    <n v="1"/>
    <n v="2856"/>
    <n v="5"/>
    <n v="2713.2"/>
    <n v="2713.2"/>
    <n v="408615.46"/>
    <n v="1536.1483458646617"/>
    <n v="547"/>
    <s v="Not Found"/>
    <s v="Low Sale"/>
  </r>
  <r>
    <s v="ORD0337"/>
    <s v="2023-05-22"/>
    <s v="CUST057"/>
    <x v="1"/>
    <s v="Laptop"/>
    <s v="Mumbai"/>
    <s v="Karnataka"/>
    <x v="0"/>
    <n v="3"/>
    <n v="1199"/>
    <n v="25"/>
    <n v="2697.75"/>
    <n v="2697.75"/>
    <n v="405902.26"/>
    <n v="1531.7066415094339"/>
    <n v="546"/>
    <s v="Not Found"/>
    <s v="Low Sale"/>
  </r>
  <r>
    <s v="ORD0761"/>
    <s v="2023-07-26"/>
    <s v="CUST102"/>
    <x v="0"/>
    <s v="Mobile"/>
    <s v="Bangalore"/>
    <s v="Maharashtra"/>
    <x v="0"/>
    <n v="4"/>
    <n v="862"/>
    <n v="22"/>
    <n v="2689.44"/>
    <n v="2689.44"/>
    <n v="403204.51"/>
    <n v="1527.2898106060607"/>
    <n v="543"/>
    <s v="Not Found"/>
    <s v="Low Sale"/>
  </r>
  <r>
    <s v="ORD0306"/>
    <s v="2023-05-31"/>
    <s v="CUST203"/>
    <x v="3"/>
    <s v="Mobile"/>
    <s v="Delhi"/>
    <s v="Tamil Nadu"/>
    <x v="2"/>
    <n v="1"/>
    <n v="3123"/>
    <n v="14"/>
    <n v="2685.78"/>
    <n v="2685.7799999999997"/>
    <n v="400515.07"/>
    <n v="1522.870988593156"/>
    <n v="539"/>
    <s v="Not Found"/>
    <s v="Low Sale"/>
  </r>
  <r>
    <s v="ORD0843"/>
    <s v="2023-06-10"/>
    <s v="CUST030"/>
    <x v="3"/>
    <s v="Mobile"/>
    <s v="Kolkata"/>
    <s v="West Bengal"/>
    <x v="1"/>
    <n v="5"/>
    <n v="625"/>
    <n v="15"/>
    <n v="2656.25"/>
    <n v="2656.25"/>
    <n v="397829.28999999992"/>
    <n v="1518.4324045801525"/>
    <n v="538"/>
    <s v="Not Found"/>
    <s v="Low Sale"/>
  </r>
  <r>
    <s v="ORD0536"/>
    <s v="2023-01-01"/>
    <s v="CUST289"/>
    <x v="1"/>
    <s v="Football"/>
    <s v="Bangalore"/>
    <s v="Maharashtra"/>
    <x v="2"/>
    <n v="1"/>
    <n v="2672"/>
    <n v="1"/>
    <n v="2645.28"/>
    <n v="2645.28"/>
    <n v="395173.03999999992"/>
    <n v="1514.0729501915705"/>
    <n v="533"/>
    <s v="Not Found"/>
    <s v="Low Sale"/>
  </r>
  <r>
    <s v="ORD0227"/>
    <s v="2023-08-22"/>
    <s v="CUST022"/>
    <x v="4"/>
    <s v="Mobile"/>
    <s v="Bangalore"/>
    <s v="Karnataka"/>
    <x v="0"/>
    <n v="2"/>
    <n v="1715"/>
    <n v="23"/>
    <n v="2641.1"/>
    <n v="2641.1"/>
    <n v="392527.75999999995"/>
    <n v="1509.7221538461536"/>
    <n v="532"/>
    <s v="Not Found"/>
    <s v="Low Sale"/>
  </r>
  <r>
    <s v="ORD0111"/>
    <s v="2023-11-16"/>
    <s v="CUST239"/>
    <x v="3"/>
    <s v="Football"/>
    <s v="Mumbai"/>
    <s v="Maharashtra"/>
    <x v="2"/>
    <n v="1"/>
    <n v="2898"/>
    <n v="9"/>
    <n v="2637.18"/>
    <n v="2637.1800000000003"/>
    <n v="389886.65999999992"/>
    <n v="1505.3538996138993"/>
    <n v="530"/>
    <s v="Not Found"/>
    <s v="Low Sale"/>
  </r>
  <r>
    <s v="ORD0987"/>
    <s v="2023-02-28"/>
    <s v="CUST083"/>
    <x v="4"/>
    <s v="Mobile"/>
    <s v="Kolkata"/>
    <s v="Tamil Nadu"/>
    <x v="1"/>
    <n v="3"/>
    <n v="943"/>
    <n v="7"/>
    <n v="2630.97"/>
    <n v="2630.97"/>
    <n v="387249.47999999992"/>
    <n v="1500.9669767441858"/>
    <n v="529"/>
    <s v="Not Found"/>
    <s v="Low Sale"/>
  </r>
  <r>
    <s v="ORD0658"/>
    <s v="2023-09-26"/>
    <s v="CUST067"/>
    <x v="3"/>
    <s v="Laptop"/>
    <s v="Chennai"/>
    <s v="West Bengal"/>
    <x v="3"/>
    <n v="1"/>
    <n v="3020"/>
    <n v="13"/>
    <n v="2627.4"/>
    <n v="2627.4"/>
    <n v="384618.51"/>
    <n v="1496.5700778210116"/>
    <n v="526"/>
    <s v="Not Found"/>
    <s v="Low Sale"/>
  </r>
  <r>
    <s v="ORD0258"/>
    <s v="2023-06-26"/>
    <s v="CUST203"/>
    <x v="1"/>
    <s v="Football"/>
    <s v="Mumbai"/>
    <s v="Delhi"/>
    <x v="3"/>
    <n v="4"/>
    <n v="827"/>
    <n v="21"/>
    <n v="2613.3200000000002"/>
    <n v="2613.3200000000002"/>
    <n v="381991.11"/>
    <n v="1492.1527734374999"/>
    <n v="525"/>
    <s v="Not Found"/>
    <s v="Low Sale"/>
  </r>
  <r>
    <s v="ORD0164"/>
    <s v="2023-10-18"/>
    <s v="CUST288"/>
    <x v="3"/>
    <s v="Face Cream"/>
    <s v="Delhi"/>
    <s v="West Bengal"/>
    <x v="2"/>
    <n v="1"/>
    <n v="2797"/>
    <n v="7"/>
    <n v="2601.21"/>
    <n v="2601.21"/>
    <n v="379377.79"/>
    <n v="1487.7560392156861"/>
    <n v="521"/>
    <s v="Not Found"/>
    <s v="Low Sale"/>
  </r>
  <r>
    <s v="ORD0619"/>
    <s v="2023-09-23"/>
    <s v="CUST080"/>
    <x v="3"/>
    <s v="Football"/>
    <s v="Kolkata"/>
    <s v="Karnataka"/>
    <x v="3"/>
    <n v="5"/>
    <n v="658"/>
    <n v="21"/>
    <n v="2599.1"/>
    <n v="2599.1"/>
    <n v="376776.5799999999"/>
    <n v="1483.3723622047239"/>
    <n v="520"/>
    <s v="Not Found"/>
    <s v="Low Sale"/>
  </r>
  <r>
    <s v="ORD0758"/>
    <s v="2023-10-24"/>
    <s v="CUST090"/>
    <x v="3"/>
    <s v="Shoes"/>
    <s v="Kolkata"/>
    <s v="West Bengal"/>
    <x v="3"/>
    <n v="1"/>
    <n v="2727"/>
    <n v="5"/>
    <n v="2590.65"/>
    <n v="2590.65"/>
    <n v="374177.47999999992"/>
    <n v="1478.9623715415016"/>
    <n v="515"/>
    <s v="Not Found"/>
    <s v="Low Sale"/>
  </r>
  <r>
    <s v="ORD0756"/>
    <s v="2023-02-21"/>
    <s v="CUST113"/>
    <x v="3"/>
    <s v="Shoes"/>
    <s v="Chennai"/>
    <s v="Tamil Nadu"/>
    <x v="3"/>
    <n v="3"/>
    <n v="871"/>
    <n v="1"/>
    <n v="2586.87"/>
    <n v="2586.87"/>
    <n v="371586.82999999996"/>
    <n v="1474.5509126984125"/>
    <n v="514"/>
    <s v="Not Found"/>
    <s v="Low Sale"/>
  </r>
  <r>
    <s v="ORD0257"/>
    <s v="2023-01-01"/>
    <s v="CUST151"/>
    <x v="4"/>
    <s v="Shoes"/>
    <s v="Chennai"/>
    <s v="Karnataka"/>
    <x v="0"/>
    <n v="1"/>
    <n v="3592"/>
    <n v="28"/>
    <n v="2586.2399999999998"/>
    <n v="2586.2399999999998"/>
    <n v="368999.96"/>
    <n v="1470.1193625498008"/>
    <n v="511"/>
    <s v="Not Found"/>
    <s v="Low Sale"/>
  </r>
  <r>
    <s v="ORD0661"/>
    <s v="2023-04-14"/>
    <s v="CUST069"/>
    <x v="3"/>
    <s v="Shoes"/>
    <s v="Chennai"/>
    <s v="Maharashtra"/>
    <x v="1"/>
    <n v="1"/>
    <n v="2805"/>
    <n v="8"/>
    <n v="2580.6"/>
    <n v="2580.6"/>
    <n v="366413.72"/>
    <n v="1465.6548799999998"/>
    <n v="510"/>
    <s v="Not Found"/>
    <s v="Low Sale"/>
  </r>
  <r>
    <s v="ORD0834"/>
    <s v="2023-02-15"/>
    <s v="CUST288"/>
    <x v="0"/>
    <s v="Face Cream"/>
    <s v="Chennai"/>
    <s v="West Bengal"/>
    <x v="3"/>
    <n v="5"/>
    <n v="674"/>
    <n v="24"/>
    <n v="2561.1999999999998"/>
    <n v="2561.1999999999998"/>
    <n v="363833.12"/>
    <n v="1461.1771887550201"/>
    <n v="509"/>
    <s v="Not Found"/>
    <s v="Low Sale"/>
  </r>
  <r>
    <s v="ORD0875"/>
    <s v="2023-11-12"/>
    <s v="CUST051"/>
    <x v="0"/>
    <s v="Mobile"/>
    <s v="Mumbai"/>
    <s v="West Bengal"/>
    <x v="0"/>
    <n v="4"/>
    <n v="801"/>
    <n v="21"/>
    <n v="2531.16"/>
    <n v="2531.1600000000003"/>
    <n v="361271.92000000004"/>
    <n v="1456.741612903226"/>
    <n v="504"/>
    <s v="Not Found"/>
    <s v="Low Sale"/>
  </r>
  <r>
    <s v="ORD0492"/>
    <s v="2023-04-28"/>
    <s v="CUST051"/>
    <x v="1"/>
    <s v="Laptop"/>
    <s v="Chennai"/>
    <s v="West Bengal"/>
    <x v="2"/>
    <n v="1"/>
    <n v="2857"/>
    <n v="12"/>
    <n v="2514.16"/>
    <n v="2514.16"/>
    <n v="358740.76"/>
    <n v="1452.3917408906882"/>
    <n v="500"/>
    <s v="Not Found"/>
    <s v="Low Sale"/>
  </r>
  <r>
    <s v="ORD0091"/>
    <s v="2023-03-26"/>
    <s v="CUST048"/>
    <x v="1"/>
    <s v="Face Cream"/>
    <s v="Bangalore"/>
    <s v="Tamil Nadu"/>
    <x v="1"/>
    <n v="3"/>
    <n v="908"/>
    <n v="8"/>
    <n v="2506.08"/>
    <n v="2506.08"/>
    <n v="356226.60000000003"/>
    <n v="1448.0756097560977"/>
    <n v="499"/>
    <s v="Not Found"/>
    <s v="Low Sale"/>
  </r>
  <r>
    <s v="ORD0945"/>
    <s v="2023-08-17"/>
    <s v="CUST265"/>
    <x v="0"/>
    <s v="Face Cream"/>
    <s v="Bangalore"/>
    <s v="Tamil Nadu"/>
    <x v="2"/>
    <n v="2"/>
    <n v="1261"/>
    <n v="1"/>
    <n v="2496.7800000000002"/>
    <n v="2496.7800000000002"/>
    <n v="353720.52"/>
    <n v="1443.757224489796"/>
    <n v="496"/>
    <s v="Not Found"/>
    <s v="Low Sale"/>
  </r>
  <r>
    <s v="ORD0502"/>
    <s v="2023-11-03"/>
    <s v="CUST027"/>
    <x v="3"/>
    <s v="Shoes"/>
    <s v="Kolkata"/>
    <s v="Delhi"/>
    <x v="1"/>
    <n v="2"/>
    <n v="1461"/>
    <n v="15"/>
    <n v="2483.6999999999998"/>
    <n v="2483.6999999999998"/>
    <n v="351223.74"/>
    <n v="1439.4415573770491"/>
    <n v="494"/>
    <s v="Not Found"/>
    <s v="Low Sale"/>
  </r>
  <r>
    <s v="ORD0744"/>
    <s v="2023-01-24"/>
    <s v="CUST279"/>
    <x v="3"/>
    <s v="Sofa"/>
    <s v="Delhi"/>
    <s v="Karnataka"/>
    <x v="2"/>
    <n v="3"/>
    <n v="951"/>
    <n v="13"/>
    <n v="2482.11"/>
    <n v="2482.11"/>
    <n v="348740.04000000004"/>
    <n v="1435.1441975308644"/>
    <n v="492"/>
    <s v="Not Found"/>
    <s v="Low Sale"/>
  </r>
  <r>
    <s v="ORD0724"/>
    <s v="2023-03-19"/>
    <s v="CUST122"/>
    <x v="4"/>
    <s v="Laptop"/>
    <s v="Bangalore"/>
    <s v="Maharashtra"/>
    <x v="2"/>
    <n v="1"/>
    <n v="3354"/>
    <n v="26"/>
    <n v="2481.96"/>
    <n v="2481.96"/>
    <n v="346257.93"/>
    <n v="1430.8178925619834"/>
    <n v="489"/>
    <s v="Not Found"/>
    <s v="Low Sale"/>
  </r>
  <r>
    <s v="ORD0810"/>
    <s v="2023-05-06"/>
    <s v="CUST202"/>
    <x v="0"/>
    <s v="Sofa"/>
    <s v="Chennai"/>
    <s v="Maharashtra"/>
    <x v="1"/>
    <n v="5"/>
    <n v="661"/>
    <n v="25"/>
    <n v="2478.75"/>
    <n v="2478.75"/>
    <n v="343775.97000000003"/>
    <n v="1426.4563070539421"/>
    <n v="488"/>
    <s v="Not Found"/>
    <s v="Low Sale"/>
  </r>
  <r>
    <s v="ORD0364"/>
    <s v="2023-05-06"/>
    <s v="CUST124"/>
    <x v="2"/>
    <s v="T-Shirt"/>
    <s v="Kolkata"/>
    <s v="West Bengal"/>
    <x v="3"/>
    <n v="1"/>
    <n v="3534"/>
    <n v="30"/>
    <n v="2473.8000000000002"/>
    <n v="2473.7999999999997"/>
    <n v="341297.22000000003"/>
    <n v="1422.0717500000001"/>
    <n v="483"/>
    <s v="Not Found"/>
    <s v="Low Sale"/>
  </r>
  <r>
    <s v="ORD0898"/>
    <s v="2023-12-03"/>
    <s v="CUST195"/>
    <x v="0"/>
    <s v="Face Cream"/>
    <s v="Bangalore"/>
    <s v="Maharashtra"/>
    <x v="2"/>
    <n v="1"/>
    <n v="2987"/>
    <n v="18"/>
    <n v="2449.34"/>
    <n v="2449.34"/>
    <n v="338823.42000000004"/>
    <n v="1417.6712133891215"/>
    <n v="482"/>
    <s v="Not Found"/>
    <s v="Low Sale"/>
  </r>
  <r>
    <s v="ORD0466"/>
    <s v="2023-06-01"/>
    <s v="CUST288"/>
    <x v="2"/>
    <s v="Sofa"/>
    <s v="Kolkata"/>
    <s v="Karnataka"/>
    <x v="1"/>
    <n v="1"/>
    <n v="2959"/>
    <n v="18"/>
    <n v="2426.38"/>
    <n v="2426.38"/>
    <n v="336374.08"/>
    <n v="1413.3364705882354"/>
    <n v="481"/>
    <s v="Not Found"/>
    <s v="Low Sale"/>
  </r>
  <r>
    <s v="ORD0105"/>
    <s v="2023-10-26"/>
    <s v="CUST127"/>
    <x v="0"/>
    <s v="Sofa"/>
    <s v="Mumbai"/>
    <s v="Delhi"/>
    <x v="1"/>
    <n v="1"/>
    <n v="2476"/>
    <n v="3"/>
    <n v="2401.7199999999998"/>
    <n v="2401.7199999999998"/>
    <n v="333947.7"/>
    <n v="1409.0620253164557"/>
    <n v="480"/>
    <s v="Not Found"/>
    <s v="Low Sale"/>
  </r>
  <r>
    <s v="ORD0566"/>
    <s v="2023-06-04"/>
    <s v="CUST141"/>
    <x v="0"/>
    <s v="Sofa"/>
    <s v="Mumbai"/>
    <s v="Delhi"/>
    <x v="1"/>
    <n v="1"/>
    <n v="2520"/>
    <n v="5"/>
    <n v="2394"/>
    <n v="2394"/>
    <n v="331545.98"/>
    <n v="1404.8558474576271"/>
    <n v="479"/>
    <s v="Not Found"/>
    <s v="Low Sale"/>
  </r>
  <r>
    <s v="ORD0833"/>
    <s v="2023-07-12"/>
    <s v="CUST087"/>
    <x v="2"/>
    <s v="Sofa"/>
    <s v="Mumbai"/>
    <s v="Tamil Nadu"/>
    <x v="3"/>
    <n v="3"/>
    <n v="995"/>
    <n v="20"/>
    <n v="2388"/>
    <n v="2388"/>
    <n v="329151.98"/>
    <n v="1400.6467234042552"/>
    <n v="478"/>
    <s v="Not Found"/>
    <s v="Low Sale"/>
  </r>
  <r>
    <s v="ORD0887"/>
    <s v="2023-04-06"/>
    <s v="CUST217"/>
    <x v="0"/>
    <s v="Football"/>
    <s v="Mumbai"/>
    <s v="Maharashtra"/>
    <x v="0"/>
    <n v="3"/>
    <n v="934"/>
    <n v="15"/>
    <n v="2381.6999999999998"/>
    <n v="2381.6999999999998"/>
    <n v="326763.98"/>
    <n v="1396.4272649572649"/>
    <n v="475"/>
    <s v="Not Found"/>
    <s v="Low Sale"/>
  </r>
  <r>
    <s v="ORD0592"/>
    <s v="2023-06-15"/>
    <s v="CUST146"/>
    <x v="1"/>
    <s v="Football"/>
    <s v="Chennai"/>
    <s v="Tamil Nadu"/>
    <x v="0"/>
    <n v="1"/>
    <n v="2672"/>
    <n v="11"/>
    <n v="2378.08"/>
    <n v="2378.08"/>
    <n v="324382.27999999997"/>
    <n v="1392.1986266094418"/>
    <n v="472"/>
    <s v="Not Found"/>
    <s v="Low Sale"/>
  </r>
  <r>
    <s v="ORD0993"/>
    <s v="2023-08-28"/>
    <s v="CUST150"/>
    <x v="0"/>
    <s v="Football"/>
    <s v="Delhi"/>
    <s v="Delhi"/>
    <x v="0"/>
    <n v="4"/>
    <n v="792"/>
    <n v="25"/>
    <n v="2376"/>
    <n v="2376"/>
    <n v="322004.2"/>
    <n v="1387.9491379310346"/>
    <n v="471"/>
    <s v="Not Found"/>
    <s v="Low Sale"/>
  </r>
  <r>
    <s v="ORD0214"/>
    <s v="2023-04-09"/>
    <s v="CUST073"/>
    <x v="0"/>
    <s v="Football"/>
    <s v="Chennai"/>
    <s v="Karnataka"/>
    <x v="1"/>
    <n v="5"/>
    <n v="614"/>
    <n v="23"/>
    <n v="2363.9"/>
    <n v="2363.9"/>
    <n v="319628.2"/>
    <n v="1383.6718614718616"/>
    <n v="467"/>
    <s v="Not Found"/>
    <s v="Low Sale"/>
  </r>
  <r>
    <s v="ORD0289"/>
    <s v="2023-08-14"/>
    <s v="CUST230"/>
    <x v="4"/>
    <s v="Sofa"/>
    <s v="Bangalore"/>
    <s v="Tamil Nadu"/>
    <x v="2"/>
    <n v="1"/>
    <n v="2803"/>
    <n v="16"/>
    <n v="2354.52"/>
    <n v="2354.52"/>
    <n v="317264.30000000005"/>
    <n v="1379.4100000000003"/>
    <n v="462"/>
    <s v="Not Found"/>
    <s v="Low Sale"/>
  </r>
  <r>
    <s v="ORD0632"/>
    <s v="2023-12-02"/>
    <s v="CUST127"/>
    <x v="0"/>
    <s v="Shoes"/>
    <s v="Kolkata"/>
    <s v="Maharashtra"/>
    <x v="1"/>
    <n v="1"/>
    <n v="2721"/>
    <n v="14"/>
    <n v="2340.06"/>
    <n v="2340.06"/>
    <n v="314909.78000000009"/>
    <n v="1375.1518777292581"/>
    <n v="461"/>
    <s v="Not Found"/>
    <s v="Low Sale"/>
  </r>
  <r>
    <s v="ORD0215"/>
    <s v="2023-12-21"/>
    <s v="CUST281"/>
    <x v="3"/>
    <s v="Sofa"/>
    <s v="Bangalore"/>
    <s v="Karnataka"/>
    <x v="2"/>
    <n v="5"/>
    <n v="550"/>
    <n v="15"/>
    <n v="2337.5"/>
    <n v="2337.5"/>
    <n v="312569.72000000003"/>
    <n v="1370.9198245614036"/>
    <n v="460"/>
    <s v="Not Found"/>
    <s v="Low Sale"/>
  </r>
  <r>
    <s v="ORD0032"/>
    <s v="2023-12-10"/>
    <s v="CUST233"/>
    <x v="3"/>
    <s v="Mobile"/>
    <s v="Bangalore"/>
    <s v="Delhi"/>
    <x v="3"/>
    <n v="4"/>
    <n v="757"/>
    <n v="23"/>
    <n v="2331.56"/>
    <n v="2331.56"/>
    <n v="310232.22000000009"/>
    <n v="1366.6617621145379"/>
    <n v="455"/>
    <s v="Not Found"/>
    <s v="Low Sale"/>
  </r>
  <r>
    <s v="ORD0152"/>
    <s v="2023-04-05"/>
    <s v="CUST067"/>
    <x v="2"/>
    <s v="Mobile"/>
    <s v="Bangalore"/>
    <s v="Tamil Nadu"/>
    <x v="0"/>
    <n v="1"/>
    <n v="2590"/>
    <n v="10"/>
    <n v="2331"/>
    <n v="2331"/>
    <n v="307900.65999999997"/>
    <n v="1362.3923008849556"/>
    <n v="451"/>
    <s v="Not Found"/>
    <s v="Low Sale"/>
  </r>
  <r>
    <s v="ORD0085"/>
    <s v="2023-09-11"/>
    <s v="CUST109"/>
    <x v="4"/>
    <s v="Face Cream"/>
    <s v="Bangalore"/>
    <s v="Maharashtra"/>
    <x v="1"/>
    <n v="1"/>
    <n v="2330"/>
    <n v="0"/>
    <n v="2330"/>
    <n v="2330"/>
    <n v="305569.65999999997"/>
    <n v="1358.0873777777776"/>
    <n v="450"/>
    <s v="Not Found"/>
    <s v="Low Sale"/>
  </r>
  <r>
    <s v="ORD0972"/>
    <s v="2023-07-25"/>
    <s v="CUST081"/>
    <x v="2"/>
    <s v="Sofa"/>
    <s v="Chennai"/>
    <s v="West Bengal"/>
    <x v="2"/>
    <n v="3"/>
    <n v="835"/>
    <n v="7"/>
    <n v="2329.65"/>
    <n v="2329.6499999999996"/>
    <n v="303239.65999999997"/>
    <n v="1353.748482142857"/>
    <n v="449"/>
    <s v="Not Found"/>
    <s v="Low Sale"/>
  </r>
  <r>
    <s v="ORD0766"/>
    <s v="2023-10-09"/>
    <s v="CUST166"/>
    <x v="4"/>
    <s v="Shoes"/>
    <s v="Bangalore"/>
    <s v="Delhi"/>
    <x v="3"/>
    <n v="1"/>
    <n v="2542"/>
    <n v="9"/>
    <n v="2313.2199999999998"/>
    <n v="2313.2200000000003"/>
    <n v="300910.00999999995"/>
    <n v="1349.3722421524662"/>
    <n v="446"/>
    <s v="Not Found"/>
    <s v="Low Sale"/>
  </r>
  <r>
    <s v="ORD0052"/>
    <s v="2023-12-13"/>
    <s v="CUST206"/>
    <x v="0"/>
    <s v="Laptop"/>
    <s v="Mumbai"/>
    <s v="Karnataka"/>
    <x v="3"/>
    <n v="1"/>
    <n v="3081"/>
    <n v="25"/>
    <n v="2310.75"/>
    <n v="2310.75"/>
    <n v="298596.78999999992"/>
    <n v="1345.0305855855852"/>
    <n v="445"/>
    <s v="Not Found"/>
    <s v="Low Sale"/>
  </r>
  <r>
    <s v="ORD0259"/>
    <s v="2023-08-28"/>
    <s v="CUST018"/>
    <x v="1"/>
    <s v="Shoes"/>
    <s v="Delhi"/>
    <s v="West Bengal"/>
    <x v="1"/>
    <n v="4"/>
    <n v="788"/>
    <n v="27"/>
    <n v="2300.96"/>
    <n v="2300.96"/>
    <n v="296286.03999999992"/>
    <n v="1340.6608144796376"/>
    <n v="444"/>
    <s v="Not Found"/>
    <s v="Low Sale"/>
  </r>
  <r>
    <s v="ORD0334"/>
    <s v="2023-12-30"/>
    <s v="CUST018"/>
    <x v="0"/>
    <s v="Football"/>
    <s v="Mumbai"/>
    <s v="Karnataka"/>
    <x v="2"/>
    <n v="2"/>
    <n v="1531"/>
    <n v="25"/>
    <n v="2296.5"/>
    <n v="2296.5"/>
    <n v="293985.07999999996"/>
    <n v="1336.295818181818"/>
    <n v="440"/>
    <s v="Not Found"/>
    <s v="Low Sale"/>
  </r>
  <r>
    <s v="ORD0244"/>
    <s v="2023-04-30"/>
    <s v="CUST174"/>
    <x v="2"/>
    <s v="Laptop"/>
    <s v="Chennai"/>
    <s v="Delhi"/>
    <x v="3"/>
    <n v="2"/>
    <n v="1479"/>
    <n v="23"/>
    <n v="2277.66"/>
    <n v="2277.66"/>
    <n v="291688.5799999999"/>
    <n v="1331.9113242009128"/>
    <n v="438"/>
    <s v="Not Found"/>
    <s v="Low Sale"/>
  </r>
  <r>
    <s v="ORD0640"/>
    <s v="2023-01-03"/>
    <s v="CUST049"/>
    <x v="1"/>
    <s v="T-Shirt"/>
    <s v="Mumbai"/>
    <s v="West Bengal"/>
    <x v="1"/>
    <n v="2"/>
    <n v="1304"/>
    <n v="13"/>
    <n v="2268.96"/>
    <n v="2268.96"/>
    <n v="289410.91999999993"/>
    <n v="1327.5730275229355"/>
    <n v="436"/>
    <s v="Not Found"/>
    <s v="Low Sale"/>
  </r>
  <r>
    <s v="ORD0637"/>
    <s v="2023-07-30"/>
    <s v="CUST163"/>
    <x v="0"/>
    <s v="Sofa"/>
    <s v="Kolkata"/>
    <s v="Maharashtra"/>
    <x v="3"/>
    <n v="1"/>
    <n v="3188"/>
    <n v="29"/>
    <n v="2263.48"/>
    <n v="2263.48"/>
    <n v="287141.95999999985"/>
    <n v="1323.2348387096768"/>
    <n v="434"/>
    <s v="Not Found"/>
    <s v="Low Sale"/>
  </r>
  <r>
    <s v="ORD0983"/>
    <s v="2023-08-03"/>
    <s v="CUST196"/>
    <x v="4"/>
    <s v="Shoes"/>
    <s v="Mumbai"/>
    <s v="West Bengal"/>
    <x v="2"/>
    <n v="1"/>
    <n v="2721"/>
    <n v="17"/>
    <n v="2258.4299999999998"/>
    <n v="2258.4299999999998"/>
    <n v="284878.47999999992"/>
    <n v="1318.8818518518515"/>
    <n v="433"/>
    <s v="Not Found"/>
    <s v="Low Sale"/>
  </r>
  <r>
    <s v="ORD0116"/>
    <s v="2023-07-11"/>
    <s v="CUST235"/>
    <x v="0"/>
    <s v="Mobile"/>
    <s v="Delhi"/>
    <s v="Maharashtra"/>
    <x v="1"/>
    <n v="2"/>
    <n v="1163"/>
    <n v="3"/>
    <n v="2256.2199999999998"/>
    <n v="2256.2199999999998"/>
    <n v="282620.04999999993"/>
    <n v="1314.5118604651159"/>
    <n v="432"/>
    <s v="Not Found"/>
    <s v="Low Sale"/>
  </r>
  <r>
    <s v="ORD0126"/>
    <s v="2023-01-30"/>
    <s v="CUST152"/>
    <x v="3"/>
    <s v="Laptop"/>
    <s v="Delhi"/>
    <s v="Maharashtra"/>
    <x v="2"/>
    <n v="5"/>
    <n v="556"/>
    <n v="19"/>
    <n v="2251.8000000000002"/>
    <n v="2251.8000000000002"/>
    <n v="280363.8299999999"/>
    <n v="1310.1113551401866"/>
    <n v="430"/>
    <s v="Not Found"/>
    <s v="Low Sale"/>
  </r>
  <r>
    <s v="ORD0180"/>
    <s v="2023-07-17"/>
    <s v="CUST064"/>
    <x v="4"/>
    <s v="Laptop"/>
    <s v="Chennai"/>
    <s v="Delhi"/>
    <x v="3"/>
    <n v="1"/>
    <n v="2320"/>
    <n v="3"/>
    <n v="2250.4"/>
    <n v="2250.4"/>
    <n v="278112.02999999991"/>
    <n v="1305.6902816901404"/>
    <n v="425"/>
    <s v="Not Found"/>
    <s v="Low Sale"/>
  </r>
  <r>
    <s v="ORD0988"/>
    <s v="2023-09-05"/>
    <s v="CUST043"/>
    <x v="3"/>
    <s v="Sofa"/>
    <s v="Mumbai"/>
    <s v="Karnataka"/>
    <x v="2"/>
    <n v="1"/>
    <n v="3124"/>
    <n v="28"/>
    <n v="2249.2800000000002"/>
    <n v="2249.2799999999997"/>
    <n v="275861.62999999989"/>
    <n v="1301.2341037735844"/>
    <n v="424"/>
    <s v="Not Found"/>
    <s v="Low Sale"/>
  </r>
  <r>
    <s v="ORD0194"/>
    <s v="2023-10-28"/>
    <s v="CUST250"/>
    <x v="3"/>
    <s v="Laptop"/>
    <s v="Bangalore"/>
    <s v="Maharashtra"/>
    <x v="1"/>
    <n v="2"/>
    <n v="1367"/>
    <n v="18"/>
    <n v="2241.88"/>
    <n v="2241.88"/>
    <n v="273612.34999999998"/>
    <n v="1296.7409952606633"/>
    <n v="423"/>
    <s v="Not Found"/>
    <s v="Low Sale"/>
  </r>
  <r>
    <s v="ORD0293"/>
    <s v="2023-08-08"/>
    <s v="CUST179"/>
    <x v="0"/>
    <s v="Football"/>
    <s v="Kolkata"/>
    <s v="Maharashtra"/>
    <x v="3"/>
    <n v="4"/>
    <n v="751"/>
    <n v="26"/>
    <n v="2222.96"/>
    <n v="2222.96"/>
    <n v="271370.46999999991"/>
    <n v="1292.240333333333"/>
    <n v="421"/>
    <s v="Not Found"/>
    <s v="Low Sale"/>
  </r>
  <r>
    <s v="ORD0388"/>
    <s v="2023-11-24"/>
    <s v="CUST176"/>
    <x v="1"/>
    <s v="Face Cream"/>
    <s v="Kolkata"/>
    <s v="Tamil Nadu"/>
    <x v="3"/>
    <n v="1"/>
    <n v="2554"/>
    <n v="13"/>
    <n v="2221.98"/>
    <n v="2221.98"/>
    <n v="269147.51"/>
    <n v="1287.7871291866029"/>
    <n v="417"/>
    <s v="Not Found"/>
    <s v="Low Sale"/>
  </r>
  <r>
    <s v="ORD0069"/>
    <s v="2023-05-03"/>
    <s v="CUST252"/>
    <x v="0"/>
    <s v="Shoes"/>
    <s v="Bangalore"/>
    <s v="Karnataka"/>
    <x v="1"/>
    <n v="5"/>
    <n v="443"/>
    <n v="0"/>
    <n v="2215"/>
    <n v="2215"/>
    <n v="266925.52999999997"/>
    <n v="1283.2958173076922"/>
    <n v="416"/>
    <s v="Not Found"/>
    <s v="Low Sale"/>
  </r>
  <r>
    <s v="ORD0629"/>
    <s v="2023-10-23"/>
    <s v="CUST218"/>
    <x v="3"/>
    <s v="Mobile"/>
    <s v="Bangalore"/>
    <s v="Tamil Nadu"/>
    <x v="2"/>
    <n v="2"/>
    <n v="1482"/>
    <n v="26"/>
    <n v="2193.36"/>
    <n v="2193.36"/>
    <n v="264710.52999999997"/>
    <n v="1278.7948309178742"/>
    <n v="411"/>
    <s v="Not Found"/>
    <s v="Low Sale"/>
  </r>
  <r>
    <s v="ORD0051"/>
    <s v="2023-01-16"/>
    <s v="CUST195"/>
    <x v="0"/>
    <s v="Shoes"/>
    <s v="Delhi"/>
    <s v="Maharashtra"/>
    <x v="2"/>
    <n v="2"/>
    <n v="1305"/>
    <n v="16"/>
    <n v="2192.4"/>
    <n v="2192.4"/>
    <n v="262517.17"/>
    <n v="1274.3551941747571"/>
    <n v="409"/>
    <s v="Not Found"/>
    <s v="Low Sale"/>
  </r>
  <r>
    <s v="ORD0172"/>
    <s v="2023-05-15"/>
    <s v="CUST206"/>
    <x v="2"/>
    <s v="Mobile"/>
    <s v="Delhi"/>
    <s v="Delhi"/>
    <x v="3"/>
    <n v="1"/>
    <n v="2224"/>
    <n v="3"/>
    <n v="2157.2800000000002"/>
    <n v="2157.2799999999997"/>
    <n v="260324.77000000002"/>
    <n v="1269.8769268292683"/>
    <n v="407"/>
    <s v="Not Found"/>
    <s v="Low Sale"/>
  </r>
  <r>
    <s v="ORD0352"/>
    <s v="2023-07-28"/>
    <s v="CUST258"/>
    <x v="0"/>
    <s v="T-Shirt"/>
    <s v="Chennai"/>
    <s v="Delhi"/>
    <x v="3"/>
    <n v="3"/>
    <n v="1014"/>
    <n v="30"/>
    <n v="2129.4"/>
    <n v="2129.4"/>
    <n v="258167.49000000002"/>
    <n v="1265.526911764706"/>
    <n v="406"/>
    <s v="Not Found"/>
    <s v="Low Sale"/>
  </r>
  <r>
    <s v="ORD0034"/>
    <s v="2023-02-11"/>
    <s v="CUST290"/>
    <x v="2"/>
    <s v="Shoes"/>
    <s v="Mumbai"/>
    <s v="Tamil Nadu"/>
    <x v="1"/>
    <n v="1"/>
    <n v="2182"/>
    <n v="4"/>
    <n v="2094.7199999999998"/>
    <n v="2094.7199999999998"/>
    <n v="256038.08999999997"/>
    <n v="1261.2713793103446"/>
    <n v="403"/>
    <s v="Not Found"/>
    <s v="Low Sale"/>
  </r>
  <r>
    <s v="ORD0127"/>
    <s v="2023-07-12"/>
    <s v="CUST182"/>
    <x v="4"/>
    <s v="Mobile"/>
    <s v="Kolkata"/>
    <s v="Delhi"/>
    <x v="2"/>
    <n v="2"/>
    <n v="1198"/>
    <n v="14"/>
    <n v="2060.56"/>
    <n v="2060.56"/>
    <n v="253943.36999999997"/>
    <n v="1257.1453960396038"/>
    <n v="402"/>
    <s v="Not Found"/>
    <s v="Low Sale"/>
  </r>
  <r>
    <s v="ORD0890"/>
    <s v="2023-05-05"/>
    <s v="CUST137"/>
    <x v="4"/>
    <s v="Shoes"/>
    <s v="Kolkata"/>
    <s v="Maharashtra"/>
    <x v="1"/>
    <n v="1"/>
    <n v="2208"/>
    <n v="8"/>
    <n v="2031.36"/>
    <n v="2031.3600000000001"/>
    <n v="251882.80999999997"/>
    <n v="1253.1483084577112"/>
    <n v="400"/>
    <s v="Not Found"/>
    <s v="Low Sale"/>
  </r>
  <r>
    <s v="ORD0977"/>
    <s v="2023-01-15"/>
    <s v="CUST114"/>
    <x v="2"/>
    <s v="Mobile"/>
    <s v="Delhi"/>
    <s v="Karnataka"/>
    <x v="3"/>
    <n v="2"/>
    <n v="1390"/>
    <n v="28"/>
    <n v="2001.6"/>
    <n v="2001.6"/>
    <n v="249851.45"/>
    <n v="1249.2572500000001"/>
    <n v="399"/>
    <s v="Not Found"/>
    <s v="Low Sale"/>
  </r>
  <r>
    <s v="ORD0755"/>
    <s v="2023-03-05"/>
    <s v="CUST275"/>
    <x v="1"/>
    <s v="Face Cream"/>
    <s v="Kolkata"/>
    <s v="Maharashtra"/>
    <x v="2"/>
    <n v="2"/>
    <n v="1060"/>
    <n v="6"/>
    <n v="1992.8"/>
    <n v="1992.8"/>
    <n v="247849.85"/>
    <n v="1245.4766331658291"/>
    <n v="397"/>
    <s v="Not Found"/>
    <s v="Low Sale"/>
  </r>
  <r>
    <s v="ORD0095"/>
    <s v="2023-06-05"/>
    <s v="CUST111"/>
    <x v="1"/>
    <s v="Mobile"/>
    <s v="Delhi"/>
    <s v="Karnataka"/>
    <x v="0"/>
    <n v="3"/>
    <n v="857"/>
    <n v="23"/>
    <n v="1979.67"/>
    <n v="1979.67"/>
    <n v="245857.05"/>
    <n v="1241.7022727272727"/>
    <n v="395"/>
    <s v="Not Found"/>
    <s v="Low Sale"/>
  </r>
  <r>
    <s v="ORD0819"/>
    <s v="2023-11-24"/>
    <s v="CUST047"/>
    <x v="3"/>
    <s v="Laptop"/>
    <s v="Kolkata"/>
    <s v="Karnataka"/>
    <x v="3"/>
    <n v="1"/>
    <n v="2221"/>
    <n v="11"/>
    <n v="1976.69"/>
    <n v="1976.69"/>
    <n v="243877.37999999998"/>
    <n v="1237.9562436548222"/>
    <n v="392"/>
    <s v="Not Found"/>
    <s v="Low Sale"/>
  </r>
  <r>
    <s v="ORD0855"/>
    <s v="2023-09-08"/>
    <s v="CUST158"/>
    <x v="3"/>
    <s v="Shoes"/>
    <s v="Chennai"/>
    <s v="West Bengal"/>
    <x v="0"/>
    <n v="1"/>
    <n v="2628"/>
    <n v="25"/>
    <n v="1971"/>
    <n v="1971"/>
    <n v="241900.69"/>
    <n v="1234.187193877551"/>
    <n v="391"/>
    <s v="Not Found"/>
    <s v="Low Sale"/>
  </r>
  <r>
    <s v="ORD0247"/>
    <s v="2023-02-01"/>
    <s v="CUST239"/>
    <x v="2"/>
    <s v="T-Shirt"/>
    <s v="Kolkata"/>
    <s v="Maharashtra"/>
    <x v="2"/>
    <n v="2"/>
    <n v="1005"/>
    <n v="2"/>
    <n v="1969.8"/>
    <n v="1969.8"/>
    <n v="239929.68999999997"/>
    <n v="1230.4086666666665"/>
    <n v="390"/>
    <s v="Not Found"/>
    <s v="Low Sale"/>
  </r>
  <r>
    <s v="ORD0693"/>
    <s v="2023-12-14"/>
    <s v="CUST234"/>
    <x v="0"/>
    <s v="Face Cream"/>
    <s v="Delhi"/>
    <s v="Karnataka"/>
    <x v="0"/>
    <n v="1"/>
    <n v="2403"/>
    <n v="19"/>
    <n v="1946.43"/>
    <n v="1946.43"/>
    <n v="237959.89"/>
    <n v="1226.5973711340207"/>
    <n v="388"/>
    <s v="Not Found"/>
    <s v="Low Sale"/>
  </r>
  <r>
    <s v="ORD0524"/>
    <s v="2023-11-19"/>
    <s v="CUST008"/>
    <x v="1"/>
    <s v="Face Cream"/>
    <s v="Bangalore"/>
    <s v="Delhi"/>
    <x v="2"/>
    <n v="2"/>
    <n v="1128"/>
    <n v="14"/>
    <n v="1940.16"/>
    <n v="1940.16"/>
    <n v="236013.46000000002"/>
    <n v="1222.8676683937824"/>
    <n v="387"/>
    <s v="Not Found"/>
    <s v="Low Sale"/>
  </r>
  <r>
    <s v="ORD0641"/>
    <s v="2023-04-09"/>
    <s v="CUST165"/>
    <x v="1"/>
    <s v="Laptop"/>
    <s v="Chennai"/>
    <s v="Delhi"/>
    <x v="2"/>
    <n v="1"/>
    <n v="2104"/>
    <n v="8"/>
    <n v="1935.68"/>
    <n v="1935.68"/>
    <n v="234073.30000000002"/>
    <n v="1219.1317708333333"/>
    <n v="385"/>
    <s v="Not Found"/>
    <s v="Low Sale"/>
  </r>
  <r>
    <s v="ORD0317"/>
    <s v="2023-06-07"/>
    <s v="CUST276"/>
    <x v="2"/>
    <s v="Face Cream"/>
    <s v="Chennai"/>
    <s v="Tamil Nadu"/>
    <x v="0"/>
    <n v="3"/>
    <n v="672"/>
    <n v="4"/>
    <n v="1935.36"/>
    <n v="1935.36"/>
    <n v="232137.62000000002"/>
    <n v="1215.3802094240839"/>
    <n v="384"/>
    <s v="Not Found"/>
    <s v="Low Sale"/>
  </r>
  <r>
    <s v="ORD0720"/>
    <s v="2023-03-18"/>
    <s v="CUST001"/>
    <x v="4"/>
    <s v="T-Shirt"/>
    <s v="Chennai"/>
    <s v="West Bengal"/>
    <x v="3"/>
    <n v="1"/>
    <n v="2032"/>
    <n v="5"/>
    <n v="1930.4"/>
    <n v="1930.3999999999999"/>
    <n v="230202.26000000004"/>
    <n v="1211.5908421052634"/>
    <n v="381"/>
    <s v="Not Found"/>
    <s v="Low Sale"/>
  </r>
  <r>
    <s v="ORD0745"/>
    <s v="2023-01-02"/>
    <s v="CUST003"/>
    <x v="0"/>
    <s v="Football"/>
    <s v="Kolkata"/>
    <s v="Delhi"/>
    <x v="1"/>
    <n v="2"/>
    <n v="1135"/>
    <n v="15"/>
    <n v="1929.5"/>
    <n v="1929.5"/>
    <n v="228271.86000000002"/>
    <n v="1207.787619047619"/>
    <n v="380"/>
    <s v="Not Found"/>
    <s v="Low Sale"/>
  </r>
  <r>
    <s v="ORD0620"/>
    <s v="2023-03-23"/>
    <s v="CUST225"/>
    <x v="1"/>
    <s v="Football"/>
    <s v="Bangalore"/>
    <s v="Maharashtra"/>
    <x v="1"/>
    <n v="3"/>
    <n v="722"/>
    <n v="11"/>
    <n v="1927.74"/>
    <n v="1927.74"/>
    <n v="226342.36000000004"/>
    <n v="1203.9487234042556"/>
    <n v="378"/>
    <s v="Not Found"/>
    <s v="Low Sale"/>
  </r>
  <r>
    <s v="ORD0829"/>
    <s v="2023-01-17"/>
    <s v="CUST231"/>
    <x v="2"/>
    <s v="T-Shirt"/>
    <s v="Mumbai"/>
    <s v="Delhi"/>
    <x v="1"/>
    <n v="1"/>
    <n v="2592"/>
    <n v="26"/>
    <n v="1918.08"/>
    <n v="1918.08"/>
    <n v="224414.62000000002"/>
    <n v="1200.078181818182"/>
    <n v="375"/>
    <s v="Not Found"/>
    <s v="Low Sale"/>
  </r>
  <r>
    <s v="ORD0246"/>
    <s v="2023-10-08"/>
    <s v="CUST230"/>
    <x v="1"/>
    <s v="Sofa"/>
    <s v="Delhi"/>
    <s v="Maharashtra"/>
    <x v="3"/>
    <n v="1"/>
    <n v="2365"/>
    <n v="19"/>
    <n v="1915.65"/>
    <n v="1915.65"/>
    <n v="222496.54000000004"/>
    <n v="1196.2179569892476"/>
    <n v="374"/>
    <s v="Not Found"/>
    <s v="Low Sale"/>
  </r>
  <r>
    <s v="ORD0484"/>
    <s v="2023-10-27"/>
    <s v="CUST276"/>
    <x v="2"/>
    <s v="Laptop"/>
    <s v="Delhi"/>
    <s v="Karnataka"/>
    <x v="1"/>
    <n v="1"/>
    <n v="2163"/>
    <n v="12"/>
    <n v="1903.44"/>
    <n v="1903.44"/>
    <n v="220580.89"/>
    <n v="1192.3291351351352"/>
    <n v="373"/>
    <s v="Not Found"/>
    <s v="Low Sale"/>
  </r>
  <r>
    <s v="ORD0739"/>
    <s v="2023-08-21"/>
    <s v="CUST097"/>
    <x v="3"/>
    <s v="T-Shirt"/>
    <s v="Bangalore"/>
    <s v="West Bengal"/>
    <x v="1"/>
    <n v="1"/>
    <n v="2291"/>
    <n v="17"/>
    <n v="1901.53"/>
    <n v="1901.53"/>
    <n v="218677.45"/>
    <n v="1188.4644021739132"/>
    <n v="372"/>
    <s v="Not Found"/>
    <s v="Low Sale"/>
  </r>
  <r>
    <s v="ORD0933"/>
    <s v="2023-02-08"/>
    <s v="CUST299"/>
    <x v="1"/>
    <s v="Mobile"/>
    <s v="Bangalore"/>
    <s v="Karnataka"/>
    <x v="3"/>
    <n v="1"/>
    <n v="1976"/>
    <n v="4"/>
    <n v="1896.96"/>
    <n v="1896.96"/>
    <n v="216775.92000000004"/>
    <n v="1184.5678688524592"/>
    <n v="371"/>
    <s v="Not Found"/>
    <s v="Low Sale"/>
  </r>
  <r>
    <s v="ORD0660"/>
    <s v="2023-10-06"/>
    <s v="CUST116"/>
    <x v="3"/>
    <s v="T-Shirt"/>
    <s v="Delhi"/>
    <s v="West Bengal"/>
    <x v="3"/>
    <n v="1"/>
    <n v="2366"/>
    <n v="20"/>
    <n v="1892.8"/>
    <n v="1892.8000000000002"/>
    <n v="214878.96000000002"/>
    <n v="1180.6536263736266"/>
    <n v="370"/>
    <s v="Not Found"/>
    <s v="Low Sale"/>
  </r>
  <r>
    <s v="ORD0451"/>
    <s v="2023-03-02"/>
    <s v="CUST080"/>
    <x v="4"/>
    <s v="Face Cream"/>
    <s v="Mumbai"/>
    <s v="Tamil Nadu"/>
    <x v="1"/>
    <n v="5"/>
    <n v="420"/>
    <n v="10"/>
    <n v="1890"/>
    <n v="1890"/>
    <n v="212986.16"/>
    <n v="1176.7191160220996"/>
    <n v="369"/>
    <s v="Not Found"/>
    <s v="Low Sale"/>
  </r>
  <r>
    <s v="ORD0923"/>
    <s v="2023-12-15"/>
    <s v="CUST126"/>
    <x v="4"/>
    <s v="Shoes"/>
    <s v="Chennai"/>
    <s v="Maharashtra"/>
    <x v="3"/>
    <n v="3"/>
    <n v="858"/>
    <n v="27"/>
    <n v="1879.02"/>
    <n v="1879.02"/>
    <n v="211096.16"/>
    <n v="1172.7564444444445"/>
    <n v="364"/>
    <s v="Not Found"/>
    <s v="Low Sale"/>
  </r>
  <r>
    <s v="ORD0675"/>
    <s v="2023-02-11"/>
    <s v="CUST206"/>
    <x v="3"/>
    <s v="Laptop"/>
    <s v="Kolkata"/>
    <s v="Maharashtra"/>
    <x v="3"/>
    <n v="3"/>
    <n v="854"/>
    <n v="27"/>
    <n v="1870.26"/>
    <n v="1870.26"/>
    <n v="209217.14"/>
    <n v="1168.810837988827"/>
    <n v="361"/>
    <s v="Not Found"/>
    <s v="Low Sale"/>
  </r>
  <r>
    <s v="ORD0358"/>
    <s v="2023-03-14"/>
    <s v="CUST227"/>
    <x v="4"/>
    <s v="Sofa"/>
    <s v="Bangalore"/>
    <s v="Delhi"/>
    <x v="0"/>
    <n v="1"/>
    <n v="2250"/>
    <n v="17"/>
    <n v="1867.5"/>
    <n v="1867.5"/>
    <n v="207346.88000000003"/>
    <n v="1164.8701123595508"/>
    <n v="358"/>
    <s v="Not Found"/>
    <s v="Low Sale"/>
  </r>
  <r>
    <s v="ORD0785"/>
    <s v="2023-07-16"/>
    <s v="CUST113"/>
    <x v="4"/>
    <s v="Shoes"/>
    <s v="Kolkata"/>
    <s v="Tamil Nadu"/>
    <x v="1"/>
    <n v="5"/>
    <n v="487"/>
    <n v="24"/>
    <n v="1850.6"/>
    <n v="1850.6"/>
    <n v="205479.38000000003"/>
    <n v="1160.9004519774014"/>
    <n v="357"/>
    <s v="Not Found"/>
    <s v="Low Sale"/>
  </r>
  <r>
    <s v="ORD0346"/>
    <s v="2023-04-03"/>
    <s v="CUST025"/>
    <x v="0"/>
    <s v="Laptop"/>
    <s v="Chennai"/>
    <s v="Delhi"/>
    <x v="1"/>
    <n v="1"/>
    <n v="2567"/>
    <n v="28"/>
    <n v="1848.24"/>
    <n v="1848.24"/>
    <n v="203628.78000000003"/>
    <n v="1156.9817045454547"/>
    <n v="352"/>
    <s v="Not Found"/>
    <s v="Low Sale"/>
  </r>
  <r>
    <s v="ORD0444"/>
    <s v="2023-03-01"/>
    <s v="CUST202"/>
    <x v="2"/>
    <s v="Shoes"/>
    <s v="Chennai"/>
    <s v="Karnataka"/>
    <x v="1"/>
    <n v="5"/>
    <n v="440"/>
    <n v="16"/>
    <n v="1848"/>
    <n v="1848"/>
    <n v="201780.54"/>
    <n v="1153.0316571428573"/>
    <n v="351"/>
    <s v="Not Found"/>
    <s v="Low Sale"/>
  </r>
  <r>
    <s v="ORD0338"/>
    <s v="2023-04-29"/>
    <s v="CUST258"/>
    <x v="4"/>
    <s v="Laptop"/>
    <s v="Bangalore"/>
    <s v="Delhi"/>
    <x v="0"/>
    <n v="1"/>
    <n v="2123"/>
    <n v="13"/>
    <n v="1847.01"/>
    <n v="1847.01"/>
    <n v="199932.54"/>
    <n v="1149.0375862068965"/>
    <n v="346"/>
    <s v="Not Found"/>
    <s v="Low Sale"/>
  </r>
  <r>
    <s v="ORD0538"/>
    <s v="2023-08-18"/>
    <s v="CUST124"/>
    <x v="4"/>
    <s v="T-Shirt"/>
    <s v="Delhi"/>
    <s v="Maharashtra"/>
    <x v="1"/>
    <n v="1"/>
    <n v="2462"/>
    <n v="25"/>
    <n v="1846.5"/>
    <n v="1846.5"/>
    <n v="198085.53000000003"/>
    <n v="1145.0030635838152"/>
    <n v="345"/>
    <s v="Not Found"/>
    <s v="Low Sale"/>
  </r>
  <r>
    <s v="ORD0408"/>
    <s v="2023-07-27"/>
    <s v="CUST117"/>
    <x v="1"/>
    <s v="Mobile"/>
    <s v="Delhi"/>
    <s v="West Bengal"/>
    <x v="3"/>
    <n v="4"/>
    <n v="599"/>
    <n v="23"/>
    <n v="1844.92"/>
    <n v="1844.92"/>
    <n v="196239.03"/>
    <n v="1140.9245930232557"/>
    <n v="344"/>
    <s v="Not Found"/>
    <s v="Low Sale"/>
  </r>
  <r>
    <s v="ORD0278"/>
    <s v="2023-10-07"/>
    <s v="CUST285"/>
    <x v="0"/>
    <s v="Mobile"/>
    <s v="Mumbai"/>
    <s v="Tamil Nadu"/>
    <x v="1"/>
    <n v="1"/>
    <n v="2190"/>
    <n v="16"/>
    <n v="1839.6"/>
    <n v="1839.6"/>
    <n v="194394.11"/>
    <n v="1136.8076608187134"/>
    <n v="340"/>
    <s v="Not Found"/>
    <s v="Low Sale"/>
  </r>
  <r>
    <s v="ORD0586"/>
    <s v="2023-08-06"/>
    <s v="CUST097"/>
    <x v="1"/>
    <s v="T-Shirt"/>
    <s v="Mumbai"/>
    <s v="Karnataka"/>
    <x v="3"/>
    <n v="2"/>
    <n v="1022"/>
    <n v="10"/>
    <n v="1839.6"/>
    <n v="1839.6000000000001"/>
    <n v="192554.50999999998"/>
    <n v="1132.6735882352939"/>
    <n v="339"/>
    <s v="Not Found"/>
    <s v="Low Sale"/>
  </r>
  <r>
    <s v="ORD0866"/>
    <s v="2023-11-11"/>
    <s v="CUST230"/>
    <x v="1"/>
    <s v="Laptop"/>
    <s v="Mumbai"/>
    <s v="Karnataka"/>
    <x v="2"/>
    <n v="5"/>
    <n v="370"/>
    <n v="1"/>
    <n v="1831.5"/>
    <n v="1831.5"/>
    <n v="190714.91"/>
    <n v="1128.4905917159763"/>
    <n v="337"/>
    <s v="Not Found"/>
    <s v="Low Sale"/>
  </r>
  <r>
    <s v="ORD0483"/>
    <s v="2023-05-29"/>
    <s v="CUST206"/>
    <x v="3"/>
    <s v="Sofa"/>
    <s v="Chennai"/>
    <s v="Delhi"/>
    <x v="3"/>
    <n v="1"/>
    <n v="2347"/>
    <n v="22"/>
    <n v="1830.66"/>
    <n v="1830.66"/>
    <n v="188883.40999999997"/>
    <n v="1124.3060119047618"/>
    <n v="332"/>
    <s v="Not Found"/>
    <s v="Low Sale"/>
  </r>
  <r>
    <s v="ORD0985"/>
    <s v="2023-01-03"/>
    <s v="CUST134"/>
    <x v="3"/>
    <s v="Face Cream"/>
    <s v="Bangalore"/>
    <s v="Tamil Nadu"/>
    <x v="1"/>
    <n v="1"/>
    <n v="2103"/>
    <n v="13"/>
    <n v="1829.61"/>
    <n v="1829.61"/>
    <n v="187052.74999999994"/>
    <n v="1120.0763473053889"/>
    <n v="331"/>
    <s v="Not Found"/>
    <s v="Low Sale"/>
  </r>
  <r>
    <s v="ORD0262"/>
    <s v="2023-07-20"/>
    <s v="CUST242"/>
    <x v="0"/>
    <s v="Sofa"/>
    <s v="Mumbai"/>
    <s v="West Bengal"/>
    <x v="1"/>
    <n v="1"/>
    <n v="1967"/>
    <n v="7"/>
    <n v="1829.31"/>
    <n v="1829.31"/>
    <n v="185223.13999999996"/>
    <n v="1115.8020481927708"/>
    <n v="330"/>
    <s v="Not Found"/>
    <s v="Low Sale"/>
  </r>
  <r>
    <s v="ORD0025"/>
    <s v="2023-06-28"/>
    <s v="CUST058"/>
    <x v="4"/>
    <s v="Laptop"/>
    <s v="Delhi"/>
    <s v="Delhi"/>
    <x v="0"/>
    <n v="1"/>
    <n v="1988"/>
    <n v="8"/>
    <n v="1828.96"/>
    <n v="1828.96"/>
    <n v="183393.82999999996"/>
    <n v="1111.4777575757573"/>
    <n v="329"/>
    <s v="Not Found"/>
    <s v="Low Sale"/>
  </r>
  <r>
    <s v="ORD0965"/>
    <s v="2023-09-26"/>
    <s v="CUST188"/>
    <x v="3"/>
    <s v="Face Cream"/>
    <s v="Chennai"/>
    <s v="West Bengal"/>
    <x v="1"/>
    <n v="3"/>
    <n v="802"/>
    <n v="24"/>
    <n v="1828.56"/>
    <n v="1828.56"/>
    <n v="181564.86999999994"/>
    <n v="1107.1028658536582"/>
    <n v="328"/>
    <s v="Not Found"/>
    <s v="Low Sale"/>
  </r>
  <r>
    <s v="ORD0560"/>
    <s v="2023-07-05"/>
    <s v="CUST075"/>
    <x v="0"/>
    <s v="Shoes"/>
    <s v="Mumbai"/>
    <s v="Delhi"/>
    <x v="1"/>
    <n v="2"/>
    <n v="1075"/>
    <n v="15"/>
    <n v="1827.5"/>
    <n v="1827.5"/>
    <n v="179736.30999999994"/>
    <n v="1102.6767484662573"/>
    <n v="325"/>
    <s v="Not Found"/>
    <s v="Low Sale"/>
  </r>
  <r>
    <s v="ORD0368"/>
    <s v="2023-12-19"/>
    <s v="CUST248"/>
    <x v="1"/>
    <s v="Sofa"/>
    <s v="Mumbai"/>
    <s v="Karnataka"/>
    <x v="0"/>
    <n v="5"/>
    <n v="397"/>
    <n v="8"/>
    <n v="1826.2"/>
    <n v="1826.2"/>
    <n v="177908.80999999994"/>
    <n v="1098.2025308641971"/>
    <n v="323"/>
    <s v="Not Found"/>
    <s v="Low Sale"/>
  </r>
  <r>
    <s v="ORD0345"/>
    <s v="2023-04-24"/>
    <s v="CUST181"/>
    <x v="4"/>
    <s v="Face Cream"/>
    <s v="Bangalore"/>
    <s v="Maharashtra"/>
    <x v="0"/>
    <n v="2"/>
    <n v="960"/>
    <n v="5"/>
    <n v="1824"/>
    <n v="1824"/>
    <n v="176082.60999999996"/>
    <n v="1093.6808074534158"/>
    <n v="318"/>
    <s v="Not Found"/>
    <s v="Low Sale"/>
  </r>
  <r>
    <s v="ORD0751"/>
    <s v="2023-05-31"/>
    <s v="CUST195"/>
    <x v="0"/>
    <s v="Sofa"/>
    <s v="Kolkata"/>
    <s v="West Bengal"/>
    <x v="1"/>
    <n v="4"/>
    <n v="640"/>
    <n v="29"/>
    <n v="1817.6"/>
    <n v="1817.6"/>
    <n v="174258.60999999996"/>
    <n v="1089.1163124999998"/>
    <n v="316"/>
    <s v="Not Found"/>
    <s v="Low Sale"/>
  </r>
  <r>
    <s v="ORD0911"/>
    <s v="2023-11-15"/>
    <s v="CUST187"/>
    <x v="4"/>
    <s v="Mobile"/>
    <s v="Kolkata"/>
    <s v="Delhi"/>
    <x v="3"/>
    <n v="2"/>
    <n v="1147"/>
    <n v="21"/>
    <n v="1812.26"/>
    <n v="1812.26"/>
    <n v="172441.00999999992"/>
    <n v="1084.5346540880498"/>
    <n v="312"/>
    <s v="Not Found"/>
    <s v="Low Sale"/>
  </r>
  <r>
    <s v="ORD0697"/>
    <s v="2023-12-06"/>
    <s v="CUST123"/>
    <x v="4"/>
    <s v="T-Shirt"/>
    <s v="Mumbai"/>
    <s v="Karnataka"/>
    <x v="3"/>
    <n v="2"/>
    <n v="910"/>
    <n v="1"/>
    <n v="1801.8"/>
    <n v="1801.8"/>
    <n v="170628.74999999994"/>
    <n v="1079.9287974683541"/>
    <n v="310"/>
    <s v="Not Found"/>
    <s v="Low Sale"/>
  </r>
  <r>
    <s v="ORD0519"/>
    <s v="2023-03-06"/>
    <s v="CUST138"/>
    <x v="2"/>
    <s v="Football"/>
    <s v="Delhi"/>
    <s v="Delhi"/>
    <x v="3"/>
    <n v="2"/>
    <n v="988"/>
    <n v="9"/>
    <n v="1798.16"/>
    <n v="1798.16"/>
    <n v="168826.94999999995"/>
    <n v="1075.3308917197448"/>
    <n v="308"/>
    <s v="Not Found"/>
    <s v="Low Sale"/>
  </r>
  <r>
    <s v="ORD0891"/>
    <s v="2023-06-17"/>
    <s v="CUST190"/>
    <x v="0"/>
    <s v="Football"/>
    <s v="Delhi"/>
    <s v="Delhi"/>
    <x v="3"/>
    <n v="5"/>
    <n v="484"/>
    <n v="26"/>
    <n v="1790.8"/>
    <n v="1790.8"/>
    <n v="167028.78999999998"/>
    <n v="1070.6973717948717"/>
    <n v="306"/>
    <s v="Not Found"/>
    <s v="Low Sale"/>
  </r>
  <r>
    <s v="ORD0531"/>
    <s v="2023-02-17"/>
    <s v="CUST087"/>
    <x v="2"/>
    <s v="Shoes"/>
    <s v="Bangalore"/>
    <s v="Delhi"/>
    <x v="1"/>
    <n v="3"/>
    <n v="719"/>
    <n v="17"/>
    <n v="1790.31"/>
    <n v="1790.31"/>
    <n v="165237.99"/>
    <n v="1066.0515483870968"/>
    <n v="301"/>
    <s v="Not Found"/>
    <s v="Low Sale"/>
  </r>
  <r>
    <s v="ORD1000"/>
    <s v="2023-12-24"/>
    <s v="CUST191"/>
    <x v="1"/>
    <s v="Football"/>
    <s v="Delhi"/>
    <s v="Maharashtra"/>
    <x v="0"/>
    <n v="1"/>
    <n v="1936"/>
    <n v="8"/>
    <n v="1781.12"/>
    <n v="1781.1200000000001"/>
    <n v="163447.67999999999"/>
    <n v="1061.3485714285714"/>
    <n v="298"/>
    <s v="Not Found"/>
    <s v="Low Sale"/>
  </r>
  <r>
    <s v="ORD0717"/>
    <s v="2023-12-25"/>
    <s v="CUST196"/>
    <x v="1"/>
    <s v="T-Shirt"/>
    <s v="Bangalore"/>
    <s v="Delhi"/>
    <x v="1"/>
    <n v="1"/>
    <n v="2061"/>
    <n v="14"/>
    <n v="1772.46"/>
    <n v="1772.46"/>
    <n v="161666.56"/>
    <n v="1056.644183006536"/>
    <n v="297"/>
    <s v="Not Found"/>
    <s v="Low Sale"/>
  </r>
  <r>
    <s v="ORD0500"/>
    <s v="2023-02-16"/>
    <s v="CUST173"/>
    <x v="0"/>
    <s v="Sofa"/>
    <s v="Chennai"/>
    <s v="Maharashtra"/>
    <x v="0"/>
    <n v="5"/>
    <n v="356"/>
    <n v="1"/>
    <n v="1762.2"/>
    <n v="1762.2"/>
    <n v="159894.1"/>
    <n v="1051.9348684210527"/>
    <n v="296"/>
    <s v="Not Found"/>
    <s v="Low Sale"/>
  </r>
  <r>
    <s v="ORD0514"/>
    <s v="2023-02-22"/>
    <s v="CUST103"/>
    <x v="1"/>
    <s v="Shoes"/>
    <s v="Mumbai"/>
    <s v="Delhi"/>
    <x v="3"/>
    <n v="1"/>
    <n v="1834"/>
    <n v="4"/>
    <n v="1760.64"/>
    <n v="1760.6399999999999"/>
    <n v="158131.90000000002"/>
    <n v="1047.2311258278148"/>
    <n v="291"/>
    <s v="Not Found"/>
    <s v="Low Sale"/>
  </r>
  <r>
    <s v="ORD0465"/>
    <s v="2023-03-19"/>
    <s v="CUST189"/>
    <x v="0"/>
    <s v="Shoes"/>
    <s v="Kolkata"/>
    <s v="Delhi"/>
    <x v="1"/>
    <n v="1"/>
    <n v="2058"/>
    <n v="15"/>
    <n v="1749.3"/>
    <n v="1749.3"/>
    <n v="156371.26000000004"/>
    <n v="1042.4750666666669"/>
    <n v="290"/>
    <s v="Not Found"/>
    <s v="Low Sale"/>
  </r>
  <r>
    <s v="ORD0099"/>
    <s v="2023-01-02"/>
    <s v="CUST020"/>
    <x v="1"/>
    <s v="T-Shirt"/>
    <s v="Mumbai"/>
    <s v="Karnataka"/>
    <x v="3"/>
    <n v="2"/>
    <n v="1075"/>
    <n v="19"/>
    <n v="1741.5"/>
    <n v="1741.5000000000002"/>
    <n v="154621.96000000005"/>
    <n v="1037.7312751677855"/>
    <n v="289"/>
    <s v="Not Found"/>
    <s v="Low Sale"/>
  </r>
  <r>
    <s v="ORD0013"/>
    <s v="2023-01-01"/>
    <s v="CUST262"/>
    <x v="0"/>
    <s v="Face Cream"/>
    <s v="Kolkata"/>
    <s v="Tamil Nadu"/>
    <x v="0"/>
    <n v="1"/>
    <n v="2073"/>
    <n v="16"/>
    <n v="1741.32"/>
    <n v="1741.32"/>
    <n v="152880.46000000005"/>
    <n v="1032.9760810810815"/>
    <n v="287"/>
    <s v="Not Found"/>
    <s v="Low Sale"/>
  </r>
  <r>
    <s v="ORD0265"/>
    <s v="2023-01-10"/>
    <s v="CUST048"/>
    <x v="0"/>
    <s v="Mobile"/>
    <s v="Mumbai"/>
    <s v="West Bengal"/>
    <x v="2"/>
    <n v="1"/>
    <n v="2314"/>
    <n v="25"/>
    <n v="1735.5"/>
    <n v="1735.5"/>
    <n v="151139.14000000007"/>
    <n v="1028.1574149659868"/>
    <n v="286"/>
    <s v="Not Found"/>
    <s v="Low Sale"/>
  </r>
  <r>
    <s v="ORD0285"/>
    <s v="2023-09-23"/>
    <s v="CUST169"/>
    <x v="3"/>
    <s v="T-Shirt"/>
    <s v="Chennai"/>
    <s v="West Bengal"/>
    <x v="0"/>
    <n v="1"/>
    <n v="2178"/>
    <n v="21"/>
    <n v="1720.62"/>
    <n v="1720.6200000000001"/>
    <n v="149403.64000000007"/>
    <n v="1023.3126027397266"/>
    <n v="285"/>
    <s v="Not Found"/>
    <s v="Low Sale"/>
  </r>
  <r>
    <s v="ORD0786"/>
    <s v="2023-07-17"/>
    <s v="CUST080"/>
    <x v="1"/>
    <s v="Laptop"/>
    <s v="Kolkata"/>
    <s v="Maharashtra"/>
    <x v="0"/>
    <n v="4"/>
    <n v="494"/>
    <n v="14"/>
    <n v="1699.36"/>
    <n v="1699.36"/>
    <n v="147683.02000000005"/>
    <n v="1018.5035862068969"/>
    <n v="284"/>
    <s v="Not Found"/>
    <s v="Low Sale"/>
  </r>
  <r>
    <s v="ORD0425"/>
    <s v="2023-03-23"/>
    <s v="CUST273"/>
    <x v="1"/>
    <s v="Mobile"/>
    <s v="Kolkata"/>
    <s v="Delhi"/>
    <x v="1"/>
    <n v="3"/>
    <n v="744"/>
    <n v="24"/>
    <n v="1696.32"/>
    <n v="1696.32"/>
    <n v="145983.66000000006"/>
    <n v="1013.7754166666671"/>
    <n v="280"/>
    <s v="Not Found"/>
    <s v="Low Sale"/>
  </r>
  <r>
    <s v="ORD0187"/>
    <s v="2023-01-28"/>
    <s v="CUST200"/>
    <x v="3"/>
    <s v="Mobile"/>
    <s v="Bangalore"/>
    <s v="West Bengal"/>
    <x v="3"/>
    <n v="1"/>
    <n v="2068"/>
    <n v="18"/>
    <n v="1695.76"/>
    <n v="1695.7600000000002"/>
    <n v="144287.34000000008"/>
    <n v="1009.0023776223782"/>
    <n v="277"/>
    <s v="Not Found"/>
    <s v="Low Sale"/>
  </r>
  <r>
    <s v="ORD0124"/>
    <s v="2023-04-11"/>
    <s v="CUST161"/>
    <x v="3"/>
    <s v="T-Shirt"/>
    <s v="Mumbai"/>
    <s v="Tamil Nadu"/>
    <x v="0"/>
    <n v="1"/>
    <n v="1721"/>
    <n v="2"/>
    <n v="1686.58"/>
    <n v="1686.58"/>
    <n v="142591.58000000007"/>
    <n v="1004.1660563380287"/>
    <n v="276"/>
    <s v="Not Found"/>
    <s v="Low Sale"/>
  </r>
  <r>
    <s v="ORD0648"/>
    <s v="2023-02-13"/>
    <s v="CUST178"/>
    <x v="0"/>
    <s v="Shoes"/>
    <s v="Mumbai"/>
    <s v="West Bengal"/>
    <x v="3"/>
    <n v="5"/>
    <n v="372"/>
    <n v="10"/>
    <n v="1674"/>
    <n v="1674"/>
    <n v="140905.00000000006"/>
    <n v="999.32624113475219"/>
    <n v="275"/>
    <s v="Not Found"/>
    <s v="Low Sale"/>
  </r>
  <r>
    <s v="ORD0550"/>
    <s v="2023-02-25"/>
    <s v="CUST037"/>
    <x v="4"/>
    <s v="Face Cream"/>
    <s v="Delhi"/>
    <s v="Tamil Nadu"/>
    <x v="0"/>
    <n v="2"/>
    <n v="861"/>
    <n v="3"/>
    <n v="1670.34"/>
    <n v="1670.34"/>
    <n v="139231.00000000003"/>
    <n v="994.50714285714309"/>
    <n v="270"/>
    <s v="Not Found"/>
    <s v="Low Sale"/>
  </r>
  <r>
    <s v="ORD0248"/>
    <s v="2023-04-16"/>
    <s v="CUST107"/>
    <x v="1"/>
    <s v="Sofa"/>
    <s v="Mumbai"/>
    <s v="Maharashtra"/>
    <x v="3"/>
    <n v="3"/>
    <n v="636"/>
    <n v="13"/>
    <n v="1659.96"/>
    <n v="1659.96"/>
    <n v="137560.66000000003"/>
    <n v="989.64503597122325"/>
    <n v="268"/>
    <s v="Not Found"/>
    <s v="Low Sale"/>
  </r>
  <r>
    <s v="ORD0742"/>
    <s v="2023-11-08"/>
    <s v="CUST022"/>
    <x v="0"/>
    <s v="Sofa"/>
    <s v="Chennai"/>
    <s v="West Bengal"/>
    <x v="1"/>
    <n v="1"/>
    <n v="1702"/>
    <n v="3"/>
    <n v="1650.94"/>
    <n v="1650.94"/>
    <n v="135900.70000000001"/>
    <n v="984.78768115942034"/>
    <n v="265"/>
    <s v="Not Found"/>
    <s v="Low Sale"/>
  </r>
  <r>
    <s v="ORD0156"/>
    <s v="2023-06-28"/>
    <s v="CUST031"/>
    <x v="1"/>
    <s v="Mobile"/>
    <s v="Bangalore"/>
    <s v="Tamil Nadu"/>
    <x v="3"/>
    <n v="1"/>
    <n v="2012"/>
    <n v="18"/>
    <n v="1649.84"/>
    <n v="1649.8400000000001"/>
    <n v="134249.76"/>
    <n v="979.92525547445257"/>
    <n v="264"/>
    <s v="Not Found"/>
    <s v="Low Sale"/>
  </r>
  <r>
    <s v="ORD0599"/>
    <s v="2023-12-03"/>
    <s v="CUST211"/>
    <x v="4"/>
    <s v="Sofa"/>
    <s v="Delhi"/>
    <s v="Maharashtra"/>
    <x v="2"/>
    <n v="2"/>
    <n v="820"/>
    <n v="0"/>
    <n v="1640"/>
    <n v="1640"/>
    <n v="132599.92000000004"/>
    <n v="974.99941176470622"/>
    <n v="263"/>
    <s v="Not Found"/>
    <s v="Low Sale"/>
  </r>
  <r>
    <s v="ORD0179"/>
    <s v="2023-06-27"/>
    <s v="CUST267"/>
    <x v="4"/>
    <s v="Sofa"/>
    <s v="Mumbai"/>
    <s v="Tamil Nadu"/>
    <x v="1"/>
    <n v="1"/>
    <n v="1817"/>
    <n v="10"/>
    <n v="1635.3"/>
    <n v="1635.3"/>
    <n v="130959.92000000001"/>
    <n v="970.07348148148162"/>
    <n v="261"/>
    <s v="Not Found"/>
    <s v="Low Sale"/>
  </r>
  <r>
    <s v="ORD0467"/>
    <s v="2023-07-31"/>
    <s v="CUST274"/>
    <x v="3"/>
    <s v="Sofa"/>
    <s v="Kolkata"/>
    <s v="Maharashtra"/>
    <x v="1"/>
    <n v="1"/>
    <n v="1645"/>
    <n v="1"/>
    <n v="1628.55"/>
    <n v="1628.55"/>
    <n v="129324.62000000001"/>
    <n v="965.10910447761205"/>
    <n v="260"/>
    <s v="Not Found"/>
    <s v="Low Sale"/>
  </r>
  <r>
    <s v="ORD0688"/>
    <s v="2023-04-08"/>
    <s v="CUST275"/>
    <x v="2"/>
    <s v="Football"/>
    <s v="Bangalore"/>
    <s v="West Bengal"/>
    <x v="1"/>
    <n v="1"/>
    <n v="2034"/>
    <n v="20"/>
    <n v="1627.2"/>
    <n v="1627.2"/>
    <n v="127696.06999999999"/>
    <n v="960.1208270676691"/>
    <n v="259"/>
    <s v="Not Found"/>
    <s v="Low Sale"/>
  </r>
  <r>
    <s v="ORD0635"/>
    <s v="2023-04-30"/>
    <s v="CUST299"/>
    <x v="3"/>
    <s v="Football"/>
    <s v="Chennai"/>
    <s v="West Bengal"/>
    <x v="1"/>
    <n v="3"/>
    <n v="728"/>
    <n v="26"/>
    <n v="1616.16"/>
    <n v="1616.16"/>
    <n v="126068.87000000001"/>
    <n v="955.06719696969708"/>
    <n v="258"/>
    <s v="Not Found"/>
    <s v="Low Sale"/>
  </r>
  <r>
    <s v="ORD0450"/>
    <s v="2023-10-31"/>
    <s v="CUST116"/>
    <x v="4"/>
    <s v="Mobile"/>
    <s v="Mumbai"/>
    <s v="Tamil Nadu"/>
    <x v="1"/>
    <n v="1"/>
    <n v="1627"/>
    <n v="1"/>
    <n v="1610.73"/>
    <n v="1610.73"/>
    <n v="124452.71"/>
    <n v="950.0206870229008"/>
    <n v="255"/>
    <s v="Not Found"/>
    <s v="Low Sale"/>
  </r>
  <r>
    <s v="ORD0532"/>
    <s v="2023-05-01"/>
    <s v="CUST126"/>
    <x v="4"/>
    <s v="Laptop"/>
    <s v="Kolkata"/>
    <s v="Karnataka"/>
    <x v="0"/>
    <n v="2"/>
    <n v="839"/>
    <n v="5"/>
    <n v="1594.1"/>
    <n v="1594.1"/>
    <n v="122841.98000000003"/>
    <n v="944.93830769230783"/>
    <n v="254"/>
    <s v="Not Found"/>
    <s v="Low Sale"/>
  </r>
  <r>
    <s v="ORD0588"/>
    <s v="2023-04-28"/>
    <s v="CUST248"/>
    <x v="0"/>
    <s v="Mobile"/>
    <s v="Chennai"/>
    <s v="Tamil Nadu"/>
    <x v="2"/>
    <n v="1"/>
    <n v="1639"/>
    <n v="3"/>
    <n v="1589.83"/>
    <n v="1589.83"/>
    <n v="121247.88000000002"/>
    <n v="939.90604651162801"/>
    <n v="252"/>
    <s v="Not Found"/>
    <s v="Low Sale"/>
  </r>
  <r>
    <s v="ORD0836"/>
    <s v="2023-02-18"/>
    <s v="CUST160"/>
    <x v="2"/>
    <s v="T-Shirt"/>
    <s v="Mumbai"/>
    <s v="West Bengal"/>
    <x v="0"/>
    <n v="2"/>
    <n v="887"/>
    <n v="11"/>
    <n v="1578.86"/>
    <n v="1578.8600000000001"/>
    <n v="119658.05"/>
    <n v="934.82851562500002"/>
    <n v="251"/>
    <s v="Not Found"/>
    <s v="Low Sale"/>
  </r>
  <r>
    <s v="ORD0900"/>
    <s v="2023-09-25"/>
    <s v="CUST263"/>
    <x v="4"/>
    <s v="T-Shirt"/>
    <s v="Mumbai"/>
    <s v="Tamil Nadu"/>
    <x v="2"/>
    <n v="4"/>
    <n v="406"/>
    <n v="3"/>
    <n v="1575.28"/>
    <n v="1575.28"/>
    <n v="118079.19000000003"/>
    <n v="929.75740157480345"/>
    <n v="249"/>
    <s v="Not Found"/>
    <s v="Low Sale"/>
  </r>
  <r>
    <s v="ORD0109"/>
    <s v="2023-06-01"/>
    <s v="CUST221"/>
    <x v="2"/>
    <s v="Face Cream"/>
    <s v="Kolkata"/>
    <s v="Tamil Nadu"/>
    <x v="0"/>
    <n v="4"/>
    <n v="457"/>
    <n v="14"/>
    <n v="1572.08"/>
    <n v="1572.08"/>
    <n v="116503.91000000003"/>
    <n v="924.63420634920658"/>
    <n v="245"/>
    <s v="Not Found"/>
    <s v="Low Sale"/>
  </r>
  <r>
    <s v="ORD0493"/>
    <s v="2023-02-06"/>
    <s v="CUST291"/>
    <x v="1"/>
    <s v="Football"/>
    <s v="Chennai"/>
    <s v="Karnataka"/>
    <x v="2"/>
    <n v="3"/>
    <n v="608"/>
    <n v="14"/>
    <n v="1568.64"/>
    <n v="1568.6399999999999"/>
    <n v="114931.83000000003"/>
    <n v="919.45464000000027"/>
    <n v="241"/>
    <s v="Not Found"/>
    <s v="Low Sale"/>
  </r>
  <r>
    <s v="ORD0530"/>
    <s v="2023-05-15"/>
    <s v="CUST034"/>
    <x v="2"/>
    <s v="T-Shirt"/>
    <s v="Delhi"/>
    <s v="Karnataka"/>
    <x v="1"/>
    <n v="2"/>
    <n v="1091"/>
    <n v="29"/>
    <n v="1549.22"/>
    <n v="1549.22"/>
    <n v="113363.19000000003"/>
    <n v="914.21927419354859"/>
    <n v="238"/>
    <s v="Not Found"/>
    <s v="Low Sale"/>
  </r>
  <r>
    <s v="ORD0647"/>
    <s v="2023-12-08"/>
    <s v="CUST038"/>
    <x v="4"/>
    <s v="Laptop"/>
    <s v="Chennai"/>
    <s v="Delhi"/>
    <x v="3"/>
    <n v="1"/>
    <n v="1691"/>
    <n v="9"/>
    <n v="1538.81"/>
    <n v="1538.81"/>
    <n v="111813.97000000004"/>
    <n v="909.05666666666707"/>
    <n v="236"/>
    <s v="Not Found"/>
    <s v="Low Sale"/>
  </r>
  <r>
    <s v="ORD0943"/>
    <s v="2023-03-22"/>
    <s v="CUST132"/>
    <x v="3"/>
    <s v="Mobile"/>
    <s v="Bangalore"/>
    <s v="Tamil Nadu"/>
    <x v="0"/>
    <n v="1"/>
    <n v="1589"/>
    <n v="4"/>
    <n v="1525.44"/>
    <n v="1525.44"/>
    <n v="110275.16000000005"/>
    <n v="903.89475409836109"/>
    <n v="235"/>
    <s v="Not Found"/>
    <s v="Low Sale"/>
  </r>
  <r>
    <s v="ORD0888"/>
    <s v="2023-05-21"/>
    <s v="CUST148"/>
    <x v="0"/>
    <s v="Laptop"/>
    <s v="Delhi"/>
    <s v="Karnataka"/>
    <x v="0"/>
    <n v="3"/>
    <n v="549"/>
    <n v="8"/>
    <n v="1515.24"/>
    <n v="1515.24"/>
    <n v="108749.72000000003"/>
    <n v="898.75801652892585"/>
    <n v="234"/>
    <s v="Not Found"/>
    <s v="Low Sale"/>
  </r>
  <r>
    <s v="ORD0137"/>
    <s v="2023-02-16"/>
    <s v="CUST267"/>
    <x v="0"/>
    <s v="T-Shirt"/>
    <s v="Chennai"/>
    <s v="Karnataka"/>
    <x v="0"/>
    <n v="2"/>
    <n v="760"/>
    <n v="1"/>
    <n v="1504.8"/>
    <n v="1504.8"/>
    <n v="107234.48000000004"/>
    <n v="893.62066666666703"/>
    <n v="231"/>
    <s v="Not Found"/>
    <s v="Low Sale"/>
  </r>
  <r>
    <s v="ORD0088"/>
    <s v="2023-11-04"/>
    <s v="CUST159"/>
    <x v="0"/>
    <s v="T-Shirt"/>
    <s v="Delhi"/>
    <s v="Delhi"/>
    <x v="2"/>
    <n v="3"/>
    <n v="533"/>
    <n v="6"/>
    <n v="1503.06"/>
    <n v="1503.06"/>
    <n v="105729.68000000005"/>
    <n v="888.48470588235341"/>
    <n v="229"/>
    <s v="Not Found"/>
    <s v="Low Sale"/>
  </r>
  <r>
    <s v="ORD0092"/>
    <s v="2023-06-21"/>
    <s v="CUST238"/>
    <x v="1"/>
    <s v="Sofa"/>
    <s v="Chennai"/>
    <s v="West Bengal"/>
    <x v="1"/>
    <n v="1"/>
    <n v="2028"/>
    <n v="26"/>
    <n v="1500.72"/>
    <n v="1500.72"/>
    <n v="104226.62000000004"/>
    <n v="883.27644067796643"/>
    <n v="226"/>
    <s v="Not Found"/>
    <s v="Low Sale"/>
  </r>
  <r>
    <s v="ORD0777"/>
    <s v="2023-05-09"/>
    <s v="CUST141"/>
    <x v="2"/>
    <s v="Sofa"/>
    <s v="Delhi"/>
    <s v="Maharashtra"/>
    <x v="3"/>
    <n v="1"/>
    <n v="2000"/>
    <n v="25"/>
    <n v="1500"/>
    <n v="1500"/>
    <n v="102725.90000000004"/>
    <n v="877.99914529914565"/>
    <n v="225"/>
    <s v="Not Found"/>
    <s v="Low Sale"/>
  </r>
  <r>
    <s v="ORD0457"/>
    <s v="2023-03-09"/>
    <s v="CUST091"/>
    <x v="2"/>
    <s v="Football"/>
    <s v="Bangalore"/>
    <s v="Maharashtra"/>
    <x v="1"/>
    <n v="1"/>
    <n v="1562"/>
    <n v="4"/>
    <n v="1499.52"/>
    <n v="1499.52"/>
    <n v="101225.90000000001"/>
    <n v="872.6370689655173"/>
    <n v="224"/>
    <s v="Not Found"/>
    <s v="Low Sale"/>
  </r>
  <r>
    <s v="ORD0846"/>
    <s v="2023-01-23"/>
    <s v="CUST236"/>
    <x v="3"/>
    <s v="Mobile"/>
    <s v="Bangalore"/>
    <s v="Delhi"/>
    <x v="0"/>
    <n v="1"/>
    <n v="1718"/>
    <n v="14"/>
    <n v="1477.48"/>
    <n v="1477.48"/>
    <n v="99726.380000000019"/>
    <n v="867.18591304347842"/>
    <n v="223"/>
    <s v="Not Found"/>
    <s v="Low Sale"/>
  </r>
  <r>
    <s v="ORD0439"/>
    <s v="2023-12-13"/>
    <s v="CUST285"/>
    <x v="1"/>
    <s v="Face Cream"/>
    <s v="Delhi"/>
    <s v="Delhi"/>
    <x v="0"/>
    <n v="1"/>
    <n v="1721"/>
    <n v="15"/>
    <n v="1462.85"/>
    <n v="1462.85"/>
    <n v="98248.900000000023"/>
    <n v="861.83245614035104"/>
    <n v="222"/>
    <s v="Not Found"/>
    <s v="Low Sale"/>
  </r>
  <r>
    <s v="ORD0331"/>
    <s v="2023-01-14"/>
    <s v="CUST166"/>
    <x v="4"/>
    <s v="Laptop"/>
    <s v="Bangalore"/>
    <s v="Maharashtra"/>
    <x v="0"/>
    <n v="5"/>
    <n v="310"/>
    <n v="6"/>
    <n v="1457"/>
    <n v="1457"/>
    <n v="96786.050000000017"/>
    <n v="856.51371681415947"/>
    <n v="221"/>
    <s v="Not Found"/>
    <s v="Low Sale"/>
  </r>
  <r>
    <s v="ORD0779"/>
    <s v="2023-12-07"/>
    <s v="CUST228"/>
    <x v="4"/>
    <s v="Face Cream"/>
    <s v="Chennai"/>
    <s v="Delhi"/>
    <x v="2"/>
    <n v="3"/>
    <n v="606"/>
    <n v="20"/>
    <n v="1454.4"/>
    <n v="1454.4"/>
    <n v="95329.050000000017"/>
    <n v="851.15223214285732"/>
    <n v="216"/>
    <s v="Not Found"/>
    <s v="Low Sale"/>
  </r>
  <r>
    <s v="ORD0705"/>
    <s v="2023-03-30"/>
    <s v="CUST084"/>
    <x v="4"/>
    <s v="Mobile"/>
    <s v="Bangalore"/>
    <s v="Delhi"/>
    <x v="3"/>
    <n v="1"/>
    <n v="1730"/>
    <n v="17"/>
    <n v="1435.9"/>
    <n v="1435.8999999999999"/>
    <n v="93874.650000000009"/>
    <n v="845.7175675675677"/>
    <n v="213"/>
    <s v="Not Found"/>
    <s v="Low Sale"/>
  </r>
  <r>
    <s v="ORD0001"/>
    <s v="2023-12-30"/>
    <s v="CUST052"/>
    <x v="0"/>
    <s v="Laptop"/>
    <s v="Kolkata"/>
    <s v="West Bengal"/>
    <x v="0"/>
    <n v="1"/>
    <n v="1591"/>
    <n v="12"/>
    <n v="1400.08"/>
    <n v="1400.08"/>
    <n v="92438.750000000015"/>
    <n v="840.35227272727286"/>
    <n v="212"/>
    <s v="Not Found"/>
    <s v="Low Sale"/>
  </r>
  <r>
    <s v="ORD0445"/>
    <s v="2023-04-04"/>
    <s v="CUST138"/>
    <x v="1"/>
    <s v="Face Cream"/>
    <s v="Kolkata"/>
    <s v="Tamil Nadu"/>
    <x v="2"/>
    <n v="3"/>
    <n v="473"/>
    <n v="2"/>
    <n v="1390.62"/>
    <n v="1390.62"/>
    <n v="91038.670000000013"/>
    <n v="835.21715596330284"/>
    <n v="211"/>
    <s v="Not Found"/>
    <s v="Low Sale"/>
  </r>
  <r>
    <s v="ORD0596"/>
    <s v="2023-07-29"/>
    <s v="CUST283"/>
    <x v="0"/>
    <s v="Sofa"/>
    <s v="Bangalore"/>
    <s v="Delhi"/>
    <x v="3"/>
    <n v="1"/>
    <n v="1636"/>
    <n v="15"/>
    <n v="1390.6"/>
    <n v="1390.6"/>
    <n v="89648.050000000017"/>
    <n v="830.0745370370372"/>
    <n v="208"/>
    <s v="Not Found"/>
    <s v="Low Sale"/>
  </r>
  <r>
    <s v="ORD0225"/>
    <s v="2023-08-09"/>
    <s v="CUST068"/>
    <x v="2"/>
    <s v="Shoes"/>
    <s v="Mumbai"/>
    <s v="Delhi"/>
    <x v="0"/>
    <n v="2"/>
    <n v="690"/>
    <n v="0"/>
    <n v="1380"/>
    <n v="1380"/>
    <n v="88257.450000000012"/>
    <n v="824.83598130841131"/>
    <n v="207"/>
    <s v="Not Found"/>
    <s v="Low Sale"/>
  </r>
  <r>
    <s v="ORD0853"/>
    <s v="2023-10-14"/>
    <s v="CUST105"/>
    <x v="3"/>
    <s v="Sofa"/>
    <s v="Delhi"/>
    <s v="Delhi"/>
    <x v="2"/>
    <n v="5"/>
    <n v="376"/>
    <n v="27"/>
    <n v="1372.4"/>
    <n v="1372.3999999999999"/>
    <n v="86877.450000000012"/>
    <n v="819.59858490566046"/>
    <n v="205"/>
    <s v="Not Found"/>
    <s v="Low Sale"/>
  </r>
  <r>
    <s v="ORD0860"/>
    <s v="2023-07-14"/>
    <s v="CUST162"/>
    <x v="3"/>
    <s v="Football"/>
    <s v="Chennai"/>
    <s v="Tamil Nadu"/>
    <x v="0"/>
    <n v="5"/>
    <n v="276"/>
    <n v="1"/>
    <n v="1366.2"/>
    <n v="1366.2"/>
    <n v="85505.050000000017"/>
    <n v="814.33380952380969"/>
    <n v="200"/>
    <s v="Not Found"/>
    <s v="Low Sale"/>
  </r>
  <r>
    <s v="ORD0764"/>
    <s v="2023-12-26"/>
    <s v="CUST025"/>
    <x v="1"/>
    <s v="Mobile"/>
    <s v="Mumbai"/>
    <s v="Delhi"/>
    <x v="1"/>
    <n v="2"/>
    <n v="888"/>
    <n v="25"/>
    <n v="1332"/>
    <n v="1332"/>
    <n v="84138.85"/>
    <n v="809.0274038461539"/>
    <n v="195"/>
    <s v="Not Found"/>
    <s v="Low Sale"/>
  </r>
  <r>
    <s v="ORD0830"/>
    <s v="2023-08-02"/>
    <s v="CUST269"/>
    <x v="0"/>
    <s v="Mobile"/>
    <s v="Bangalore"/>
    <s v="West Bengal"/>
    <x v="1"/>
    <n v="1"/>
    <n v="1461"/>
    <n v="9"/>
    <n v="1329.51"/>
    <n v="1329.51"/>
    <n v="82806.850000000006"/>
    <n v="803.95"/>
    <n v="193"/>
    <s v="Not Found"/>
    <s v="Low Sale"/>
  </r>
  <r>
    <s v="ORD0296"/>
    <s v="2023-07-20"/>
    <s v="CUST142"/>
    <x v="0"/>
    <s v="Sofa"/>
    <s v="Chennai"/>
    <s v="Delhi"/>
    <x v="3"/>
    <n v="1"/>
    <n v="1559"/>
    <n v="16"/>
    <n v="1309.56"/>
    <n v="1309.56"/>
    <n v="81477.34"/>
    <n v="798.79745098039211"/>
    <n v="192"/>
    <s v="Not Found"/>
    <s v="Low Sale"/>
  </r>
  <r>
    <s v="ORD0323"/>
    <s v="2023-09-21"/>
    <s v="CUST205"/>
    <x v="1"/>
    <s v="Football"/>
    <s v="Bangalore"/>
    <s v="Maharashtra"/>
    <x v="2"/>
    <n v="4"/>
    <n v="343"/>
    <n v="5"/>
    <n v="1303.4000000000001"/>
    <n v="1303.3999999999999"/>
    <n v="80167.780000000013"/>
    <n v="793.74039603960409"/>
    <n v="191"/>
    <s v="Not Found"/>
    <s v="Low Sale"/>
  </r>
  <r>
    <s v="ORD0251"/>
    <s v="2023-12-12"/>
    <s v="CUST292"/>
    <x v="1"/>
    <s v="Shoes"/>
    <s v="Chennai"/>
    <s v="West Bengal"/>
    <x v="0"/>
    <n v="2"/>
    <n v="650"/>
    <n v="1"/>
    <n v="1287"/>
    <n v="1287"/>
    <n v="78864.38"/>
    <n v="788.64380000000006"/>
    <n v="187"/>
    <s v="Not Found"/>
    <s v="Low Sale"/>
  </r>
  <r>
    <s v="ORD0249"/>
    <s v="2023-10-27"/>
    <s v="CUST272"/>
    <x v="1"/>
    <s v="Laptop"/>
    <s v="Chennai"/>
    <s v="Karnataka"/>
    <x v="3"/>
    <n v="4"/>
    <n v="440"/>
    <n v="29"/>
    <n v="1249.5999999999999"/>
    <n v="1249.5999999999999"/>
    <n v="77577.38"/>
    <n v="783.60989898989908"/>
    <n v="185"/>
    <s v="Not Found"/>
    <s v="Low Sale"/>
  </r>
  <r>
    <s v="ORD0944"/>
    <s v="2023-10-04"/>
    <s v="CUST120"/>
    <x v="4"/>
    <s v="Face Cream"/>
    <s v="Chennai"/>
    <s v="Maharashtra"/>
    <x v="2"/>
    <n v="1"/>
    <n v="1438"/>
    <n v="14"/>
    <n v="1236.68"/>
    <n v="1236.68"/>
    <n v="76327.779999999984"/>
    <n v="778.85489795918352"/>
    <n v="181"/>
    <s v="Not Found"/>
    <s v="Low Sale"/>
  </r>
  <r>
    <s v="ORD0931"/>
    <s v="2023-05-22"/>
    <s v="CUST237"/>
    <x v="3"/>
    <s v="Laptop"/>
    <s v="Bangalore"/>
    <s v="West Bengal"/>
    <x v="3"/>
    <n v="3"/>
    <n v="541"/>
    <n v="25"/>
    <n v="1217.25"/>
    <n v="1217.25"/>
    <n v="75091.099999999991"/>
    <n v="774.13505154639165"/>
    <n v="180"/>
    <s v="Not Found"/>
    <s v="Low Sale"/>
  </r>
  <r>
    <s v="ORD0311"/>
    <s v="2023-07-04"/>
    <s v="CUST119"/>
    <x v="0"/>
    <s v="Face Cream"/>
    <s v="Kolkata"/>
    <s v="Karnataka"/>
    <x v="1"/>
    <n v="2"/>
    <n v="825"/>
    <n v="27"/>
    <n v="1204.5"/>
    <n v="1204.5"/>
    <n v="73873.849999999991"/>
    <n v="769.51927083333328"/>
    <n v="177"/>
    <s v="Not Found"/>
    <s v="Low Sale"/>
  </r>
  <r>
    <s v="ORD0488"/>
    <s v="2023-10-06"/>
    <s v="CUST196"/>
    <x v="0"/>
    <s v="Shoes"/>
    <s v="Bangalore"/>
    <s v="West Bengal"/>
    <x v="0"/>
    <n v="3"/>
    <n v="526"/>
    <n v="24"/>
    <n v="1199.28"/>
    <n v="1199.28"/>
    <n v="72669.349999999991"/>
    <n v="764.94052631578938"/>
    <n v="175"/>
    <s v="Not Found"/>
    <s v="Low Sale"/>
  </r>
  <r>
    <s v="ORD0468"/>
    <s v="2023-01-25"/>
    <s v="CUST044"/>
    <x v="4"/>
    <s v="Sofa"/>
    <s v="Mumbai"/>
    <s v="Maharashtra"/>
    <x v="0"/>
    <n v="1"/>
    <n v="1468"/>
    <n v="19"/>
    <n v="1189.08"/>
    <n v="1189.0800000000002"/>
    <n v="71470.069999999992"/>
    <n v="760.31989361702119"/>
    <n v="172"/>
    <s v="Not Found"/>
    <s v="Low Sale"/>
  </r>
  <r>
    <s v="ORD0668"/>
    <s v="2023-04-18"/>
    <s v="CUST176"/>
    <x v="3"/>
    <s v="T-Shirt"/>
    <s v="Kolkata"/>
    <s v="Karnataka"/>
    <x v="0"/>
    <n v="1"/>
    <n v="1362"/>
    <n v="13"/>
    <n v="1184.94"/>
    <n v="1184.94"/>
    <n v="70280.989999999991"/>
    <n v="755.70956989247304"/>
    <n v="171"/>
    <s v="Not Found"/>
    <s v="Low Sale"/>
  </r>
  <r>
    <s v="ORD0704"/>
    <s v="2023-01-14"/>
    <s v="CUST285"/>
    <x v="4"/>
    <s v="Football"/>
    <s v="Mumbai"/>
    <s v="Karnataka"/>
    <x v="1"/>
    <n v="2"/>
    <n v="596"/>
    <n v="1"/>
    <n v="1180.08"/>
    <n v="1180.08"/>
    <n v="69096.05"/>
    <n v="751.04402173913047"/>
    <n v="170"/>
    <s v="Not Found"/>
    <s v="Low Sale"/>
  </r>
  <r>
    <s v="ORD0313"/>
    <s v="2023-01-17"/>
    <s v="CUST110"/>
    <x v="3"/>
    <s v="Sofa"/>
    <s v="Chennai"/>
    <s v="Karnataka"/>
    <x v="1"/>
    <n v="3"/>
    <n v="474"/>
    <n v="18"/>
    <n v="1166.04"/>
    <n v="1166.0400000000002"/>
    <n v="67915.97"/>
    <n v="746.32934065934069"/>
    <n v="168"/>
    <s v="Not Found"/>
    <s v="Low Sale"/>
  </r>
  <r>
    <s v="ORD0254"/>
    <s v="2023-11-09"/>
    <s v="CUST126"/>
    <x v="2"/>
    <s v="T-Shirt"/>
    <s v="Kolkata"/>
    <s v="Maharashtra"/>
    <x v="3"/>
    <n v="1"/>
    <n v="1651"/>
    <n v="30"/>
    <n v="1155.7"/>
    <n v="1155.6999999999998"/>
    <n v="66749.929999999993"/>
    <n v="741.66588888888884"/>
    <n v="165"/>
    <s v="Not Found"/>
    <s v="Low Sale"/>
  </r>
  <r>
    <s v="ORD0827"/>
    <s v="2023-02-11"/>
    <s v="CUST160"/>
    <x v="4"/>
    <s v="Laptop"/>
    <s v="Mumbai"/>
    <s v="Delhi"/>
    <x v="3"/>
    <n v="1"/>
    <n v="1279"/>
    <n v="10"/>
    <n v="1151.0999999999999"/>
    <n v="1151.1000000000001"/>
    <n v="65594.229999999967"/>
    <n v="737.01382022471876"/>
    <n v="164"/>
    <s v="Not Found"/>
    <s v="Low Sale"/>
  </r>
  <r>
    <s v="ORD0235"/>
    <s v="2023-02-12"/>
    <s v="CUST162"/>
    <x v="0"/>
    <s v="Laptop"/>
    <s v="Kolkata"/>
    <s v="Karnataka"/>
    <x v="3"/>
    <n v="2"/>
    <n v="722"/>
    <n v="21"/>
    <n v="1140.76"/>
    <n v="1140.76"/>
    <n v="64443.129999999976"/>
    <n v="732.30829545454515"/>
    <n v="163"/>
    <s v="Not Found"/>
    <s v="Low Sale"/>
  </r>
  <r>
    <s v="ORD0470"/>
    <s v="2023-02-24"/>
    <s v="CUST154"/>
    <x v="3"/>
    <s v="Sofa"/>
    <s v="Kolkata"/>
    <s v="Tamil Nadu"/>
    <x v="0"/>
    <n v="3"/>
    <n v="465"/>
    <n v="19"/>
    <n v="1129.95"/>
    <n v="1129.95"/>
    <n v="63302.369999999981"/>
    <n v="727.61344827586186"/>
    <n v="161"/>
    <s v="Not Found"/>
    <s v="Low Sale"/>
  </r>
  <r>
    <s v="ORD0567"/>
    <s v="2023-12-04"/>
    <s v="CUST041"/>
    <x v="2"/>
    <s v="Laptop"/>
    <s v="Delhi"/>
    <s v="West Bengal"/>
    <x v="3"/>
    <n v="2"/>
    <n v="587"/>
    <n v="5"/>
    <n v="1115.3"/>
    <n v="1115.3"/>
    <n v="62172.419999999976"/>
    <n v="722.93511627906946"/>
    <n v="158"/>
    <s v="Not Found"/>
    <s v="Low Sale"/>
  </r>
  <r>
    <s v="ORD0181"/>
    <s v="2023-10-16"/>
    <s v="CUST033"/>
    <x v="3"/>
    <s v="Face Cream"/>
    <s v="Kolkata"/>
    <s v="Karnataka"/>
    <x v="0"/>
    <n v="2"/>
    <n v="612"/>
    <n v="9"/>
    <n v="1113.8399999999999"/>
    <n v="1113.8400000000001"/>
    <n v="61057.119999999981"/>
    <n v="718.31905882352919"/>
    <n v="156"/>
    <s v="Not Found"/>
    <s v="Low Sale"/>
  </r>
  <r>
    <s v="ORD0438"/>
    <s v="2023-09-17"/>
    <s v="CUST072"/>
    <x v="0"/>
    <s v="Face Cream"/>
    <s v="Chennai"/>
    <s v="Delhi"/>
    <x v="2"/>
    <n v="4"/>
    <n v="322"/>
    <n v="14"/>
    <n v="1107.68"/>
    <n v="1107.68"/>
    <n v="59943.279999999977"/>
    <n v="713.61047619047588"/>
    <n v="154"/>
    <s v="Not Found"/>
    <s v="Low Sale"/>
  </r>
  <r>
    <s v="ORD0403"/>
    <s v="2023-03-17"/>
    <s v="CUST243"/>
    <x v="4"/>
    <s v="Sofa"/>
    <s v="Kolkata"/>
    <s v="West Bengal"/>
    <x v="2"/>
    <n v="2"/>
    <n v="727"/>
    <n v="24"/>
    <n v="1105.04"/>
    <n v="1105.04"/>
    <n v="58835.599999999977"/>
    <n v="708.8626506024093"/>
    <n v="150"/>
    <s v="Not Found"/>
    <s v="Low Sale"/>
  </r>
  <r>
    <s v="ORD0097"/>
    <s v="2023-05-24"/>
    <s v="CUST135"/>
    <x v="0"/>
    <s v="Football"/>
    <s v="Mumbai"/>
    <s v="West Bengal"/>
    <x v="3"/>
    <n v="1"/>
    <n v="1427"/>
    <n v="23"/>
    <n v="1098.79"/>
    <n v="1098.79"/>
    <n v="57730.559999999976"/>
    <n v="704.03121951219487"/>
    <n v="148"/>
    <s v="Not Found"/>
    <s v="Low Sale"/>
  </r>
  <r>
    <s v="ORD0279"/>
    <s v="2023-09-20"/>
    <s v="CUST029"/>
    <x v="2"/>
    <s v="T-Shirt"/>
    <s v="Chennai"/>
    <s v="Karnataka"/>
    <x v="3"/>
    <n v="2"/>
    <n v="712"/>
    <n v="23"/>
    <n v="1096.48"/>
    <n v="1096.48"/>
    <n v="56631.769999999975"/>
    <n v="699.15765432098738"/>
    <n v="147"/>
    <s v="Not Found"/>
    <s v="Low Sale"/>
  </r>
  <r>
    <s v="ORD0950"/>
    <s v="2023-03-13"/>
    <s v="CUST108"/>
    <x v="4"/>
    <s v="Face Cream"/>
    <s v="Mumbai"/>
    <s v="Karnataka"/>
    <x v="0"/>
    <n v="2"/>
    <n v="771"/>
    <n v="29"/>
    <n v="1094.82"/>
    <n v="1094.82"/>
    <n v="55535.289999999972"/>
    <n v="694.1911249999996"/>
    <n v="145"/>
    <s v="Not Found"/>
    <s v="Low Sale"/>
  </r>
  <r>
    <s v="ORD0801"/>
    <s v="2023-05-28"/>
    <s v="CUST293"/>
    <x v="1"/>
    <s v="Laptop"/>
    <s v="Mumbai"/>
    <s v="Tamil Nadu"/>
    <x v="2"/>
    <n v="1"/>
    <n v="1459"/>
    <n v="25"/>
    <n v="1094.25"/>
    <n v="1094.25"/>
    <n v="54440.469999999972"/>
    <n v="689.11987341772112"/>
    <n v="143"/>
    <s v="Not Found"/>
    <s v="Low Sale"/>
  </r>
  <r>
    <s v="ORD0534"/>
    <s v="2023-10-21"/>
    <s v="CUST276"/>
    <x v="2"/>
    <s v="Sofa"/>
    <s v="Mumbai"/>
    <s v="Maharashtra"/>
    <x v="1"/>
    <n v="1"/>
    <n v="1267"/>
    <n v="14"/>
    <n v="1089.6199999999999"/>
    <n v="1089.6199999999999"/>
    <n v="53346.219999999972"/>
    <n v="683.92589743589713"/>
    <n v="142"/>
    <s v="Not Found"/>
    <s v="Low Sale"/>
  </r>
  <r>
    <s v="ORD0428"/>
    <s v="2023-12-17"/>
    <s v="CUST211"/>
    <x v="1"/>
    <s v="Football"/>
    <s v="Bangalore"/>
    <s v="Delhi"/>
    <x v="3"/>
    <n v="2"/>
    <n v="598"/>
    <n v="10"/>
    <n v="1076.4000000000001"/>
    <n v="1076.4000000000001"/>
    <n v="52256.599999999969"/>
    <n v="678.6571428571425"/>
    <n v="141"/>
    <s v="Not Found"/>
    <s v="Low Sale"/>
  </r>
  <r>
    <s v="ORD0253"/>
    <s v="2023-12-26"/>
    <s v="CUST270"/>
    <x v="2"/>
    <s v="Mobile"/>
    <s v="Kolkata"/>
    <s v="Delhi"/>
    <x v="0"/>
    <n v="1"/>
    <n v="1079"/>
    <n v="3"/>
    <n v="1046.6300000000001"/>
    <n v="1046.6299999999999"/>
    <n v="51180.199999999968"/>
    <n v="673.42368421052595"/>
    <n v="139"/>
    <s v="Not Found"/>
    <s v="Low Sale"/>
  </r>
  <r>
    <s v="ORD0370"/>
    <s v="2023-03-29"/>
    <s v="CUST033"/>
    <x v="4"/>
    <s v="Football"/>
    <s v="Kolkata"/>
    <s v="Maharashtra"/>
    <x v="1"/>
    <n v="2"/>
    <n v="669"/>
    <n v="22"/>
    <n v="1043.6400000000001"/>
    <n v="1043.6400000000001"/>
    <n v="50133.569999999971"/>
    <n v="668.44759999999962"/>
    <n v="138"/>
    <s v="Not Found"/>
    <s v="Low Sale"/>
  </r>
  <r>
    <s v="ORD0634"/>
    <s v="2023-02-16"/>
    <s v="CUST012"/>
    <x v="4"/>
    <s v="Sofa"/>
    <s v="Mumbai"/>
    <s v="Karnataka"/>
    <x v="1"/>
    <n v="4"/>
    <n v="361"/>
    <n v="28"/>
    <n v="1039.68"/>
    <n v="1039.68"/>
    <n v="49089.929999999978"/>
    <n v="663.3774324324321"/>
    <n v="136"/>
    <s v="Not Found"/>
    <s v="Low Sale"/>
  </r>
  <r>
    <s v="ORD0938"/>
    <s v="2023-08-25"/>
    <s v="CUST009"/>
    <x v="4"/>
    <s v="Face Cream"/>
    <s v="Chennai"/>
    <s v="West Bengal"/>
    <x v="1"/>
    <n v="1"/>
    <n v="1392"/>
    <n v="26"/>
    <n v="1030.08"/>
    <n v="1030.08"/>
    <n v="48050.249999999978"/>
    <n v="658.22260273972574"/>
    <n v="132"/>
    <s v="Not Found"/>
    <s v="Low Sale"/>
  </r>
  <r>
    <s v="ORD0562"/>
    <s v="2023-06-11"/>
    <s v="CUST296"/>
    <x v="3"/>
    <s v="Face Cream"/>
    <s v="Mumbai"/>
    <s v="Karnataka"/>
    <x v="2"/>
    <n v="4"/>
    <n v="301"/>
    <n v="15"/>
    <n v="1023.4"/>
    <n v="1023.4"/>
    <n v="47020.169999999969"/>
    <n v="653.05791666666619"/>
    <n v="131"/>
    <s v="Not Found"/>
    <s v="Low Sale"/>
  </r>
  <r>
    <s v="ORD0291"/>
    <s v="2023-11-20"/>
    <s v="CUST039"/>
    <x v="0"/>
    <s v="Football"/>
    <s v="Bangalore"/>
    <s v="Tamil Nadu"/>
    <x v="0"/>
    <n v="2"/>
    <n v="533"/>
    <n v="4"/>
    <n v="1023.36"/>
    <n v="1023.36"/>
    <n v="45996.769999999975"/>
    <n v="647.84183098591518"/>
    <n v="127"/>
    <s v="Not Found"/>
    <s v="Low Sale"/>
  </r>
  <r>
    <s v="ORD0123"/>
    <s v="2023-03-03"/>
    <s v="CUST268"/>
    <x v="4"/>
    <s v="Sofa"/>
    <s v="Delhi"/>
    <s v="West Bengal"/>
    <x v="1"/>
    <n v="3"/>
    <n v="381"/>
    <n v="11"/>
    <n v="1017.27"/>
    <n v="1017.27"/>
    <n v="44973.409999999974"/>
    <n v="642.47728571428536"/>
    <n v="125"/>
    <s v="Not Found"/>
    <s v="Low Sale"/>
  </r>
  <r>
    <s v="ORD0407"/>
    <s v="2023-07-18"/>
    <s v="CUST235"/>
    <x v="3"/>
    <s v="Laptop"/>
    <s v="Chennai"/>
    <s v="Delhi"/>
    <x v="0"/>
    <n v="3"/>
    <n v="413"/>
    <n v="18"/>
    <n v="1015.98"/>
    <n v="1015.9800000000001"/>
    <n v="43956.139999999978"/>
    <n v="637.04550724637647"/>
    <n v="122"/>
    <s v="Not Found"/>
    <s v="Low Sale"/>
  </r>
  <r>
    <s v="ORD0183"/>
    <s v="2023-11-05"/>
    <s v="CUST185"/>
    <x v="2"/>
    <s v="Shoes"/>
    <s v="Delhi"/>
    <s v="Karnataka"/>
    <x v="2"/>
    <n v="5"/>
    <n v="288"/>
    <n v="30"/>
    <n v="1008"/>
    <n v="1007.9999999999999"/>
    <n v="42940.159999999967"/>
    <n v="631.47294117647016"/>
    <n v="119"/>
    <s v="Not Found"/>
    <s v="Low Sale"/>
  </r>
  <r>
    <s v="ORD0719"/>
    <s v="2023-02-27"/>
    <s v="CUST132"/>
    <x v="2"/>
    <s v="Face Cream"/>
    <s v="Chennai"/>
    <s v="Karnataka"/>
    <x v="2"/>
    <n v="5"/>
    <n v="201"/>
    <n v="0"/>
    <n v="1005"/>
    <n v="1005"/>
    <n v="41932.159999999974"/>
    <n v="625.85313432835778"/>
    <n v="114"/>
    <s v="Not Found"/>
    <s v="Low Sale"/>
  </r>
  <r>
    <s v="ORD0226"/>
    <s v="2023-09-20"/>
    <s v="CUST102"/>
    <x v="1"/>
    <s v="Face Cream"/>
    <s v="Chennai"/>
    <s v="Tamil Nadu"/>
    <x v="3"/>
    <n v="3"/>
    <n v="400"/>
    <n v="17"/>
    <n v="996"/>
    <n v="996"/>
    <n v="40927.159999999974"/>
    <n v="620.10848484848441"/>
    <n v="109"/>
    <s v="Not Found"/>
    <s v="Low Sale"/>
  </r>
  <r>
    <s v="ORD0664"/>
    <s v="2023-01-08"/>
    <s v="CUST093"/>
    <x v="4"/>
    <s v="T-Shirt"/>
    <s v="Delhi"/>
    <s v="Maharashtra"/>
    <x v="1"/>
    <n v="2"/>
    <n v="655"/>
    <n v="25"/>
    <n v="982.5"/>
    <n v="982.5"/>
    <n v="39931.159999999974"/>
    <n v="614.32553846153803"/>
    <n v="106"/>
    <s v="Not Found"/>
    <s v="Low Sale"/>
  </r>
  <r>
    <s v="ORD0357"/>
    <s v="2023-10-09"/>
    <s v="CUST160"/>
    <x v="4"/>
    <s v="Laptop"/>
    <s v="Kolkata"/>
    <s v="Karnataka"/>
    <x v="0"/>
    <n v="1"/>
    <n v="1097"/>
    <n v="11"/>
    <n v="976.33"/>
    <n v="976.33"/>
    <n v="38948.659999999974"/>
    <n v="608.5728124999996"/>
    <n v="104"/>
    <s v="Not Found"/>
    <s v="Low Sale"/>
  </r>
  <r>
    <s v="ORD0120"/>
    <s v="2023-04-12"/>
    <s v="CUST107"/>
    <x v="2"/>
    <s v="T-Shirt"/>
    <s v="Chennai"/>
    <s v="Delhi"/>
    <x v="2"/>
    <n v="1"/>
    <n v="1038"/>
    <n v="8"/>
    <n v="954.96"/>
    <n v="954.96"/>
    <n v="37972.32999999998"/>
    <n v="602.73539682539649"/>
    <n v="103"/>
    <s v="Not Found"/>
    <s v="Low Sale"/>
  </r>
  <r>
    <s v="ORD0390"/>
    <s v="2023-12-19"/>
    <s v="CUST150"/>
    <x v="2"/>
    <s v="T-Shirt"/>
    <s v="Delhi"/>
    <s v="Karnataka"/>
    <x v="0"/>
    <n v="2"/>
    <n v="499"/>
    <n v="5"/>
    <n v="948.1"/>
    <n v="948.09999999999991"/>
    <n v="37017.369999999988"/>
    <n v="597.05435483870951"/>
    <n v="102"/>
    <s v="Not Found"/>
    <s v="Low Sale"/>
  </r>
  <r>
    <s v="ORD0480"/>
    <s v="2023-05-12"/>
    <s v="CUST111"/>
    <x v="2"/>
    <s v="Sofa"/>
    <s v="Mumbai"/>
    <s v="Karnataka"/>
    <x v="3"/>
    <n v="3"/>
    <n v="346"/>
    <n v="9"/>
    <n v="944.58"/>
    <n v="944.58"/>
    <n v="36069.26999999999"/>
    <n v="591.29950819672115"/>
    <n v="100"/>
    <s v="Not Found"/>
    <s v="Low Sale"/>
  </r>
  <r>
    <s v="ORD0701"/>
    <s v="2023-05-30"/>
    <s v="CUST284"/>
    <x v="3"/>
    <s v="Face Cream"/>
    <s v="Kolkata"/>
    <s v="Delhi"/>
    <x v="1"/>
    <n v="2"/>
    <n v="493"/>
    <n v="6"/>
    <n v="926.84"/>
    <n v="926.83999999999992"/>
    <n v="35124.689999999995"/>
    <n v="585.41149999999993"/>
    <n v="97"/>
    <s v="Not Found"/>
    <s v="Low Sale"/>
  </r>
  <r>
    <s v="ORD0831"/>
    <s v="2023-08-14"/>
    <s v="CUST220"/>
    <x v="2"/>
    <s v="Mobile"/>
    <s v="Kolkata"/>
    <s v="Tamil Nadu"/>
    <x v="2"/>
    <n v="1"/>
    <n v="1000"/>
    <n v="8"/>
    <n v="920"/>
    <n v="920"/>
    <n v="34197.85"/>
    <n v="579.62457627118647"/>
    <n v="95"/>
    <s v="Not Found"/>
    <s v="Low Sale"/>
  </r>
  <r>
    <s v="ORD0587"/>
    <s v="2023-08-05"/>
    <s v="CUST227"/>
    <x v="0"/>
    <s v="Shoes"/>
    <s v="Chennai"/>
    <s v="West Bengal"/>
    <x v="3"/>
    <n v="1"/>
    <n v="1159"/>
    <n v="21"/>
    <n v="915.61"/>
    <n v="915.61"/>
    <n v="33277.85"/>
    <n v="573.75603448275865"/>
    <n v="94"/>
    <s v="Not Found"/>
    <s v="Low Sale"/>
  </r>
  <r>
    <s v="ORD0300"/>
    <s v="2023-09-15"/>
    <s v="CUST072"/>
    <x v="0"/>
    <s v="Sofa"/>
    <s v="Delhi"/>
    <s v="Maharashtra"/>
    <x v="0"/>
    <n v="5"/>
    <n v="235"/>
    <n v="23"/>
    <n v="904.75"/>
    <n v="904.75"/>
    <n v="32362.239999999998"/>
    <n v="567.75859649122799"/>
    <n v="93"/>
    <s v="Not Found"/>
    <s v="Low Sale"/>
  </r>
  <r>
    <s v="ORD0576"/>
    <s v="2023-09-15"/>
    <s v="CUST240"/>
    <x v="1"/>
    <s v="Mobile"/>
    <s v="Chennai"/>
    <s v="Delhi"/>
    <x v="1"/>
    <n v="4"/>
    <n v="269"/>
    <n v="16"/>
    <n v="903.84"/>
    <n v="903.83999999999992"/>
    <n v="31457.489999999998"/>
    <n v="561.74089285714285"/>
    <n v="88"/>
    <s v="Not Found"/>
    <s v="Low Sale"/>
  </r>
  <r>
    <s v="ORD0883"/>
    <s v="2023-01-30"/>
    <s v="CUST164"/>
    <x v="3"/>
    <s v="Sofa"/>
    <s v="Kolkata"/>
    <s v="Tamil Nadu"/>
    <x v="1"/>
    <n v="2"/>
    <n v="451"/>
    <n v="0"/>
    <n v="902"/>
    <n v="902"/>
    <n v="30553.649999999994"/>
    <n v="555.52090909090896"/>
    <n v="84"/>
    <s v="Not Found"/>
    <s v="Low Sale"/>
  </r>
  <r>
    <s v="ORD0995"/>
    <s v="2023-07-31"/>
    <s v="CUST121"/>
    <x v="1"/>
    <s v="Mobile"/>
    <s v="Chennai"/>
    <s v="Karnataka"/>
    <x v="0"/>
    <n v="1"/>
    <n v="1111"/>
    <n v="20"/>
    <n v="888.8"/>
    <n v="888.80000000000007"/>
    <n v="29651.649999999998"/>
    <n v="549.10462962962958"/>
    <n v="82"/>
    <s v="Not Found"/>
    <s v="Low Sale"/>
  </r>
  <r>
    <s v="ORD0738"/>
    <s v="2023-10-09"/>
    <s v="CUST276"/>
    <x v="2"/>
    <s v="Laptop"/>
    <s v="Mumbai"/>
    <s v="Delhi"/>
    <x v="3"/>
    <n v="5"/>
    <n v="253"/>
    <n v="30"/>
    <n v="885.5"/>
    <n v="885.5"/>
    <n v="28762.849999999995"/>
    <n v="542.69528301886783"/>
    <n v="81"/>
    <s v="Not Found"/>
    <s v="Low Sale"/>
  </r>
  <r>
    <s v="ORD0004"/>
    <s v="2023-10-02"/>
    <s v="CUST235"/>
    <x v="2"/>
    <s v="Laptop"/>
    <s v="Kolkata"/>
    <s v="West Bengal"/>
    <x v="0"/>
    <n v="1"/>
    <n v="1151"/>
    <n v="25"/>
    <n v="863.25"/>
    <n v="863.25"/>
    <n v="27877.349999999995"/>
    <n v="536.10288461538448"/>
    <n v="76"/>
    <s v="Not Found"/>
    <s v="Low Sale"/>
  </r>
  <r>
    <s v="ORD0462"/>
    <s v="2023-09-09"/>
    <s v="CUST176"/>
    <x v="0"/>
    <s v="Shoes"/>
    <s v="Kolkata"/>
    <s v="West Bengal"/>
    <x v="2"/>
    <n v="4"/>
    <n v="264"/>
    <n v="19"/>
    <n v="855.36"/>
    <n v="855.36"/>
    <n v="27014.099999999995"/>
    <n v="529.68823529411759"/>
    <n v="75"/>
    <s v="Not Found"/>
    <s v="Low Sale"/>
  </r>
  <r>
    <s v="ORD0733"/>
    <s v="2023-09-10"/>
    <s v="CUST044"/>
    <x v="3"/>
    <s v="Shoes"/>
    <s v="Mumbai"/>
    <s v="Maharashtra"/>
    <x v="1"/>
    <n v="1"/>
    <n v="935"/>
    <n v="12"/>
    <n v="822.8"/>
    <n v="822.8"/>
    <n v="26158.739999999994"/>
    <n v="523.17479999999989"/>
    <n v="71"/>
    <s v="Not Found"/>
    <s v="Low Sale"/>
  </r>
  <r>
    <s v="ORD0771"/>
    <s v="2023-05-11"/>
    <s v="CUST116"/>
    <x v="2"/>
    <s v="Laptop"/>
    <s v="Bangalore"/>
    <s v="Delhi"/>
    <x v="0"/>
    <n v="1"/>
    <n v="1047"/>
    <n v="23"/>
    <n v="806.19"/>
    <n v="806.19"/>
    <n v="25335.939999999995"/>
    <n v="517.05999999999995"/>
    <n v="70"/>
    <s v="Not Found"/>
    <s v="Low Sale"/>
  </r>
  <r>
    <s v="ORD0328"/>
    <s v="2023-01-11"/>
    <s v="CUST148"/>
    <x v="4"/>
    <s v="Football"/>
    <s v="Mumbai"/>
    <s v="Maharashtra"/>
    <x v="1"/>
    <n v="5"/>
    <n v="225"/>
    <n v="29"/>
    <n v="798.75"/>
    <n v="798.75"/>
    <n v="24529.749999999996"/>
    <n v="511.03645833333326"/>
    <n v="69"/>
    <s v="Not Found"/>
    <s v="Low Sale"/>
  </r>
  <r>
    <s v="ORD0046"/>
    <s v="2023-08-26"/>
    <s v="CUST239"/>
    <x v="4"/>
    <s v="Mobile"/>
    <s v="Chennai"/>
    <s v="Delhi"/>
    <x v="1"/>
    <n v="1"/>
    <n v="991"/>
    <n v="20"/>
    <n v="792.8"/>
    <n v="792.80000000000007"/>
    <n v="23731"/>
    <n v="504.91489361702128"/>
    <n v="64"/>
    <s v="Not Found"/>
    <s v="Low Sale"/>
  </r>
  <r>
    <s v="ORD0495"/>
    <s v="2023-03-17"/>
    <s v="CUST271"/>
    <x v="2"/>
    <s v="Sofa"/>
    <s v="Chennai"/>
    <s v="Maharashtra"/>
    <x v="2"/>
    <n v="1"/>
    <n v="864"/>
    <n v="10"/>
    <n v="777.6"/>
    <n v="777.6"/>
    <n v="22938.2"/>
    <n v="498.65652173913043"/>
    <n v="63"/>
    <s v="Not Found"/>
    <s v="Low Sale"/>
  </r>
  <r>
    <s v="ORD0563"/>
    <s v="2023-12-13"/>
    <s v="CUST088"/>
    <x v="3"/>
    <s v="Face Cream"/>
    <s v="Delhi"/>
    <s v="Maharashtra"/>
    <x v="3"/>
    <n v="1"/>
    <n v="852"/>
    <n v="9"/>
    <n v="775.32"/>
    <n v="775.32"/>
    <n v="22160.600000000002"/>
    <n v="492.45777777777784"/>
    <n v="62"/>
    <s v="Not Found"/>
    <s v="Low Sale"/>
  </r>
  <r>
    <s v="ORD0155"/>
    <s v="2023-10-24"/>
    <s v="CUST102"/>
    <x v="4"/>
    <s v="Face Cream"/>
    <s v="Delhi"/>
    <s v="Karnataka"/>
    <x v="3"/>
    <n v="2"/>
    <n v="393"/>
    <n v="4"/>
    <n v="754.56"/>
    <n v="754.56"/>
    <n v="21385.280000000002"/>
    <n v="486.02909090909094"/>
    <n v="61"/>
    <s v="Not Found"/>
    <s v="Low Sale"/>
  </r>
  <r>
    <s v="ORD0633"/>
    <s v="2023-03-17"/>
    <s v="CUST290"/>
    <x v="1"/>
    <s v="Mobile"/>
    <s v="Kolkata"/>
    <s v="Tamil Nadu"/>
    <x v="0"/>
    <n v="2"/>
    <n v="486"/>
    <n v="26"/>
    <n v="719.28"/>
    <n v="719.28"/>
    <n v="20630.719999999998"/>
    <n v="479.78418604651159"/>
    <n v="59"/>
    <s v="Not Found"/>
    <s v="Low Sale"/>
  </r>
  <r>
    <s v="ORD0009"/>
    <s v="2023-03-08"/>
    <s v="CUST231"/>
    <x v="3"/>
    <s v="Shoes"/>
    <s v="Delhi"/>
    <s v="Maharashtra"/>
    <x v="3"/>
    <n v="1"/>
    <n v="785"/>
    <n v="9"/>
    <n v="714.35"/>
    <n v="714.35"/>
    <n v="19911.439999999999"/>
    <n v="474.08190476190475"/>
    <n v="57"/>
    <s v="Not Found"/>
    <s v="Low Sale"/>
  </r>
  <r>
    <s v="ORD0043"/>
    <s v="2023-11-02"/>
    <s v="CUST092"/>
    <x v="1"/>
    <s v="Shoes"/>
    <s v="Delhi"/>
    <s v="Maharashtra"/>
    <x v="1"/>
    <n v="2"/>
    <n v="473"/>
    <n v="25"/>
    <n v="709.5"/>
    <n v="709.5"/>
    <n v="19197.089999999997"/>
    <n v="468.22170731707308"/>
    <n v="56"/>
    <s v="Not Found"/>
    <s v="Low Sale"/>
  </r>
  <r>
    <s v="ORD0138"/>
    <s v="2023-08-28"/>
    <s v="CUST059"/>
    <x v="2"/>
    <s v="T-Shirt"/>
    <s v="Chennai"/>
    <s v="Delhi"/>
    <x v="2"/>
    <n v="2"/>
    <n v="358"/>
    <n v="5"/>
    <n v="680.2"/>
    <n v="680.19999999999993"/>
    <n v="18487.589999999997"/>
    <n v="462.18974999999989"/>
    <n v="54"/>
    <s v="Not Found"/>
    <s v="Low Sale"/>
  </r>
  <r>
    <s v="ORD0657"/>
    <s v="2023-11-30"/>
    <s v="CUST045"/>
    <x v="1"/>
    <s v="Football"/>
    <s v="Bangalore"/>
    <s v="Tamil Nadu"/>
    <x v="1"/>
    <n v="1"/>
    <n v="769"/>
    <n v="12"/>
    <n v="676.72"/>
    <n v="676.72"/>
    <n v="17807.39"/>
    <n v="456.59974358974358"/>
    <n v="52"/>
    <s v="Not Found"/>
    <s v="Low Sale"/>
  </r>
  <r>
    <s v="ORD0908"/>
    <s v="2023-01-02"/>
    <s v="CUST055"/>
    <x v="3"/>
    <s v="T-Shirt"/>
    <s v="Bangalore"/>
    <s v="West Bengal"/>
    <x v="3"/>
    <n v="1"/>
    <n v="803"/>
    <n v="16"/>
    <n v="674.52"/>
    <n v="674.52"/>
    <n v="17130.670000000002"/>
    <n v="450.80710526315795"/>
    <n v="51"/>
    <s v="Not Found"/>
    <s v="Low Sale"/>
  </r>
  <r>
    <s v="ORD0574"/>
    <s v="2023-02-13"/>
    <s v="CUST173"/>
    <x v="2"/>
    <s v="T-Shirt"/>
    <s v="Mumbai"/>
    <s v="Tamil Nadu"/>
    <x v="3"/>
    <n v="1"/>
    <n v="952"/>
    <n v="30"/>
    <n v="666.4"/>
    <n v="666.4"/>
    <n v="16456.150000000001"/>
    <n v="444.76081081081082"/>
    <n v="50"/>
    <s v="Not Found"/>
    <s v="Low Sale"/>
  </r>
  <r>
    <s v="ORD0553"/>
    <s v="2023-01-30"/>
    <s v="CUST070"/>
    <x v="0"/>
    <s v="Sofa"/>
    <s v="Kolkata"/>
    <s v="Tamil Nadu"/>
    <x v="0"/>
    <n v="1"/>
    <n v="808"/>
    <n v="19"/>
    <n v="654.48"/>
    <n v="654.48"/>
    <n v="15789.749999999998"/>
    <n v="438.60416666666663"/>
    <n v="49"/>
    <s v="Not Found"/>
    <s v="Low Sale"/>
  </r>
  <r>
    <s v="ORD0401"/>
    <s v="2023-10-04"/>
    <s v="CUST184"/>
    <x v="1"/>
    <s v="Shoes"/>
    <s v="Kolkata"/>
    <s v="West Bengal"/>
    <x v="3"/>
    <n v="2"/>
    <n v="330"/>
    <n v="2"/>
    <n v="646.79999999999995"/>
    <n v="646.79999999999995"/>
    <n v="15135.269999999999"/>
    <n v="432.4362857142857"/>
    <n v="48"/>
    <s v="Not Found"/>
    <s v="Low Sale"/>
  </r>
  <r>
    <s v="ORD0148"/>
    <s v="2023-07-13"/>
    <s v="CUST028"/>
    <x v="0"/>
    <s v="Mobile"/>
    <s v="Delhi"/>
    <s v="Delhi"/>
    <x v="2"/>
    <n v="1"/>
    <n v="717"/>
    <n v="11"/>
    <n v="638.13"/>
    <n v="638.13"/>
    <n v="14488.47"/>
    <n v="426.13147058823529"/>
    <n v="46"/>
    <s v="Not Found"/>
    <s v="Low Sale"/>
  </r>
  <r>
    <s v="ORD0114"/>
    <s v="2023-05-28"/>
    <s v="CUST054"/>
    <x v="4"/>
    <s v="T-Shirt"/>
    <s v="Delhi"/>
    <s v="Maharashtra"/>
    <x v="2"/>
    <n v="1"/>
    <n v="816"/>
    <n v="23"/>
    <n v="628.32000000000005"/>
    <n v="628.32000000000005"/>
    <n v="13850.339999999998"/>
    <n v="419.70727272727265"/>
    <n v="45"/>
    <s v="Not Found"/>
    <s v="Low Sale"/>
  </r>
  <r>
    <s v="ORD0269"/>
    <s v="2023-06-24"/>
    <s v="CUST241"/>
    <x v="2"/>
    <s v="Sofa"/>
    <s v="Chennai"/>
    <s v="West Bengal"/>
    <x v="3"/>
    <n v="3"/>
    <n v="222"/>
    <n v="8"/>
    <n v="612.72"/>
    <n v="612.72"/>
    <n v="13222.02"/>
    <n v="413.18812500000001"/>
    <n v="44"/>
    <s v="Not Found"/>
    <s v="Low Sale"/>
  </r>
  <r>
    <s v="ORD0159"/>
    <s v="2023-04-17"/>
    <s v="CUST235"/>
    <x v="0"/>
    <s v="Mobile"/>
    <s v="Delhi"/>
    <s v="Maharashtra"/>
    <x v="3"/>
    <n v="1"/>
    <n v="812"/>
    <n v="25"/>
    <n v="609"/>
    <n v="609"/>
    <n v="12609.3"/>
    <n v="406.7516129032258"/>
    <n v="41"/>
    <s v="Not Found"/>
    <s v="Low Sale"/>
  </r>
  <r>
    <s v="ORD0023"/>
    <s v="2023-02-27"/>
    <s v="CUST258"/>
    <x v="0"/>
    <s v="Laptop"/>
    <s v="Delhi"/>
    <s v="West Bengal"/>
    <x v="1"/>
    <n v="1"/>
    <n v="637"/>
    <n v="9"/>
    <n v="579.66999999999996"/>
    <n v="579.67000000000007"/>
    <n v="12000.3"/>
    <n v="400.01"/>
    <n v="40"/>
    <s v="Not Found"/>
    <s v="Low Sale"/>
  </r>
  <r>
    <s v="ORD0020"/>
    <s v="2023-12-25"/>
    <s v="CUST100"/>
    <x v="1"/>
    <s v="T-Shirt"/>
    <s v="Delhi"/>
    <s v="Delhi"/>
    <x v="1"/>
    <n v="2"/>
    <n v="293"/>
    <n v="2"/>
    <n v="574.28"/>
    <n v="574.28"/>
    <n v="11420.63"/>
    <n v="393.81482758620689"/>
    <n v="39"/>
    <s v="Not Found"/>
    <s v="Low Sale"/>
  </r>
  <r>
    <s v="ORD0621"/>
    <s v="2023-03-20"/>
    <s v="CUST198"/>
    <x v="2"/>
    <s v="Face Cream"/>
    <s v="Mumbai"/>
    <s v="Maharashtra"/>
    <x v="1"/>
    <n v="1"/>
    <n v="573"/>
    <n v="0"/>
    <n v="573"/>
    <n v="573"/>
    <n v="10846.35"/>
    <n v="387.36964285714288"/>
    <n v="37"/>
    <s v="Not Found"/>
    <s v="Low Sale"/>
  </r>
  <r>
    <s v="ORD0402"/>
    <s v="2023-12-31"/>
    <s v="CUST032"/>
    <x v="0"/>
    <s v="Shoes"/>
    <s v="Bangalore"/>
    <s v="West Bengal"/>
    <x v="3"/>
    <n v="3"/>
    <n v="218"/>
    <n v="15"/>
    <n v="555.9"/>
    <n v="555.9"/>
    <n v="10273.349999999999"/>
    <n v="380.49444444444441"/>
    <n v="36"/>
    <s v="Not Found"/>
    <s v="Low Sale"/>
  </r>
  <r>
    <s v="ORD0591"/>
    <s v="2023-07-28"/>
    <s v="CUST269"/>
    <x v="3"/>
    <s v="Laptop"/>
    <s v="Mumbai"/>
    <s v="Karnataka"/>
    <x v="2"/>
    <n v="2"/>
    <n v="307"/>
    <n v="10"/>
    <n v="552.6"/>
    <n v="552.6"/>
    <n v="9717.4499999999989"/>
    <n v="373.74807692307689"/>
    <n v="33"/>
    <s v="Not Found"/>
    <s v="Low Sale"/>
  </r>
  <r>
    <s v="ORD0326"/>
    <s v="2023-01-22"/>
    <s v="CUST117"/>
    <x v="4"/>
    <s v="Face Cream"/>
    <s v="Chennai"/>
    <s v="Maharashtra"/>
    <x v="2"/>
    <n v="1"/>
    <n v="666"/>
    <n v="21"/>
    <n v="526.14"/>
    <n v="526.14"/>
    <n v="9164.85"/>
    <n v="366.59399999999999"/>
    <n v="31"/>
    <s v="Not Found"/>
    <s v="Low Sale"/>
  </r>
  <r>
    <s v="ORD0572"/>
    <s v="2023-10-13"/>
    <s v="CUST045"/>
    <x v="0"/>
    <s v="Shoes"/>
    <s v="Chennai"/>
    <s v="West Bengal"/>
    <x v="0"/>
    <n v="1"/>
    <n v="706"/>
    <n v="26"/>
    <n v="522.44000000000005"/>
    <n v="522.43999999999994"/>
    <n v="8638.7099999999991"/>
    <n v="359.94624999999996"/>
    <n v="30"/>
    <s v="Not Found"/>
    <s v="Low Sale"/>
  </r>
  <r>
    <s v="ORD0479"/>
    <s v="2023-08-21"/>
    <s v="CUST232"/>
    <x v="4"/>
    <s v="T-Shirt"/>
    <s v="Mumbai"/>
    <s v="Tamil Nadu"/>
    <x v="0"/>
    <n v="1"/>
    <n v="720"/>
    <n v="29"/>
    <n v="511.2"/>
    <n v="511.2"/>
    <n v="8116.27"/>
    <n v="352.88130434782613"/>
    <n v="29"/>
    <s v="Not Found"/>
    <s v="Low Sale"/>
  </r>
  <r>
    <s v="ORD0638"/>
    <s v="2023-10-28"/>
    <s v="CUST082"/>
    <x v="2"/>
    <s v="Mobile"/>
    <s v="Mumbai"/>
    <s v="Karnataka"/>
    <x v="3"/>
    <n v="1"/>
    <n v="560"/>
    <n v="9"/>
    <n v="509.6"/>
    <n v="509.6"/>
    <n v="7605.0700000000006"/>
    <n v="345.685"/>
    <n v="28"/>
    <s v="Not Found"/>
    <s v="Low Sale"/>
  </r>
  <r>
    <s v="ORD0076"/>
    <s v="2023-09-18"/>
    <s v="CUST121"/>
    <x v="0"/>
    <s v="Sofa"/>
    <s v="Kolkata"/>
    <s v="Maharashtra"/>
    <x v="2"/>
    <n v="2"/>
    <n v="323"/>
    <n v="26"/>
    <n v="478.04"/>
    <n v="478.04"/>
    <n v="7095.47"/>
    <n v="337.87952380952385"/>
    <n v="27"/>
    <s v="Not Found"/>
    <s v="Low Sale"/>
  </r>
  <r>
    <s v="ORD0490"/>
    <s v="2023-08-08"/>
    <s v="CUST251"/>
    <x v="1"/>
    <s v="T-Shirt"/>
    <s v="Kolkata"/>
    <s v="Karnataka"/>
    <x v="1"/>
    <n v="1"/>
    <n v="537"/>
    <n v="12"/>
    <n v="472.56"/>
    <n v="472.56"/>
    <n v="6617.43"/>
    <n v="330.87150000000003"/>
    <n v="25"/>
    <s v="Not Found"/>
    <s v="Low Sale"/>
  </r>
  <r>
    <s v="ORD0813"/>
    <s v="2023-06-23"/>
    <s v="CUST223"/>
    <x v="4"/>
    <s v="T-Shirt"/>
    <s v="Mumbai"/>
    <s v="Tamil Nadu"/>
    <x v="1"/>
    <n v="1"/>
    <n v="556"/>
    <n v="18"/>
    <n v="455.92"/>
    <n v="455.92"/>
    <n v="6144.87"/>
    <n v="323.4142105263158"/>
    <n v="24"/>
    <s v="Not Found"/>
    <s v="Low Sale"/>
  </r>
  <r>
    <s v="ORD0665"/>
    <s v="2023-05-07"/>
    <s v="CUST105"/>
    <x v="2"/>
    <s v="Sofa"/>
    <s v="Chennai"/>
    <s v="West Bengal"/>
    <x v="2"/>
    <n v="2"/>
    <n v="292"/>
    <n v="24"/>
    <n v="443.84"/>
    <n v="443.84000000000003"/>
    <n v="5688.95"/>
    <n v="316.05277777777775"/>
    <n v="23"/>
    <s v="Not Found"/>
    <s v="Low Sale"/>
  </r>
  <r>
    <s v="ORD0808"/>
    <s v="2023-09-26"/>
    <s v="CUST172"/>
    <x v="2"/>
    <s v="Laptop"/>
    <s v="Delhi"/>
    <s v="West Bengal"/>
    <x v="1"/>
    <n v="2"/>
    <n v="274"/>
    <n v="20"/>
    <n v="438.4"/>
    <n v="438.40000000000003"/>
    <n v="5245.11"/>
    <n v="308.53588235294114"/>
    <n v="21"/>
    <s v="Not Found"/>
    <s v="Low Sale"/>
  </r>
  <r>
    <s v="ORD0896"/>
    <s v="2023-06-07"/>
    <s v="CUST094"/>
    <x v="2"/>
    <s v="Sofa"/>
    <s v="Chennai"/>
    <s v="Delhi"/>
    <x v="1"/>
    <n v="1"/>
    <n v="604"/>
    <n v="28"/>
    <n v="434.88"/>
    <n v="434.88"/>
    <n v="4806.71"/>
    <n v="300.419375"/>
    <n v="19"/>
    <s v="Not Found"/>
    <s v="Low Sale"/>
  </r>
  <r>
    <s v="ORD0979"/>
    <s v="2023-08-02"/>
    <s v="CUST257"/>
    <x v="1"/>
    <s v="T-Shirt"/>
    <s v="Kolkata"/>
    <s v="Maharashtra"/>
    <x v="3"/>
    <n v="1"/>
    <n v="568"/>
    <n v="29"/>
    <n v="403.28"/>
    <n v="403.28"/>
    <n v="4371.829999999999"/>
    <n v="291.45533333333327"/>
    <n v="18"/>
    <s v="Not Found"/>
    <s v="Low Sale"/>
  </r>
  <r>
    <s v="ORD0191"/>
    <s v="2023-06-22"/>
    <s v="CUST095"/>
    <x v="4"/>
    <s v="Mobile"/>
    <s v="Kolkata"/>
    <s v="Maharashtra"/>
    <x v="1"/>
    <n v="1"/>
    <n v="570"/>
    <n v="30"/>
    <n v="399"/>
    <n v="399"/>
    <n v="3968.55"/>
    <n v="283.46785714285716"/>
    <n v="17"/>
    <s v="Not Found"/>
    <s v="Low Sale"/>
  </r>
  <r>
    <s v="ORD0515"/>
    <s v="2023-12-01"/>
    <s v="CUST007"/>
    <x v="4"/>
    <s v="Mobile"/>
    <s v="Chennai"/>
    <s v="Tamil Nadu"/>
    <x v="0"/>
    <n v="2"/>
    <n v="265"/>
    <n v="27"/>
    <n v="386.9"/>
    <n v="386.9"/>
    <n v="3569.55"/>
    <n v="274.58076923076925"/>
    <n v="16"/>
    <s v="Not Found"/>
    <s v="Low Sale"/>
  </r>
  <r>
    <s v="ORD0842"/>
    <s v="2023-12-17"/>
    <s v="CUST139"/>
    <x v="2"/>
    <s v="Mobile"/>
    <s v="Kolkata"/>
    <s v="Karnataka"/>
    <x v="0"/>
    <n v="1"/>
    <n v="439"/>
    <n v="13"/>
    <n v="381.93"/>
    <n v="381.93"/>
    <n v="3182.65"/>
    <n v="265.22083333333336"/>
    <n v="14"/>
    <s v="Not Found"/>
    <s v="Low Sale"/>
  </r>
  <r>
    <s v="ORD0240"/>
    <s v="2023-02-28"/>
    <s v="CUST255"/>
    <x v="0"/>
    <s v="T-Shirt"/>
    <s v="Mumbai"/>
    <s v="West Bengal"/>
    <x v="0"/>
    <n v="2"/>
    <n v="203"/>
    <n v="21"/>
    <n v="320.74"/>
    <n v="320.74"/>
    <n v="2800.7200000000003"/>
    <n v="254.6109090909091"/>
    <n v="13"/>
    <s v="Not Found"/>
    <s v="Low Sale"/>
  </r>
  <r>
    <s v="ORD0056"/>
    <s v="2023-02-02"/>
    <s v="CUST176"/>
    <x v="2"/>
    <s v="Face Cream"/>
    <s v="Delhi"/>
    <s v="Delhi"/>
    <x v="1"/>
    <n v="2"/>
    <n v="213"/>
    <n v="26"/>
    <n v="315.24"/>
    <n v="315.24"/>
    <n v="2479.98"/>
    <n v="247.99799999999999"/>
    <n v="11"/>
    <s v="Not Found"/>
    <s v="Low Sale"/>
  </r>
  <r>
    <s v="ORD0787"/>
    <s v="2023-12-23"/>
    <s v="CUST036"/>
    <x v="1"/>
    <s v="Shoes"/>
    <s v="Mumbai"/>
    <s v="Maharashtra"/>
    <x v="0"/>
    <n v="1"/>
    <n v="353"/>
    <n v="11"/>
    <n v="314.17"/>
    <n v="314.17"/>
    <n v="2164.7400000000002"/>
    <n v="240.5266666666667"/>
    <n v="9"/>
    <s v="Not Found"/>
    <s v="Low Sale"/>
  </r>
  <r>
    <s v="ORD0017"/>
    <s v="2023-06-05"/>
    <s v="CUST042"/>
    <x v="3"/>
    <s v="T-Shirt"/>
    <s v="Kolkata"/>
    <s v="West Bengal"/>
    <x v="1"/>
    <n v="1"/>
    <n v="340"/>
    <n v="16"/>
    <n v="285.59999999999997"/>
    <n v="285.59999999999997"/>
    <n v="1850.5700000000002"/>
    <n v="231.32125000000002"/>
    <n v="8"/>
    <s v="Not Found"/>
    <s v="Low Sale"/>
  </r>
  <r>
    <s v="ORD0161"/>
    <s v="2023-02-23"/>
    <s v="CUST191"/>
    <x v="3"/>
    <s v="Mobile"/>
    <s v="Kolkata"/>
    <s v="Tamil Nadu"/>
    <x v="3"/>
    <n v="1"/>
    <n v="383"/>
    <n v="26"/>
    <n v="283.42"/>
    <n v="283.42"/>
    <n v="1564.9700000000003"/>
    <n v="223.5671428571429"/>
    <n v="7"/>
    <s v="Not Found"/>
    <s v="Low Sale"/>
  </r>
  <r>
    <s v="ORD0568"/>
    <s v="2023-03-12"/>
    <s v="CUST056"/>
    <x v="1"/>
    <s v="Mobile"/>
    <s v="Bangalore"/>
    <s v="West Bengal"/>
    <x v="1"/>
    <n v="1"/>
    <n v="311"/>
    <n v="9"/>
    <n v="283.01"/>
    <n v="283.01"/>
    <n v="1281.5499999999997"/>
    <n v="213.59166666666661"/>
    <n v="6"/>
    <s v="Not Found"/>
    <s v="Low Sale"/>
  </r>
  <r>
    <s v="ORD0935"/>
    <s v="2023-01-29"/>
    <s v="CUST092"/>
    <x v="3"/>
    <s v="Shoes"/>
    <s v="Delhi"/>
    <s v="Karnataka"/>
    <x v="3"/>
    <n v="1"/>
    <n v="291"/>
    <n v="21"/>
    <n v="229.89"/>
    <n v="229.89000000000001"/>
    <n v="998.54000000000008"/>
    <n v="199.70800000000003"/>
    <n v="5"/>
    <s v="Not Found"/>
    <s v="Low Sale"/>
  </r>
  <r>
    <s v="ORD0267"/>
    <s v="2023-09-13"/>
    <s v="CUST265"/>
    <x v="1"/>
    <s v="Football"/>
    <s v="Chennai"/>
    <s v="Delhi"/>
    <x v="3"/>
    <n v="1"/>
    <n v="296"/>
    <n v="30"/>
    <n v="207.2"/>
    <n v="207.2"/>
    <n v="768.65"/>
    <n v="192.16249999999999"/>
    <n v="4"/>
    <s v="Not Found"/>
    <s v="Low Sale"/>
  </r>
  <r>
    <s v="ORD0893"/>
    <s v="2023-12-15"/>
    <s v="CUST193"/>
    <x v="4"/>
    <s v="Mobile"/>
    <s v="Bangalore"/>
    <s v="Maharashtra"/>
    <x v="0"/>
    <n v="1"/>
    <n v="281"/>
    <n v="27"/>
    <n v="205.13"/>
    <n v="205.13"/>
    <n v="561.45000000000005"/>
    <n v="187.15"/>
    <n v="3"/>
    <s v="Not Found"/>
    <s v="Low Sale"/>
  </r>
  <r>
    <s v="ORD0448"/>
    <s v="2023-07-01"/>
    <s v="CUST184"/>
    <x v="4"/>
    <s v="T-Shirt"/>
    <s v="Kolkata"/>
    <s v="Maharashtra"/>
    <x v="1"/>
    <n v="1"/>
    <n v="248"/>
    <n v="23"/>
    <n v="190.96"/>
    <n v="190.96"/>
    <n v="356.32000000000005"/>
    <n v="178.16000000000003"/>
    <n v="2"/>
    <s v="Not Found"/>
    <s v="Low Sale"/>
  </r>
  <r>
    <s v="ORD0750"/>
    <s v="2023-01-08"/>
    <s v="CUST109"/>
    <x v="0"/>
    <s v="Mobile"/>
    <s v="Kolkata"/>
    <s v="West Bengal"/>
    <x v="3"/>
    <n v="1"/>
    <n v="212"/>
    <n v="22"/>
    <n v="165.36"/>
    <n v="165.36"/>
    <n v="165.36"/>
    <n v="165.36"/>
    <n v="1"/>
    <s v="Not Found"/>
    <s v="Low Sa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0224"/>
    <x v="0"/>
    <x v="0"/>
    <x v="0"/>
    <x v="0"/>
    <x v="0"/>
    <x v="0"/>
    <x v="0"/>
    <n v="5"/>
    <n v="4864"/>
    <n v="4"/>
    <n v="23347.200000000001"/>
    <n v="6506678.7100000009"/>
    <n v="6506.678710000001"/>
    <n v="3034"/>
    <s v="High"/>
  </r>
  <r>
    <s v="ORD0066"/>
    <x v="1"/>
    <x v="1"/>
    <x v="1"/>
    <x v="1"/>
    <x v="1"/>
    <x v="1"/>
    <x v="0"/>
    <n v="5"/>
    <n v="4552"/>
    <n v="2"/>
    <n v="22304.799999999999"/>
    <n v="6483331.5100000016"/>
    <n v="6489.8213313313327"/>
    <n v="3029"/>
    <s v="High"/>
  </r>
  <r>
    <s v="ORD0218"/>
    <x v="2"/>
    <x v="2"/>
    <x v="1"/>
    <x v="0"/>
    <x v="2"/>
    <x v="2"/>
    <x v="1"/>
    <n v="5"/>
    <n v="4538"/>
    <n v="2"/>
    <n v="22236.2"/>
    <n v="6461026.71"/>
    <n v="6473.9746593186374"/>
    <n v="3024"/>
    <s v="High"/>
  </r>
  <r>
    <s v="ORD0630"/>
    <x v="3"/>
    <x v="3"/>
    <x v="2"/>
    <x v="1"/>
    <x v="3"/>
    <x v="3"/>
    <x v="2"/>
    <n v="5"/>
    <n v="4292"/>
    <n v="1"/>
    <n v="21245.4"/>
    <n v="6438790.5099999988"/>
    <n v="6458.1650050150438"/>
    <n v="3019"/>
    <s v="High"/>
  </r>
  <r>
    <s v="ORD0752"/>
    <x v="4"/>
    <x v="4"/>
    <x v="3"/>
    <x v="1"/>
    <x v="3"/>
    <x v="1"/>
    <x v="2"/>
    <n v="5"/>
    <n v="4849"/>
    <n v="15"/>
    <n v="20608.25"/>
    <n v="6417545.1099999994"/>
    <n v="6443.318383534136"/>
    <n v="3014"/>
    <s v="High"/>
  </r>
  <r>
    <s v="ORD0417"/>
    <x v="5"/>
    <x v="5"/>
    <x v="0"/>
    <x v="2"/>
    <x v="3"/>
    <x v="1"/>
    <x v="1"/>
    <n v="5"/>
    <n v="4095"/>
    <n v="0"/>
    <n v="20475"/>
    <n v="6396936.8599999985"/>
    <n v="6429.0822713567823"/>
    <n v="3009"/>
    <s v="High"/>
  </r>
  <r>
    <s v="ORD0079"/>
    <x v="6"/>
    <x v="6"/>
    <x v="1"/>
    <x v="2"/>
    <x v="2"/>
    <x v="2"/>
    <x v="3"/>
    <n v="5"/>
    <n v="4573"/>
    <n v="11"/>
    <n v="20349.849999999999"/>
    <n v="6376461.8599999985"/>
    <n v="6414.9515694164975"/>
    <n v="3004"/>
    <s v="High"/>
  </r>
  <r>
    <s v="ORD0506"/>
    <x v="7"/>
    <x v="7"/>
    <x v="2"/>
    <x v="3"/>
    <x v="0"/>
    <x v="0"/>
    <x v="3"/>
    <n v="5"/>
    <n v="4228"/>
    <n v="4"/>
    <n v="20294.400000000001"/>
    <n v="6356112.0099999979"/>
    <n v="6400.9184390735127"/>
    <n v="2999"/>
    <s v="High"/>
  </r>
  <r>
    <s v="ORD0355"/>
    <x v="8"/>
    <x v="8"/>
    <x v="1"/>
    <x v="0"/>
    <x v="4"/>
    <x v="2"/>
    <x v="1"/>
    <n v="5"/>
    <n v="4488"/>
    <n v="11"/>
    <n v="19971.599999999999"/>
    <n v="6335817.6099999985"/>
    <n v="6386.9129133064498"/>
    <n v="2994"/>
    <s v="High"/>
  </r>
  <r>
    <s v="ORD0154"/>
    <x v="9"/>
    <x v="9"/>
    <x v="2"/>
    <x v="4"/>
    <x v="3"/>
    <x v="3"/>
    <x v="2"/>
    <n v="5"/>
    <n v="4504"/>
    <n v="13"/>
    <n v="19592.400000000001"/>
    <n v="6315846.009999997"/>
    <n v="6373.2048536831453"/>
    <n v="2989"/>
    <s v="High"/>
  </r>
  <r>
    <s v="ORD0318"/>
    <x v="10"/>
    <x v="10"/>
    <x v="3"/>
    <x v="2"/>
    <x v="1"/>
    <x v="4"/>
    <x v="2"/>
    <n v="5"/>
    <n v="4999"/>
    <n v="22"/>
    <n v="19496.099999999999"/>
    <n v="6296253.6099999975"/>
    <n v="6359.8521313131287"/>
    <n v="2984"/>
    <s v="High"/>
  </r>
  <r>
    <s v="ORD0101"/>
    <x v="11"/>
    <x v="11"/>
    <x v="2"/>
    <x v="1"/>
    <x v="2"/>
    <x v="2"/>
    <x v="1"/>
    <n v="5"/>
    <n v="4756"/>
    <n v="19"/>
    <n v="19261.8"/>
    <n v="6276757.5099999961"/>
    <n v="6346.5697775530798"/>
    <n v="2979"/>
    <s v="High"/>
  </r>
  <r>
    <s v="ORD0158"/>
    <x v="12"/>
    <x v="12"/>
    <x v="4"/>
    <x v="4"/>
    <x v="2"/>
    <x v="2"/>
    <x v="3"/>
    <n v="5"/>
    <n v="4991"/>
    <n v="23"/>
    <n v="19215.349999999999"/>
    <n v="6257495.7099999962"/>
    <n v="6333.497682186231"/>
    <n v="2974"/>
    <s v="High"/>
  </r>
  <r>
    <s v="ORD0824"/>
    <x v="13"/>
    <x v="13"/>
    <x v="4"/>
    <x v="5"/>
    <x v="2"/>
    <x v="1"/>
    <x v="2"/>
    <n v="5"/>
    <n v="4210"/>
    <n v="9"/>
    <n v="19155.5"/>
    <n v="6238280.3599999966"/>
    <n v="6320.44616008105"/>
    <n v="2969"/>
    <s v="High"/>
  </r>
  <r>
    <s v="ORD0245"/>
    <x v="14"/>
    <x v="14"/>
    <x v="3"/>
    <x v="3"/>
    <x v="2"/>
    <x v="4"/>
    <x v="2"/>
    <n v="5"/>
    <n v="4482"/>
    <n v="15"/>
    <n v="19048.5"/>
    <n v="6219124.8599999975"/>
    <n v="6307.4288640973609"/>
    <n v="2964"/>
    <s v="High"/>
  </r>
  <r>
    <s v="ORD0182"/>
    <x v="14"/>
    <x v="15"/>
    <x v="3"/>
    <x v="1"/>
    <x v="0"/>
    <x v="1"/>
    <x v="3"/>
    <n v="5"/>
    <n v="4428"/>
    <n v="14"/>
    <n v="19040.400000000001"/>
    <n v="6200076.3599999975"/>
    <n v="6294.4937664974595"/>
    <n v="2959"/>
    <s v="High"/>
  </r>
  <r>
    <s v="ORD0405"/>
    <x v="15"/>
    <x v="16"/>
    <x v="1"/>
    <x v="5"/>
    <x v="2"/>
    <x v="4"/>
    <x v="0"/>
    <n v="5"/>
    <n v="4312"/>
    <n v="12"/>
    <n v="18972.8"/>
    <n v="6181035.9599999972"/>
    <n v="6281.5406097560945"/>
    <n v="2954"/>
    <s v="High"/>
  </r>
  <r>
    <s v="ORD0924"/>
    <x v="16"/>
    <x v="17"/>
    <x v="2"/>
    <x v="0"/>
    <x v="2"/>
    <x v="1"/>
    <x v="3"/>
    <n v="5"/>
    <n v="4412"/>
    <n v="14"/>
    <n v="18971.599999999999"/>
    <n v="6162063.1599999974"/>
    <n v="6268.629867751778"/>
    <n v="2949"/>
    <s v="High"/>
  </r>
  <r>
    <s v="ORD0687"/>
    <x v="17"/>
    <x v="18"/>
    <x v="0"/>
    <x v="2"/>
    <x v="1"/>
    <x v="0"/>
    <x v="1"/>
    <n v="5"/>
    <n v="4511"/>
    <n v="16"/>
    <n v="18946.2"/>
    <n v="6143091.5599999977"/>
    <n v="6255.6940529531548"/>
    <n v="2944"/>
    <s v="High"/>
  </r>
  <r>
    <s v="ORD0857"/>
    <x v="18"/>
    <x v="19"/>
    <x v="4"/>
    <x v="5"/>
    <x v="1"/>
    <x v="2"/>
    <x v="0"/>
    <n v="4"/>
    <n v="4965"/>
    <n v="5"/>
    <n v="18867"/>
    <n v="6124145.3599999985"/>
    <n v="6242.7577573904164"/>
    <n v="2939"/>
    <s v="High"/>
  </r>
  <r>
    <s v="ORD0016"/>
    <x v="19"/>
    <x v="20"/>
    <x v="3"/>
    <x v="5"/>
    <x v="4"/>
    <x v="2"/>
    <x v="0"/>
    <n v="5"/>
    <n v="4185"/>
    <n v="10"/>
    <n v="18832.5"/>
    <n v="6105278.3599999975"/>
    <n v="6229.8758775510178"/>
    <n v="2935"/>
    <s v="High"/>
  </r>
  <r>
    <s v="ORD0396"/>
    <x v="20"/>
    <x v="21"/>
    <x v="1"/>
    <x v="0"/>
    <x v="1"/>
    <x v="0"/>
    <x v="0"/>
    <n v="4"/>
    <n v="4711"/>
    <n v="1"/>
    <n v="18655.560000000001"/>
    <n v="6086445.8599999975"/>
    <n v="6217.0029213483122"/>
    <n v="2930"/>
    <s v="High"/>
  </r>
  <r>
    <s v="ORD0992"/>
    <x v="21"/>
    <x v="22"/>
    <x v="3"/>
    <x v="1"/>
    <x v="1"/>
    <x v="3"/>
    <x v="2"/>
    <n v="5"/>
    <n v="3709"/>
    <n v="0"/>
    <n v="18545"/>
    <n v="6067790.299999997"/>
    <n v="6204.2845603271953"/>
    <n v="2926"/>
    <s v="High"/>
  </r>
  <r>
    <s v="ORD0547"/>
    <x v="22"/>
    <x v="23"/>
    <x v="2"/>
    <x v="2"/>
    <x v="3"/>
    <x v="1"/>
    <x v="3"/>
    <n v="5"/>
    <n v="4071"/>
    <n v="9"/>
    <n v="18523.05"/>
    <n v="6049245.299999997"/>
    <n v="6191.6533265097205"/>
    <n v="2921"/>
    <s v="High"/>
  </r>
  <r>
    <s v="ORD0018"/>
    <x v="23"/>
    <x v="24"/>
    <x v="4"/>
    <x v="5"/>
    <x v="4"/>
    <x v="4"/>
    <x v="0"/>
    <n v="5"/>
    <n v="4238"/>
    <n v="13"/>
    <n v="18435.3"/>
    <n v="6030722.2499999972"/>
    <n v="6179.0186987704892"/>
    <n v="2916"/>
    <s v="High"/>
  </r>
  <r>
    <s v="ORD0990"/>
    <x v="24"/>
    <x v="25"/>
    <x v="0"/>
    <x v="0"/>
    <x v="4"/>
    <x v="1"/>
    <x v="3"/>
    <n v="5"/>
    <n v="4129"/>
    <n v="12"/>
    <n v="18167.599999999999"/>
    <n v="6012286.9499999974"/>
    <n v="6166.4481538461514"/>
    <n v="2911"/>
    <s v="High"/>
  </r>
  <r>
    <s v="ORD0145"/>
    <x v="25"/>
    <x v="26"/>
    <x v="2"/>
    <x v="1"/>
    <x v="4"/>
    <x v="1"/>
    <x v="1"/>
    <n v="5"/>
    <n v="3938"/>
    <n v="8"/>
    <n v="18114.8"/>
    <n v="5994119.3499999978"/>
    <n v="6154.1266427104702"/>
    <n v="2906"/>
    <s v="High"/>
  </r>
  <r>
    <s v="ORD0398"/>
    <x v="26"/>
    <x v="27"/>
    <x v="0"/>
    <x v="3"/>
    <x v="4"/>
    <x v="4"/>
    <x v="1"/>
    <n v="4"/>
    <n v="4705"/>
    <n v="4"/>
    <n v="18067.2"/>
    <n v="5976004.549999997"/>
    <n v="6141.8340698869442"/>
    <n v="2901"/>
    <s v="High"/>
  </r>
  <r>
    <s v="ORD0686"/>
    <x v="27"/>
    <x v="17"/>
    <x v="0"/>
    <x v="0"/>
    <x v="2"/>
    <x v="2"/>
    <x v="3"/>
    <n v="5"/>
    <n v="4293"/>
    <n v="16"/>
    <n v="18030.599999999999"/>
    <n v="5957937.3499999968"/>
    <n v="6129.5651748971159"/>
    <n v="2897"/>
    <s v="High"/>
  </r>
  <r>
    <s v="ORD0386"/>
    <x v="28"/>
    <x v="28"/>
    <x v="1"/>
    <x v="1"/>
    <x v="3"/>
    <x v="0"/>
    <x v="3"/>
    <n v="5"/>
    <n v="4503"/>
    <n v="20"/>
    <n v="18012"/>
    <n v="5939906.7499999963"/>
    <n v="6117.3087023686885"/>
    <n v="2892"/>
    <s v="High"/>
  </r>
  <r>
    <s v="ORD0954"/>
    <x v="29"/>
    <x v="29"/>
    <x v="0"/>
    <x v="0"/>
    <x v="2"/>
    <x v="1"/>
    <x v="0"/>
    <n v="5"/>
    <n v="4164"/>
    <n v="14"/>
    <n v="17905.2"/>
    <n v="5921894.7499999963"/>
    <n v="6105.0461340206148"/>
    <n v="2887"/>
    <s v="High"/>
  </r>
  <r>
    <s v="ORD0674"/>
    <x v="30"/>
    <x v="30"/>
    <x v="4"/>
    <x v="1"/>
    <x v="4"/>
    <x v="4"/>
    <x v="0"/>
    <n v="4"/>
    <n v="4845"/>
    <n v="8"/>
    <n v="17829.599999999999"/>
    <n v="5903989.549999997"/>
    <n v="6092.868472652216"/>
    <n v="2882"/>
    <s v="High"/>
  </r>
  <r>
    <s v="ORD0176"/>
    <x v="31"/>
    <x v="11"/>
    <x v="4"/>
    <x v="3"/>
    <x v="4"/>
    <x v="3"/>
    <x v="0"/>
    <n v="5"/>
    <n v="3708"/>
    <n v="4"/>
    <n v="17798.400000000001"/>
    <n v="5886159.9499999974"/>
    <n v="6080.7437499999969"/>
    <n v="2878"/>
    <s v="High"/>
  </r>
  <r>
    <s v="ORD0461"/>
    <x v="32"/>
    <x v="31"/>
    <x v="3"/>
    <x v="2"/>
    <x v="4"/>
    <x v="3"/>
    <x v="2"/>
    <n v="5"/>
    <n v="4999"/>
    <n v="29"/>
    <n v="17746.45"/>
    <n v="5868361.549999997"/>
    <n v="6068.6262150982393"/>
    <n v="2873"/>
    <s v="High"/>
  </r>
  <r>
    <s v="ORD0676"/>
    <x v="9"/>
    <x v="32"/>
    <x v="4"/>
    <x v="2"/>
    <x v="2"/>
    <x v="0"/>
    <x v="3"/>
    <n v="5"/>
    <n v="3656"/>
    <n v="3"/>
    <n v="17731.599999999999"/>
    <n v="5850615.0999999987"/>
    <n v="6056.5373706004129"/>
    <n v="2868"/>
    <s v="High"/>
  </r>
  <r>
    <s v="ORD0859"/>
    <x v="33"/>
    <x v="33"/>
    <x v="3"/>
    <x v="1"/>
    <x v="3"/>
    <x v="2"/>
    <x v="1"/>
    <n v="5"/>
    <n v="4028"/>
    <n v="12"/>
    <n v="17723.2"/>
    <n v="5832883.4999999991"/>
    <n v="6044.4388601036262"/>
    <n v="2863"/>
    <s v="High"/>
  </r>
  <r>
    <s v="ORD0736"/>
    <x v="34"/>
    <x v="29"/>
    <x v="4"/>
    <x v="3"/>
    <x v="2"/>
    <x v="4"/>
    <x v="0"/>
    <n v="4"/>
    <n v="4642"/>
    <n v="5"/>
    <n v="17639.599999999999"/>
    <n v="5815160.2999999989"/>
    <n v="6032.3239626556006"/>
    <n v="2858"/>
    <s v="High"/>
  </r>
  <r>
    <s v="ORD0471"/>
    <x v="35"/>
    <x v="34"/>
    <x v="2"/>
    <x v="3"/>
    <x v="2"/>
    <x v="4"/>
    <x v="2"/>
    <n v="5"/>
    <n v="4899"/>
    <n v="28"/>
    <n v="17636.400000000001"/>
    <n v="5797520.6999999993"/>
    <n v="6020.2707165109023"/>
    <n v="2854"/>
    <s v="High"/>
  </r>
  <r>
    <s v="ORD0628"/>
    <x v="36"/>
    <x v="35"/>
    <x v="0"/>
    <x v="3"/>
    <x v="4"/>
    <x v="0"/>
    <x v="1"/>
    <n v="5"/>
    <n v="4756"/>
    <n v="26"/>
    <n v="17597.2"/>
    <n v="5779884.2999999989"/>
    <n v="6008.195738045737"/>
    <n v="2849"/>
    <s v="High"/>
  </r>
  <r>
    <s v="ORD0144"/>
    <x v="37"/>
    <x v="12"/>
    <x v="2"/>
    <x v="5"/>
    <x v="3"/>
    <x v="3"/>
    <x v="2"/>
    <n v="5"/>
    <n v="4586"/>
    <n v="24"/>
    <n v="17426.8"/>
    <n v="5762287.0999999996"/>
    <n v="5996.1364203954208"/>
    <n v="2844"/>
    <s v="High"/>
  </r>
  <r>
    <s v="ORD0914"/>
    <x v="38"/>
    <x v="36"/>
    <x v="3"/>
    <x v="4"/>
    <x v="1"/>
    <x v="0"/>
    <x v="1"/>
    <n v="4"/>
    <n v="4405"/>
    <n v="2"/>
    <n v="17267.599999999999"/>
    <n v="5744860.3000000007"/>
    <n v="5984.2294791666673"/>
    <n v="2839"/>
    <s v="High"/>
  </r>
  <r>
    <s v="ORD0207"/>
    <x v="39"/>
    <x v="37"/>
    <x v="0"/>
    <x v="4"/>
    <x v="0"/>
    <x v="3"/>
    <x v="3"/>
    <n v="5"/>
    <n v="3795"/>
    <n v="9"/>
    <n v="17267.25"/>
    <n v="5727592.7000000002"/>
    <n v="5972.4637122002086"/>
    <n v="2835"/>
    <s v="High"/>
  </r>
  <r>
    <s v="ORD0189"/>
    <x v="40"/>
    <x v="38"/>
    <x v="3"/>
    <x v="5"/>
    <x v="3"/>
    <x v="2"/>
    <x v="2"/>
    <n v="5"/>
    <n v="4725"/>
    <n v="27"/>
    <n v="17246.25"/>
    <n v="5710325.4499999993"/>
    <n v="5960.6737473903959"/>
    <n v="2830"/>
    <s v="High"/>
  </r>
  <r>
    <s v="ORD0447"/>
    <x v="41"/>
    <x v="39"/>
    <x v="2"/>
    <x v="2"/>
    <x v="4"/>
    <x v="1"/>
    <x v="2"/>
    <n v="4"/>
    <n v="4368"/>
    <n v="2"/>
    <n v="17122.560000000001"/>
    <n v="5693079.1999999993"/>
    <n v="5948.8810867293614"/>
    <n v="2825"/>
    <s v="High"/>
  </r>
  <r>
    <s v="ORD0146"/>
    <x v="42"/>
    <x v="40"/>
    <x v="1"/>
    <x v="0"/>
    <x v="4"/>
    <x v="2"/>
    <x v="2"/>
    <n v="5"/>
    <n v="3889"/>
    <n v="12"/>
    <n v="17111.599999999999"/>
    <n v="5675956.6399999997"/>
    <n v="5937.1931380753131"/>
    <n v="2821"/>
    <s v="High"/>
  </r>
  <r>
    <s v="ORD0897"/>
    <x v="43"/>
    <x v="41"/>
    <x v="4"/>
    <x v="1"/>
    <x v="3"/>
    <x v="0"/>
    <x v="1"/>
    <n v="4"/>
    <n v="4458"/>
    <n v="5"/>
    <n v="16940.400000000001"/>
    <n v="5658845.04"/>
    <n v="5925.4921884816758"/>
    <n v="2816"/>
    <s v="High"/>
  </r>
  <r>
    <s v="ORD0698"/>
    <x v="44"/>
    <x v="42"/>
    <x v="0"/>
    <x v="5"/>
    <x v="4"/>
    <x v="1"/>
    <x v="0"/>
    <n v="5"/>
    <n v="4069"/>
    <n v="17"/>
    <n v="16886.349999999999"/>
    <n v="5641904.6399999997"/>
    <n v="5913.9461635220123"/>
    <n v="2812"/>
    <s v="High"/>
  </r>
  <r>
    <s v="ORD0870"/>
    <x v="45"/>
    <x v="43"/>
    <x v="4"/>
    <x v="3"/>
    <x v="2"/>
    <x v="3"/>
    <x v="1"/>
    <n v="5"/>
    <n v="3350"/>
    <n v="0"/>
    <n v="16750"/>
    <n v="5625018.29"/>
    <n v="5902.4326232948588"/>
    <n v="2807"/>
    <s v="High"/>
  </r>
  <r>
    <s v="ORD0715"/>
    <x v="46"/>
    <x v="44"/>
    <x v="0"/>
    <x v="5"/>
    <x v="3"/>
    <x v="0"/>
    <x v="2"/>
    <n v="5"/>
    <n v="4394"/>
    <n v="24"/>
    <n v="16697.2"/>
    <n v="5608268.2899999991"/>
    <n v="5891.0381197478982"/>
    <n v="2802"/>
    <s v="High"/>
  </r>
  <r>
    <s v="ORD0410"/>
    <x v="47"/>
    <x v="26"/>
    <x v="3"/>
    <x v="4"/>
    <x v="4"/>
    <x v="3"/>
    <x v="3"/>
    <n v="4"/>
    <n v="4712"/>
    <n v="12"/>
    <n v="16586.240000000002"/>
    <n v="5591571.0899999999"/>
    <n v="5879.6751735015769"/>
    <n v="2797"/>
    <s v="High"/>
  </r>
  <r>
    <s v="ORD0143"/>
    <x v="48"/>
    <x v="28"/>
    <x v="2"/>
    <x v="3"/>
    <x v="4"/>
    <x v="0"/>
    <x v="2"/>
    <n v="5"/>
    <n v="3561"/>
    <n v="7"/>
    <n v="16558.650000000001"/>
    <n v="5574984.8499999987"/>
    <n v="5868.4051052631567"/>
    <n v="2793"/>
    <s v="High"/>
  </r>
  <r>
    <s v="ORD0844"/>
    <x v="49"/>
    <x v="45"/>
    <x v="1"/>
    <x v="3"/>
    <x v="0"/>
    <x v="0"/>
    <x v="2"/>
    <n v="4"/>
    <n v="4987"/>
    <n v="17"/>
    <n v="16556.84"/>
    <n v="5558426.2000000002"/>
    <n v="5857.1403582718649"/>
    <n v="2788"/>
    <s v="High"/>
  </r>
  <r>
    <s v="ORD0957"/>
    <x v="50"/>
    <x v="46"/>
    <x v="2"/>
    <x v="1"/>
    <x v="2"/>
    <x v="4"/>
    <x v="0"/>
    <n v="4"/>
    <n v="4160"/>
    <n v="1"/>
    <n v="16473.599999999999"/>
    <n v="5541869.3599999994"/>
    <n v="5845.8537552742609"/>
    <n v="2784"/>
    <s v="High"/>
  </r>
  <r>
    <s v="ORD0299"/>
    <x v="1"/>
    <x v="47"/>
    <x v="3"/>
    <x v="6"/>
    <x v="4"/>
    <x v="0"/>
    <x v="0"/>
    <n v="4"/>
    <n v="4155"/>
    <n v="1"/>
    <n v="16453.8"/>
    <n v="5525395.7599999998"/>
    <n v="5834.6312143611403"/>
    <n v="2780"/>
    <s v="High"/>
  </r>
  <r>
    <s v="ORD0216"/>
    <x v="51"/>
    <x v="48"/>
    <x v="0"/>
    <x v="5"/>
    <x v="3"/>
    <x v="2"/>
    <x v="3"/>
    <n v="5"/>
    <n v="3611"/>
    <n v="9"/>
    <n v="16430.05"/>
    <n v="5508941.959999999"/>
    <n v="5823.4058773784345"/>
    <n v="2776"/>
    <s v="High"/>
  </r>
  <r>
    <s v="ORD0033"/>
    <x v="52"/>
    <x v="49"/>
    <x v="3"/>
    <x v="6"/>
    <x v="2"/>
    <x v="3"/>
    <x v="0"/>
    <n v="5"/>
    <n v="4483"/>
    <n v="27"/>
    <n v="16362.95"/>
    <n v="5492511.9099999992"/>
    <n v="5812.1819153439146"/>
    <n v="2771"/>
    <s v="High"/>
  </r>
  <r>
    <s v="ORD0233"/>
    <x v="53"/>
    <x v="50"/>
    <x v="2"/>
    <x v="5"/>
    <x v="1"/>
    <x v="3"/>
    <x v="1"/>
    <n v="5"/>
    <n v="3718"/>
    <n v="12"/>
    <n v="16359.2"/>
    <n v="5476148.959999999"/>
    <n v="5801.0052542372869"/>
    <n v="2766"/>
    <s v="High"/>
  </r>
  <r>
    <s v="ORD0901"/>
    <x v="54"/>
    <x v="51"/>
    <x v="1"/>
    <x v="2"/>
    <x v="3"/>
    <x v="1"/>
    <x v="2"/>
    <n v="5"/>
    <n v="3756"/>
    <n v="14"/>
    <n v="16150.8"/>
    <n v="5459789.7599999988"/>
    <n v="5789.8088653234345"/>
    <n v="2761"/>
    <s v="High"/>
  </r>
  <r>
    <s v="ORD0005"/>
    <x v="55"/>
    <x v="52"/>
    <x v="0"/>
    <x v="1"/>
    <x v="3"/>
    <x v="1"/>
    <x v="0"/>
    <n v="5"/>
    <n v="3797"/>
    <n v="15"/>
    <n v="16137.25"/>
    <n v="5443638.959999999"/>
    <n v="5778.8099363057318"/>
    <n v="2756"/>
    <s v="High"/>
  </r>
  <r>
    <s v="ORD0765"/>
    <x v="56"/>
    <x v="0"/>
    <x v="1"/>
    <x v="2"/>
    <x v="4"/>
    <x v="0"/>
    <x v="3"/>
    <n v="5"/>
    <n v="3731"/>
    <n v="14"/>
    <n v="16043.3"/>
    <n v="5427501.71"/>
    <n v="5767.8020297555795"/>
    <n v="2751"/>
    <s v="High"/>
  </r>
  <r>
    <s v="ORD0811"/>
    <x v="57"/>
    <x v="28"/>
    <x v="4"/>
    <x v="2"/>
    <x v="4"/>
    <x v="3"/>
    <x v="2"/>
    <n v="4"/>
    <n v="4289"/>
    <n v="7"/>
    <n v="15955.08"/>
    <n v="5411458.4100000011"/>
    <n v="5756.8706489361712"/>
    <n v="2746"/>
    <s v="High"/>
  </r>
  <r>
    <s v="ORD0812"/>
    <x v="58"/>
    <x v="53"/>
    <x v="2"/>
    <x v="3"/>
    <x v="0"/>
    <x v="0"/>
    <x v="0"/>
    <n v="4"/>
    <n v="4859"/>
    <n v="18"/>
    <n v="15937.52"/>
    <n v="5395503.330000001"/>
    <n v="5746.0099361022376"/>
    <n v="2742"/>
    <s v="High"/>
  </r>
  <r>
    <s v="ORD0456"/>
    <x v="17"/>
    <x v="2"/>
    <x v="3"/>
    <x v="4"/>
    <x v="4"/>
    <x v="4"/>
    <x v="3"/>
    <n v="4"/>
    <n v="4972"/>
    <n v="20"/>
    <n v="15910.4"/>
    <n v="5379565.8100000005"/>
    <n v="5735.1447867803845"/>
    <n v="2738"/>
    <s v="High"/>
  </r>
  <r>
    <s v="ORD0059"/>
    <x v="59"/>
    <x v="54"/>
    <x v="0"/>
    <x v="2"/>
    <x v="2"/>
    <x v="2"/>
    <x v="2"/>
    <n v="4"/>
    <n v="4126"/>
    <n v="4"/>
    <n v="15843.84"/>
    <n v="5363655.4100000011"/>
    <n v="5724.2853895410899"/>
    <n v="2734"/>
    <s v="High"/>
  </r>
  <r>
    <s v="ORD0288"/>
    <x v="60"/>
    <x v="55"/>
    <x v="3"/>
    <x v="3"/>
    <x v="2"/>
    <x v="4"/>
    <x v="2"/>
    <n v="5"/>
    <n v="3705"/>
    <n v="15"/>
    <n v="15746.25"/>
    <n v="5347811.5700000012"/>
    <n v="5713.4738995726511"/>
    <n v="2730"/>
    <s v="High"/>
  </r>
  <r>
    <s v="ORD0399"/>
    <x v="61"/>
    <x v="37"/>
    <x v="2"/>
    <x v="3"/>
    <x v="0"/>
    <x v="3"/>
    <x v="3"/>
    <n v="4"/>
    <n v="4960"/>
    <n v="21"/>
    <n v="15673.6"/>
    <n v="5332065.3200000012"/>
    <n v="5702.743657754012"/>
    <n v="2725"/>
    <s v="High"/>
  </r>
  <r>
    <s v="ORD0980"/>
    <x v="62"/>
    <x v="53"/>
    <x v="4"/>
    <x v="1"/>
    <x v="2"/>
    <x v="2"/>
    <x v="0"/>
    <n v="4"/>
    <n v="4347"/>
    <n v="10"/>
    <n v="15649.2"/>
    <n v="5316391.7200000025"/>
    <n v="5692.0682226980753"/>
    <n v="2721"/>
    <s v="High"/>
  </r>
  <r>
    <s v="ORD0472"/>
    <x v="63"/>
    <x v="56"/>
    <x v="2"/>
    <x v="3"/>
    <x v="4"/>
    <x v="4"/>
    <x v="3"/>
    <n v="4"/>
    <n v="4975"/>
    <n v="22"/>
    <n v="15522"/>
    <n v="5300742.5200000023"/>
    <n v="5681.3960557341934"/>
    <n v="2717"/>
    <s v="High"/>
  </r>
  <r>
    <s v="ORD0631"/>
    <x v="64"/>
    <x v="57"/>
    <x v="1"/>
    <x v="0"/>
    <x v="4"/>
    <x v="3"/>
    <x v="2"/>
    <n v="4"/>
    <n v="4512"/>
    <n v="14"/>
    <n v="15521.28"/>
    <n v="5285220.5200000023"/>
    <n v="5670.8374678111613"/>
    <n v="2713"/>
    <s v="High"/>
  </r>
  <r>
    <s v="ORD0391"/>
    <x v="65"/>
    <x v="58"/>
    <x v="4"/>
    <x v="3"/>
    <x v="2"/>
    <x v="1"/>
    <x v="2"/>
    <n v="4"/>
    <n v="3949"/>
    <n v="2"/>
    <n v="15480.08"/>
    <n v="5269699.2400000021"/>
    <n v="5660.2569709989284"/>
    <n v="2709"/>
    <s v="High"/>
  </r>
  <r>
    <s v="ORD0096"/>
    <x v="66"/>
    <x v="59"/>
    <x v="0"/>
    <x v="1"/>
    <x v="4"/>
    <x v="2"/>
    <x v="1"/>
    <n v="5"/>
    <n v="4233"/>
    <n v="27"/>
    <n v="15450.45"/>
    <n v="5254219.1600000011"/>
    <n v="5649.6980215053773"/>
    <n v="2705"/>
    <s v="High"/>
  </r>
  <r>
    <s v="ORD0309"/>
    <x v="65"/>
    <x v="60"/>
    <x v="0"/>
    <x v="2"/>
    <x v="3"/>
    <x v="2"/>
    <x v="3"/>
    <n v="5"/>
    <n v="3464"/>
    <n v="11"/>
    <n v="15414.8"/>
    <n v="5238768.7100000018"/>
    <n v="5639.1482346609273"/>
    <n v="2700"/>
    <s v="High"/>
  </r>
  <r>
    <s v="ORD0941"/>
    <x v="67"/>
    <x v="61"/>
    <x v="3"/>
    <x v="2"/>
    <x v="2"/>
    <x v="2"/>
    <x v="0"/>
    <n v="4"/>
    <n v="4047"/>
    <n v="5"/>
    <n v="15378.6"/>
    <n v="5223353.9100000011"/>
    <n v="5628.6141271551733"/>
    <n v="2695"/>
    <s v="High"/>
  </r>
  <r>
    <s v="ORD0998"/>
    <x v="68"/>
    <x v="62"/>
    <x v="3"/>
    <x v="6"/>
    <x v="2"/>
    <x v="3"/>
    <x v="0"/>
    <n v="4"/>
    <n v="4680"/>
    <n v="18"/>
    <n v="15350.4"/>
    <n v="5207975.3100000024"/>
    <n v="5618.0963430420734"/>
    <n v="2691"/>
    <s v="High"/>
  </r>
  <r>
    <s v="ORD0545"/>
    <x v="69"/>
    <x v="63"/>
    <x v="1"/>
    <x v="1"/>
    <x v="4"/>
    <x v="0"/>
    <x v="3"/>
    <n v="4"/>
    <n v="3953"/>
    <n v="3"/>
    <n v="15337.64"/>
    <n v="5192624.9100000011"/>
    <n v="5607.5862958963298"/>
    <n v="2687"/>
    <s v="High"/>
  </r>
  <r>
    <s v="ORD0601"/>
    <x v="11"/>
    <x v="64"/>
    <x v="0"/>
    <x v="6"/>
    <x v="1"/>
    <x v="4"/>
    <x v="1"/>
    <n v="4"/>
    <n v="4722"/>
    <n v="19"/>
    <n v="15299.28"/>
    <n v="5177287.2700000014"/>
    <n v="5597.0673189189201"/>
    <n v="2683"/>
    <s v="High"/>
  </r>
  <r>
    <s v="ORD0365"/>
    <x v="70"/>
    <x v="65"/>
    <x v="2"/>
    <x v="6"/>
    <x v="3"/>
    <x v="2"/>
    <x v="0"/>
    <n v="5"/>
    <n v="3043"/>
    <n v="0"/>
    <n v="15215"/>
    <n v="5161987.9900000021"/>
    <n v="5586.5670887445913"/>
    <n v="2679"/>
    <s v="High"/>
  </r>
  <r>
    <s v="ORD0166"/>
    <x v="71"/>
    <x v="66"/>
    <x v="1"/>
    <x v="6"/>
    <x v="4"/>
    <x v="3"/>
    <x v="0"/>
    <n v="5"/>
    <n v="3233"/>
    <n v="6"/>
    <n v="15195.1"/>
    <n v="5146772.9900000021"/>
    <n v="5576.1354171180956"/>
    <n v="2674"/>
    <s v="High"/>
  </r>
  <r>
    <s v="ORD0369"/>
    <x v="72"/>
    <x v="67"/>
    <x v="4"/>
    <x v="0"/>
    <x v="0"/>
    <x v="0"/>
    <x v="3"/>
    <n v="4"/>
    <n v="4648"/>
    <n v="19"/>
    <n v="15059.52"/>
    <n v="5131577.8900000025"/>
    <n v="5565.7027006507615"/>
    <n v="2669"/>
    <s v="High"/>
  </r>
  <r>
    <s v="ORD0204"/>
    <x v="73"/>
    <x v="68"/>
    <x v="2"/>
    <x v="2"/>
    <x v="2"/>
    <x v="3"/>
    <x v="3"/>
    <n v="4"/>
    <n v="3743"/>
    <n v="0"/>
    <n v="14972"/>
    <n v="5116518.370000002"/>
    <n v="5555.3945385450616"/>
    <n v="2665"/>
    <s v="High"/>
  </r>
  <r>
    <s v="ORD0298"/>
    <x v="74"/>
    <x v="69"/>
    <x v="3"/>
    <x v="5"/>
    <x v="1"/>
    <x v="3"/>
    <x v="2"/>
    <n v="4"/>
    <n v="4020"/>
    <n v="7"/>
    <n v="14954.4"/>
    <n v="5101546.370000002"/>
    <n v="5545.1590978260892"/>
    <n v="2661"/>
    <s v="High"/>
  </r>
  <r>
    <s v="ORD0342"/>
    <x v="75"/>
    <x v="65"/>
    <x v="2"/>
    <x v="5"/>
    <x v="3"/>
    <x v="2"/>
    <x v="3"/>
    <n v="4"/>
    <n v="4236"/>
    <n v="12"/>
    <n v="14910.72"/>
    <n v="5086591.9700000025"/>
    <n v="5534.9205331882513"/>
    <n v="2657"/>
    <s v="High"/>
  </r>
  <r>
    <s v="ORD0195"/>
    <x v="76"/>
    <x v="36"/>
    <x v="2"/>
    <x v="3"/>
    <x v="2"/>
    <x v="1"/>
    <x v="1"/>
    <n v="4"/>
    <n v="4643"/>
    <n v="20"/>
    <n v="14857.6"/>
    <n v="5071681.2500000028"/>
    <n v="5524.7072440087177"/>
    <n v="2653"/>
    <s v="High"/>
  </r>
  <r>
    <s v="ORD0918"/>
    <x v="77"/>
    <x v="0"/>
    <x v="0"/>
    <x v="4"/>
    <x v="0"/>
    <x v="2"/>
    <x v="3"/>
    <n v="5"/>
    <n v="3955"/>
    <n v="25"/>
    <n v="14831.25"/>
    <n v="5056823.6500000022"/>
    <n v="5514.5296074154876"/>
    <n v="2649"/>
    <s v="High"/>
  </r>
  <r>
    <s v="ORD0577"/>
    <x v="78"/>
    <x v="45"/>
    <x v="4"/>
    <x v="0"/>
    <x v="1"/>
    <x v="1"/>
    <x v="3"/>
    <n v="5"/>
    <n v="3847"/>
    <n v="23"/>
    <n v="14810.95"/>
    <n v="5041992.4000000004"/>
    <n v="5504.3585152838432"/>
    <n v="2644"/>
    <s v="High"/>
  </r>
  <r>
    <s v="ORD0952"/>
    <x v="79"/>
    <x v="70"/>
    <x v="2"/>
    <x v="5"/>
    <x v="1"/>
    <x v="1"/>
    <x v="1"/>
    <n v="4"/>
    <n v="4399"/>
    <n v="16"/>
    <n v="14780.64"/>
    <n v="5027181.45"/>
    <n v="5494.1873770491802"/>
    <n v="2639"/>
    <s v="High"/>
  </r>
  <r>
    <s v="ORD0594"/>
    <x v="80"/>
    <x v="71"/>
    <x v="0"/>
    <x v="0"/>
    <x v="0"/>
    <x v="0"/>
    <x v="3"/>
    <n v="5"/>
    <n v="3936"/>
    <n v="25"/>
    <n v="14760"/>
    <n v="5012400.8100000005"/>
    <n v="5484.0271444201317"/>
    <n v="2635"/>
    <s v="High"/>
  </r>
  <r>
    <s v="ORD0377"/>
    <x v="81"/>
    <x v="36"/>
    <x v="1"/>
    <x v="3"/>
    <x v="0"/>
    <x v="4"/>
    <x v="1"/>
    <n v="5"/>
    <n v="3783"/>
    <n v="22"/>
    <n v="14753.7"/>
    <n v="4997640.8099999996"/>
    <n v="5473.8672617743696"/>
    <n v="2630"/>
    <s v="High"/>
  </r>
  <r>
    <s v="ORD0616"/>
    <x v="82"/>
    <x v="72"/>
    <x v="0"/>
    <x v="6"/>
    <x v="3"/>
    <x v="3"/>
    <x v="2"/>
    <n v="4"/>
    <n v="3749"/>
    <n v="2"/>
    <n v="14696.08"/>
    <n v="4982887.1100000003"/>
    <n v="5463.6920065789482"/>
    <n v="2625"/>
    <s v="High"/>
  </r>
  <r>
    <s v="ORD0449"/>
    <x v="35"/>
    <x v="73"/>
    <x v="4"/>
    <x v="4"/>
    <x v="4"/>
    <x v="0"/>
    <x v="0"/>
    <n v="4"/>
    <n v="4230"/>
    <n v="14"/>
    <n v="14551.2"/>
    <n v="4968191.03"/>
    <n v="5453.5576619099893"/>
    <n v="2621"/>
    <s v="High"/>
  </r>
  <r>
    <s v="ORD0614"/>
    <x v="83"/>
    <x v="74"/>
    <x v="3"/>
    <x v="5"/>
    <x v="1"/>
    <x v="4"/>
    <x v="2"/>
    <n v="5"/>
    <n v="3911"/>
    <n v="26"/>
    <n v="14470.7"/>
    <n v="4953639.83"/>
    <n v="5443.5602527472529"/>
    <n v="2617"/>
    <s v="High"/>
  </r>
  <r>
    <s v="ORD0423"/>
    <x v="84"/>
    <x v="52"/>
    <x v="3"/>
    <x v="5"/>
    <x v="3"/>
    <x v="4"/>
    <x v="3"/>
    <n v="5"/>
    <n v="4006"/>
    <n v="28"/>
    <n v="14421.6"/>
    <n v="4939169.1300000018"/>
    <n v="5433.6294059405964"/>
    <n v="2612"/>
    <s v="High"/>
  </r>
  <r>
    <s v="ORD0042"/>
    <x v="85"/>
    <x v="75"/>
    <x v="2"/>
    <x v="4"/>
    <x v="2"/>
    <x v="2"/>
    <x v="0"/>
    <n v="5"/>
    <n v="3092"/>
    <n v="7"/>
    <n v="14377.8"/>
    <n v="4924747.5300000021"/>
    <n v="5423.7307599118967"/>
    <n v="2607"/>
    <s v="High"/>
  </r>
  <r>
    <s v="ORD0559"/>
    <x v="86"/>
    <x v="35"/>
    <x v="3"/>
    <x v="3"/>
    <x v="4"/>
    <x v="4"/>
    <x v="3"/>
    <n v="5"/>
    <n v="3587"/>
    <n v="20"/>
    <n v="14348"/>
    <n v="4910369.7300000023"/>
    <n v="5413.858577728779"/>
    <n v="2602"/>
    <s v="High"/>
  </r>
  <r>
    <s v="ORD0709"/>
    <x v="87"/>
    <x v="25"/>
    <x v="4"/>
    <x v="3"/>
    <x v="4"/>
    <x v="3"/>
    <x v="2"/>
    <n v="4"/>
    <n v="3840"/>
    <n v="7"/>
    <n v="14284.8"/>
    <n v="4896021.7300000014"/>
    <n v="5403.9974944812375"/>
    <n v="2597"/>
    <s v="High"/>
  </r>
  <r>
    <s v="ORD0333"/>
    <x v="31"/>
    <x v="76"/>
    <x v="0"/>
    <x v="1"/>
    <x v="1"/>
    <x v="2"/>
    <x v="0"/>
    <n v="5"/>
    <n v="4018"/>
    <n v="29"/>
    <n v="14263.9"/>
    <n v="4881736.9300000006"/>
    <n v="5394.1844530386743"/>
    <n v="2593"/>
    <s v="High"/>
  </r>
  <r>
    <s v="ORD0708"/>
    <x v="88"/>
    <x v="77"/>
    <x v="1"/>
    <x v="2"/>
    <x v="3"/>
    <x v="2"/>
    <x v="2"/>
    <n v="5"/>
    <n v="3971"/>
    <n v="29"/>
    <n v="14097.05"/>
    <n v="4867473.03"/>
    <n v="5384.3728207964605"/>
    <n v="2588"/>
    <s v="High"/>
  </r>
  <r>
    <s v="ORD0807"/>
    <x v="89"/>
    <x v="78"/>
    <x v="4"/>
    <x v="5"/>
    <x v="3"/>
    <x v="1"/>
    <x v="2"/>
    <n v="4"/>
    <n v="3595"/>
    <n v="2"/>
    <n v="14092.4"/>
    <n v="4853375.9800000004"/>
    <n v="5374.7242303433004"/>
    <n v="2583"/>
    <s v="High"/>
  </r>
  <r>
    <s v="ORD0747"/>
    <x v="83"/>
    <x v="79"/>
    <x v="3"/>
    <x v="6"/>
    <x v="3"/>
    <x v="1"/>
    <x v="0"/>
    <n v="4"/>
    <n v="4416"/>
    <n v="21"/>
    <n v="13954.56"/>
    <n v="4839283.58"/>
    <n v="5365.0594013303771"/>
    <n v="2579"/>
    <s v="High"/>
  </r>
  <r>
    <s v="ORD0452"/>
    <x v="90"/>
    <x v="80"/>
    <x v="1"/>
    <x v="4"/>
    <x v="0"/>
    <x v="4"/>
    <x v="2"/>
    <n v="4"/>
    <n v="4289"/>
    <n v="19"/>
    <n v="13896.36"/>
    <n v="4825329.0200000005"/>
    <n v="5355.5261043285245"/>
    <n v="2575"/>
    <s v="High"/>
  </r>
  <r>
    <s v="ORD0823"/>
    <x v="91"/>
    <x v="81"/>
    <x v="3"/>
    <x v="4"/>
    <x v="1"/>
    <x v="3"/>
    <x v="2"/>
    <n v="5"/>
    <n v="3386"/>
    <n v="18"/>
    <n v="13882.6"/>
    <n v="4811432.6600000011"/>
    <n v="5346.0362888888903"/>
    <n v="2571"/>
    <s v="High"/>
  </r>
  <r>
    <s v="ORD0569"/>
    <x v="92"/>
    <x v="50"/>
    <x v="4"/>
    <x v="2"/>
    <x v="4"/>
    <x v="4"/>
    <x v="0"/>
    <n v="5"/>
    <n v="3701"/>
    <n v="25"/>
    <n v="13878.75"/>
    <n v="4797550.0600000015"/>
    <n v="5336.5406674082333"/>
    <n v="2566"/>
    <s v="High"/>
  </r>
  <r>
    <s v="ORD0967"/>
    <x v="45"/>
    <x v="53"/>
    <x v="1"/>
    <x v="2"/>
    <x v="2"/>
    <x v="1"/>
    <x v="1"/>
    <n v="4"/>
    <n v="4948"/>
    <n v="30"/>
    <n v="13854.4"/>
    <n v="4783671.3100000015"/>
    <n v="5327.0281848552358"/>
    <n v="2561"/>
    <s v="High"/>
  </r>
  <r>
    <s v="ORD0540"/>
    <x v="93"/>
    <x v="9"/>
    <x v="3"/>
    <x v="2"/>
    <x v="2"/>
    <x v="4"/>
    <x v="0"/>
    <n v="5"/>
    <n v="3412"/>
    <n v="19"/>
    <n v="13818.6"/>
    <n v="4769816.9100000011"/>
    <n v="5317.5216387959881"/>
    <n v="2557"/>
    <s v="High"/>
  </r>
  <r>
    <s v="ORD0231"/>
    <x v="10"/>
    <x v="82"/>
    <x v="0"/>
    <x v="4"/>
    <x v="4"/>
    <x v="4"/>
    <x v="0"/>
    <n v="5"/>
    <n v="3677"/>
    <n v="25"/>
    <n v="13788.75"/>
    <n v="4755998.3100000024"/>
    <n v="5308.0338281250024"/>
    <n v="2552"/>
    <s v="High"/>
  </r>
  <r>
    <s v="ORD0489"/>
    <x v="94"/>
    <x v="83"/>
    <x v="0"/>
    <x v="6"/>
    <x v="0"/>
    <x v="2"/>
    <x v="2"/>
    <n v="3"/>
    <n v="4681"/>
    <n v="2"/>
    <n v="13762.14"/>
    <n v="4742209.5600000015"/>
    <n v="5298.5581675977674"/>
    <n v="2547"/>
    <s v="High"/>
  </r>
  <r>
    <s v="ORD0585"/>
    <x v="95"/>
    <x v="84"/>
    <x v="2"/>
    <x v="5"/>
    <x v="4"/>
    <x v="2"/>
    <x v="0"/>
    <n v="4"/>
    <n v="4839"/>
    <n v="29"/>
    <n v="13742.76"/>
    <n v="4728447.42"/>
    <n v="5289.0910738255034"/>
    <n v="2544"/>
    <s v="High"/>
  </r>
  <r>
    <s v="ORD0383"/>
    <x v="62"/>
    <x v="85"/>
    <x v="4"/>
    <x v="6"/>
    <x v="3"/>
    <x v="2"/>
    <x v="2"/>
    <n v="3"/>
    <n v="4766"/>
    <n v="4"/>
    <n v="13726.08"/>
    <n v="4714704.6599999992"/>
    <n v="5279.624479283314"/>
    <n v="2540"/>
    <s v="High"/>
  </r>
  <r>
    <s v="ORD0002"/>
    <x v="96"/>
    <x v="78"/>
    <x v="0"/>
    <x v="6"/>
    <x v="0"/>
    <x v="4"/>
    <x v="0"/>
    <n v="4"/>
    <n v="4131"/>
    <n v="17"/>
    <n v="13714.92"/>
    <n v="4700978.5799999991"/>
    <n v="5270.1553587443941"/>
    <n v="2537"/>
    <s v="High"/>
  </r>
  <r>
    <s v="ORD0667"/>
    <x v="97"/>
    <x v="86"/>
    <x v="4"/>
    <x v="6"/>
    <x v="1"/>
    <x v="4"/>
    <x v="2"/>
    <n v="5"/>
    <n v="3597"/>
    <n v="24"/>
    <n v="13668.6"/>
    <n v="4687263.66"/>
    <n v="5260.6775084175088"/>
    <n v="2533"/>
    <s v="High"/>
  </r>
  <r>
    <s v="ORD0603"/>
    <x v="98"/>
    <x v="87"/>
    <x v="2"/>
    <x v="2"/>
    <x v="1"/>
    <x v="0"/>
    <x v="0"/>
    <n v="4"/>
    <n v="3477"/>
    <n v="3"/>
    <n v="13490.76"/>
    <n v="4673595.0599999996"/>
    <n v="5251.2304044943812"/>
    <n v="2528"/>
    <s v="High"/>
  </r>
  <r>
    <s v="ORD0526"/>
    <x v="99"/>
    <x v="88"/>
    <x v="4"/>
    <x v="6"/>
    <x v="4"/>
    <x v="3"/>
    <x v="1"/>
    <n v="5"/>
    <n v="3365"/>
    <n v="20"/>
    <n v="13460"/>
    <n v="4660104.3"/>
    <n v="5241.9620922384702"/>
    <n v="2524"/>
    <s v="High"/>
  </r>
  <r>
    <s v="ORD0384"/>
    <x v="21"/>
    <x v="89"/>
    <x v="1"/>
    <x v="4"/>
    <x v="0"/>
    <x v="2"/>
    <x v="2"/>
    <n v="5"/>
    <n v="3682"/>
    <n v="27"/>
    <n v="13439.3"/>
    <n v="4646644.3"/>
    <n v="5232.7075450450448"/>
    <n v="2519"/>
    <s v="High"/>
  </r>
  <r>
    <s v="ORD0571"/>
    <x v="100"/>
    <x v="67"/>
    <x v="1"/>
    <x v="5"/>
    <x v="1"/>
    <x v="2"/>
    <x v="0"/>
    <n v="4"/>
    <n v="3733"/>
    <n v="10"/>
    <n v="13438.8"/>
    <n v="4633205"/>
    <n v="5223.455467869222"/>
    <n v="2514"/>
    <s v="High"/>
  </r>
  <r>
    <s v="ORD0623"/>
    <x v="101"/>
    <x v="90"/>
    <x v="1"/>
    <x v="5"/>
    <x v="1"/>
    <x v="0"/>
    <x v="1"/>
    <n v="4"/>
    <n v="3860"/>
    <n v="13"/>
    <n v="13432.8"/>
    <n v="4619766.2"/>
    <n v="5214.1830699774273"/>
    <n v="2510"/>
    <s v="High"/>
  </r>
  <r>
    <s v="ORD0031"/>
    <x v="102"/>
    <x v="91"/>
    <x v="1"/>
    <x v="4"/>
    <x v="3"/>
    <x v="0"/>
    <x v="3"/>
    <n v="4"/>
    <n v="4358"/>
    <n v="23"/>
    <n v="13422.64"/>
    <n v="4606333.4000000022"/>
    <n v="5204.8964971751438"/>
    <n v="2506"/>
    <s v="High"/>
  </r>
  <r>
    <s v="ORD0869"/>
    <x v="60"/>
    <x v="92"/>
    <x v="2"/>
    <x v="1"/>
    <x v="3"/>
    <x v="0"/>
    <x v="2"/>
    <n v="4"/>
    <n v="3993"/>
    <n v="16"/>
    <n v="13416.48"/>
    <n v="4592910.7600000016"/>
    <n v="5195.6004072398209"/>
    <n v="2502"/>
    <s v="High"/>
  </r>
  <r>
    <s v="ORD0234"/>
    <x v="1"/>
    <x v="93"/>
    <x v="3"/>
    <x v="1"/>
    <x v="4"/>
    <x v="2"/>
    <x v="0"/>
    <n v="4"/>
    <n v="4288"/>
    <n v="22"/>
    <n v="13378.56"/>
    <n v="4579494.2800000021"/>
    <n v="5186.2902378255967"/>
    <n v="2498"/>
    <s v="High"/>
  </r>
  <r>
    <s v="ORD0575"/>
    <x v="103"/>
    <x v="94"/>
    <x v="3"/>
    <x v="5"/>
    <x v="1"/>
    <x v="1"/>
    <x v="3"/>
    <n v="5"/>
    <n v="3427"/>
    <n v="22"/>
    <n v="13365.3"/>
    <n v="4566115.7200000016"/>
    <n v="5177.0019501133802"/>
    <n v="2494"/>
    <s v="High"/>
  </r>
  <r>
    <s v="ORD0877"/>
    <x v="31"/>
    <x v="95"/>
    <x v="3"/>
    <x v="6"/>
    <x v="2"/>
    <x v="3"/>
    <x v="1"/>
    <n v="4"/>
    <n v="3839"/>
    <n v="13"/>
    <n v="13359.72"/>
    <n v="4552750.4200000009"/>
    <n v="5167.7076276958014"/>
    <n v="2489"/>
    <s v="High"/>
  </r>
  <r>
    <s v="ORD0925"/>
    <x v="98"/>
    <x v="28"/>
    <x v="1"/>
    <x v="4"/>
    <x v="4"/>
    <x v="0"/>
    <x v="0"/>
    <n v="4"/>
    <n v="4314"/>
    <n v="23"/>
    <n v="13287.12"/>
    <n v="4539390.7000000011"/>
    <n v="5158.3985227272742"/>
    <n v="2485"/>
    <s v="High"/>
  </r>
  <r>
    <s v="ORD0006"/>
    <x v="49"/>
    <x v="96"/>
    <x v="1"/>
    <x v="5"/>
    <x v="0"/>
    <x v="1"/>
    <x v="1"/>
    <n v="4"/>
    <n v="3862"/>
    <n v="14"/>
    <n v="13285.28"/>
    <n v="4526103.580000001"/>
    <n v="5149.1508304891931"/>
    <n v="2481"/>
    <s v="High"/>
  </r>
  <r>
    <s v="ORD0885"/>
    <x v="104"/>
    <x v="33"/>
    <x v="0"/>
    <x v="4"/>
    <x v="0"/>
    <x v="0"/>
    <x v="0"/>
    <n v="5"/>
    <n v="3280"/>
    <n v="19"/>
    <n v="13284"/>
    <n v="4512818.3000000007"/>
    <n v="5139.8841685649213"/>
    <n v="2477"/>
    <s v="High"/>
  </r>
  <r>
    <s v="ORD0590"/>
    <x v="20"/>
    <x v="40"/>
    <x v="4"/>
    <x v="1"/>
    <x v="0"/>
    <x v="4"/>
    <x v="2"/>
    <n v="3"/>
    <n v="4418"/>
    <n v="0"/>
    <n v="13254"/>
    <n v="4499534.3000000017"/>
    <n v="5130.5978335233767"/>
    <n v="2472"/>
    <s v="High"/>
  </r>
  <r>
    <s v="ORD0821"/>
    <x v="105"/>
    <x v="70"/>
    <x v="4"/>
    <x v="2"/>
    <x v="1"/>
    <x v="2"/>
    <x v="0"/>
    <n v="4"/>
    <n v="3474"/>
    <n v="5"/>
    <n v="13201.2"/>
    <n v="4486280.3000000026"/>
    <n v="5121.324543378998"/>
    <n v="2469"/>
    <s v="High"/>
  </r>
  <r>
    <s v="ORD0283"/>
    <x v="106"/>
    <x v="97"/>
    <x v="1"/>
    <x v="6"/>
    <x v="3"/>
    <x v="1"/>
    <x v="2"/>
    <n v="4"/>
    <n v="4115"/>
    <n v="20"/>
    <n v="13168"/>
    <n v="4473079.1000000024"/>
    <n v="5112.0904000000028"/>
    <n v="2465"/>
    <s v="High"/>
  </r>
  <r>
    <s v="ORD0321"/>
    <x v="107"/>
    <x v="65"/>
    <x v="3"/>
    <x v="5"/>
    <x v="2"/>
    <x v="0"/>
    <x v="2"/>
    <n v="3"/>
    <n v="4383"/>
    <n v="0"/>
    <n v="13149"/>
    <n v="4459911.1000000015"/>
    <n v="5102.873112128148"/>
    <n v="2461"/>
    <s v="High"/>
  </r>
  <r>
    <s v="ORD0427"/>
    <x v="108"/>
    <x v="98"/>
    <x v="4"/>
    <x v="6"/>
    <x v="3"/>
    <x v="4"/>
    <x v="1"/>
    <n v="4"/>
    <n v="4675"/>
    <n v="30"/>
    <n v="13090"/>
    <n v="4446762.1000000006"/>
    <n v="5093.6564719358539"/>
    <n v="2458"/>
    <s v="High"/>
  </r>
  <r>
    <s v="ORD0474"/>
    <x v="109"/>
    <x v="99"/>
    <x v="4"/>
    <x v="6"/>
    <x v="2"/>
    <x v="3"/>
    <x v="1"/>
    <n v="3"/>
    <n v="4845"/>
    <n v="10"/>
    <n v="13081.5"/>
    <n v="4433672.1000000006"/>
    <n v="5084.4863532110094"/>
    <n v="2454"/>
    <s v="High"/>
  </r>
  <r>
    <s v="ORD0048"/>
    <x v="59"/>
    <x v="100"/>
    <x v="1"/>
    <x v="2"/>
    <x v="0"/>
    <x v="2"/>
    <x v="1"/>
    <n v="5"/>
    <n v="3392"/>
    <n v="23"/>
    <n v="13059.2"/>
    <n v="4420590.5999999996"/>
    <n v="5075.3049368541906"/>
    <n v="2451"/>
    <s v="High"/>
  </r>
  <r>
    <s v="ORD0847"/>
    <x v="110"/>
    <x v="101"/>
    <x v="0"/>
    <x v="5"/>
    <x v="4"/>
    <x v="1"/>
    <x v="1"/>
    <n v="4"/>
    <n v="3428"/>
    <n v="5"/>
    <n v="13026.4"/>
    <n v="4407531.3999999985"/>
    <n v="5066.1280459770096"/>
    <n v="2446"/>
    <s v="High"/>
  </r>
  <r>
    <s v="ORD0281"/>
    <x v="98"/>
    <x v="102"/>
    <x v="1"/>
    <x v="0"/>
    <x v="3"/>
    <x v="0"/>
    <x v="2"/>
    <n v="5"/>
    <n v="2712"/>
    <n v="4"/>
    <n v="13017.6"/>
    <n v="4394504.9999999991"/>
    <n v="5056.9677790563856"/>
    <n v="2442"/>
    <s v="High"/>
  </r>
  <r>
    <s v="ORD0412"/>
    <x v="9"/>
    <x v="103"/>
    <x v="1"/>
    <x v="1"/>
    <x v="4"/>
    <x v="3"/>
    <x v="1"/>
    <n v="5"/>
    <n v="2950"/>
    <n v="12"/>
    <n v="12980"/>
    <n v="4381487.4000000004"/>
    <n v="5047.7965437788025"/>
    <n v="2437"/>
    <s v="High"/>
  </r>
  <r>
    <s v="ORD0003"/>
    <x v="71"/>
    <x v="75"/>
    <x v="3"/>
    <x v="1"/>
    <x v="3"/>
    <x v="3"/>
    <x v="3"/>
    <n v="5"/>
    <n v="2621"/>
    <n v="1"/>
    <n v="12973.95"/>
    <n v="4368507.4000000013"/>
    <n v="5038.647520184546"/>
    <n v="2432"/>
    <s v="High"/>
  </r>
  <r>
    <s v="ORD0809"/>
    <x v="111"/>
    <x v="104"/>
    <x v="2"/>
    <x v="0"/>
    <x v="3"/>
    <x v="0"/>
    <x v="2"/>
    <n v="5"/>
    <n v="3277"/>
    <n v="21"/>
    <n v="12944.15"/>
    <n v="4355533.450000002"/>
    <n v="5029.4843533487319"/>
    <n v="2427"/>
    <s v="High"/>
  </r>
  <r>
    <s v="ORD0476"/>
    <x v="36"/>
    <x v="105"/>
    <x v="3"/>
    <x v="2"/>
    <x v="3"/>
    <x v="0"/>
    <x v="2"/>
    <n v="5"/>
    <n v="2869"/>
    <n v="10"/>
    <n v="12910.5"/>
    <n v="4342589.3000000017"/>
    <n v="5020.3344508670543"/>
    <n v="2422"/>
    <s v="High"/>
  </r>
  <r>
    <s v="ORD0242"/>
    <x v="112"/>
    <x v="86"/>
    <x v="1"/>
    <x v="3"/>
    <x v="4"/>
    <x v="2"/>
    <x v="0"/>
    <n v="3"/>
    <n v="4741"/>
    <n v="10"/>
    <n v="12800.7"/>
    <n v="4329678.8000000007"/>
    <n v="5011.2023148148155"/>
    <n v="2417"/>
    <s v="High"/>
  </r>
  <r>
    <s v="ORD0273"/>
    <x v="113"/>
    <x v="37"/>
    <x v="2"/>
    <x v="4"/>
    <x v="4"/>
    <x v="0"/>
    <x v="1"/>
    <n v="3"/>
    <n v="4331"/>
    <n v="2"/>
    <n v="12733.14"/>
    <n v="4316878.1000000006"/>
    <n v="5002.176245654694"/>
    <n v="2414"/>
    <s v="High"/>
  </r>
  <r>
    <s v="ORD0382"/>
    <x v="114"/>
    <x v="106"/>
    <x v="3"/>
    <x v="6"/>
    <x v="0"/>
    <x v="1"/>
    <x v="2"/>
    <n v="4"/>
    <n v="3654"/>
    <n v="13"/>
    <n v="12715.92"/>
    <n v="4304144.9600000009"/>
    <n v="4993.2076102088176"/>
    <n v="2411"/>
    <s v="High"/>
  </r>
  <r>
    <s v="ORD0339"/>
    <x v="115"/>
    <x v="107"/>
    <x v="2"/>
    <x v="3"/>
    <x v="4"/>
    <x v="3"/>
    <x v="2"/>
    <n v="4"/>
    <n v="4237"/>
    <n v="25"/>
    <n v="12711"/>
    <n v="4291429.0400000019"/>
    <n v="4984.2381416957051"/>
    <n v="2407"/>
    <s v="High"/>
  </r>
  <r>
    <s v="ORD0045"/>
    <x v="18"/>
    <x v="108"/>
    <x v="3"/>
    <x v="0"/>
    <x v="3"/>
    <x v="0"/>
    <x v="3"/>
    <n v="3"/>
    <n v="4862"/>
    <n v="13"/>
    <n v="12689.82"/>
    <n v="4278718.040000001"/>
    <n v="4975.2535348837218"/>
    <n v="2403"/>
    <s v="High"/>
  </r>
  <r>
    <s v="ORD0948"/>
    <x v="116"/>
    <x v="109"/>
    <x v="0"/>
    <x v="3"/>
    <x v="3"/>
    <x v="0"/>
    <x v="0"/>
    <n v="4"/>
    <n v="3505"/>
    <n v="10"/>
    <n v="12618"/>
    <n v="4266028.2200000016"/>
    <n v="4966.2726658905722"/>
    <n v="2400"/>
    <s v="High"/>
  </r>
  <r>
    <s v="ORD0477"/>
    <x v="117"/>
    <x v="110"/>
    <x v="2"/>
    <x v="6"/>
    <x v="3"/>
    <x v="3"/>
    <x v="2"/>
    <n v="5"/>
    <n v="2709"/>
    <n v="7"/>
    <n v="12596.85"/>
    <n v="4253410.2200000016"/>
    <n v="4957.354568764571"/>
    <n v="2396"/>
    <s v="High"/>
  </r>
  <r>
    <s v="ORD0104"/>
    <x v="114"/>
    <x v="30"/>
    <x v="2"/>
    <x v="6"/>
    <x v="1"/>
    <x v="3"/>
    <x v="0"/>
    <n v="5"/>
    <n v="2796"/>
    <n v="10"/>
    <n v="12582"/>
    <n v="4240813.370000002"/>
    <n v="4948.4403383897343"/>
    <n v="2391"/>
    <s v="High"/>
  </r>
  <r>
    <s v="ORD0021"/>
    <x v="118"/>
    <x v="111"/>
    <x v="1"/>
    <x v="0"/>
    <x v="3"/>
    <x v="4"/>
    <x v="1"/>
    <n v="3"/>
    <n v="4401"/>
    <n v="5"/>
    <n v="12542.85"/>
    <n v="4228231.370000002"/>
    <n v="4939.5226285046756"/>
    <n v="2386"/>
    <s v="High"/>
  </r>
  <r>
    <s v="ORD0643"/>
    <x v="119"/>
    <x v="112"/>
    <x v="3"/>
    <x v="0"/>
    <x v="3"/>
    <x v="3"/>
    <x v="3"/>
    <n v="4"/>
    <n v="3482"/>
    <n v="10"/>
    <n v="12535.2"/>
    <n v="4215688.5200000005"/>
    <n v="4930.629847953217"/>
    <n v="2383"/>
    <s v="High"/>
  </r>
  <r>
    <s v="ORD0936"/>
    <x v="120"/>
    <x v="31"/>
    <x v="1"/>
    <x v="6"/>
    <x v="2"/>
    <x v="0"/>
    <x v="2"/>
    <n v="4"/>
    <n v="3917"/>
    <n v="20"/>
    <n v="12534.4"/>
    <n v="4203153.32"/>
    <n v="4921.7251990632321"/>
    <n v="2379"/>
    <s v="High"/>
  </r>
  <r>
    <s v="ORD0260"/>
    <x v="121"/>
    <x v="24"/>
    <x v="1"/>
    <x v="3"/>
    <x v="3"/>
    <x v="1"/>
    <x v="0"/>
    <n v="5"/>
    <n v="3085"/>
    <n v="19"/>
    <n v="12494.25"/>
    <n v="4190618.9200000009"/>
    <n v="4912.8006096131312"/>
    <n v="2375"/>
    <s v="High"/>
  </r>
  <r>
    <s v="ORD0598"/>
    <x v="122"/>
    <x v="113"/>
    <x v="0"/>
    <x v="6"/>
    <x v="3"/>
    <x v="3"/>
    <x v="3"/>
    <n v="3"/>
    <n v="4297"/>
    <n v="4"/>
    <n v="12375.36"/>
    <n v="4178124.6700000004"/>
    <n v="4903.9021948356813"/>
    <n v="2370"/>
    <s v="High"/>
  </r>
  <r>
    <s v="ORD0921"/>
    <x v="123"/>
    <x v="91"/>
    <x v="3"/>
    <x v="2"/>
    <x v="2"/>
    <x v="0"/>
    <x v="2"/>
    <n v="3"/>
    <n v="4259"/>
    <n v="4"/>
    <n v="12265.92"/>
    <n v="4165749.31"/>
    <n v="4895.1225734430082"/>
    <n v="2367"/>
    <s v="High"/>
  </r>
  <r>
    <s v="ORD0726"/>
    <x v="124"/>
    <x v="114"/>
    <x v="1"/>
    <x v="5"/>
    <x v="0"/>
    <x v="4"/>
    <x v="3"/>
    <n v="3"/>
    <n v="4798"/>
    <n v="15"/>
    <n v="12234.9"/>
    <n v="4153483.39"/>
    <n v="4886.4510470588239"/>
    <n v="2364"/>
    <s v="High"/>
  </r>
  <r>
    <s v="ORD0848"/>
    <x v="125"/>
    <x v="115"/>
    <x v="1"/>
    <x v="4"/>
    <x v="0"/>
    <x v="4"/>
    <x v="3"/>
    <n v="3"/>
    <n v="4432"/>
    <n v="8"/>
    <n v="12232.32"/>
    <n v="4141248.4899999998"/>
    <n v="4877.7956301531212"/>
    <n v="2361"/>
    <s v="High"/>
  </r>
  <r>
    <s v="ORD0217"/>
    <x v="126"/>
    <x v="116"/>
    <x v="1"/>
    <x v="1"/>
    <x v="0"/>
    <x v="4"/>
    <x v="2"/>
    <n v="4"/>
    <n v="3596"/>
    <n v="15"/>
    <n v="12226.4"/>
    <n v="4129016.17"/>
    <n v="4869.1228419811323"/>
    <n v="2358"/>
    <s v="High"/>
  </r>
  <r>
    <s v="ORD0509"/>
    <x v="127"/>
    <x v="117"/>
    <x v="3"/>
    <x v="5"/>
    <x v="2"/>
    <x v="1"/>
    <x v="1"/>
    <n v="3"/>
    <n v="4909"/>
    <n v="17"/>
    <n v="12223.41"/>
    <n v="4116789.77"/>
    <n v="4860.4365643447463"/>
    <n v="2354"/>
    <s v="High"/>
  </r>
  <r>
    <s v="ORD0659"/>
    <x v="128"/>
    <x v="118"/>
    <x v="2"/>
    <x v="1"/>
    <x v="3"/>
    <x v="0"/>
    <x v="1"/>
    <n v="3"/>
    <n v="4791"/>
    <n v="15"/>
    <n v="12217.05"/>
    <n v="4104566.3599999994"/>
    <n v="4851.7332860520091"/>
    <n v="2351"/>
    <s v="High"/>
  </r>
  <r>
    <s v="ORD0070"/>
    <x v="129"/>
    <x v="93"/>
    <x v="1"/>
    <x v="2"/>
    <x v="1"/>
    <x v="0"/>
    <x v="3"/>
    <n v="3"/>
    <n v="4727"/>
    <n v="14"/>
    <n v="12195.66"/>
    <n v="4092349.3099999996"/>
    <n v="4843.0169349112421"/>
    <n v="2348"/>
    <s v="High"/>
  </r>
  <r>
    <s v="ORD0881"/>
    <x v="130"/>
    <x v="96"/>
    <x v="4"/>
    <x v="0"/>
    <x v="3"/>
    <x v="0"/>
    <x v="3"/>
    <n v="4"/>
    <n v="4337"/>
    <n v="30"/>
    <n v="12143.6"/>
    <n v="4080153.65"/>
    <n v="4834.3052725118487"/>
    <n v="2345"/>
    <s v="High"/>
  </r>
  <r>
    <s v="ORD0131"/>
    <x v="89"/>
    <x v="119"/>
    <x v="0"/>
    <x v="5"/>
    <x v="0"/>
    <x v="0"/>
    <x v="3"/>
    <n v="3"/>
    <n v="4578"/>
    <n v="12"/>
    <n v="12085.92"/>
    <n v="4068010.05"/>
    <n v="4825.6346975088964"/>
    <n v="2341"/>
    <s v="High"/>
  </r>
  <r>
    <s v="ORD0329"/>
    <x v="103"/>
    <x v="57"/>
    <x v="4"/>
    <x v="3"/>
    <x v="0"/>
    <x v="2"/>
    <x v="3"/>
    <n v="3"/>
    <n v="4312"/>
    <n v="7"/>
    <n v="12030.48"/>
    <n v="4055924.13"/>
    <n v="4817.0120308788601"/>
    <n v="2338"/>
    <s v="High"/>
  </r>
  <r>
    <s v="ORD0459"/>
    <x v="131"/>
    <x v="120"/>
    <x v="1"/>
    <x v="3"/>
    <x v="2"/>
    <x v="4"/>
    <x v="1"/>
    <n v="4"/>
    <n v="3567"/>
    <n v="16"/>
    <n v="11985.12"/>
    <n v="4043893.6500000004"/>
    <n v="4808.434780023782"/>
    <n v="2335"/>
    <s v="High"/>
  </r>
  <r>
    <s v="ORD0453"/>
    <x v="15"/>
    <x v="121"/>
    <x v="1"/>
    <x v="0"/>
    <x v="1"/>
    <x v="3"/>
    <x v="0"/>
    <n v="4"/>
    <n v="3825"/>
    <n v="22"/>
    <n v="11934"/>
    <n v="4031908.53"/>
    <n v="4799.8911071428565"/>
    <n v="2331"/>
    <s v="High"/>
  </r>
  <r>
    <s v="ORD0349"/>
    <x v="39"/>
    <x v="114"/>
    <x v="1"/>
    <x v="4"/>
    <x v="0"/>
    <x v="4"/>
    <x v="3"/>
    <n v="3"/>
    <n v="4790"/>
    <n v="17"/>
    <n v="11927.1"/>
    <n v="4019974.53"/>
    <n v="4791.3879976162098"/>
    <n v="2327"/>
    <s v="High"/>
  </r>
  <r>
    <s v="ORD0942"/>
    <x v="132"/>
    <x v="122"/>
    <x v="3"/>
    <x v="2"/>
    <x v="4"/>
    <x v="3"/>
    <x v="2"/>
    <n v="5"/>
    <n v="3355"/>
    <n v="30"/>
    <n v="11742.5"/>
    <n v="4008047.4299999997"/>
    <n v="4782.8728281622907"/>
    <n v="2324"/>
    <s v="High"/>
  </r>
  <r>
    <s v="ORD0432"/>
    <x v="30"/>
    <x v="123"/>
    <x v="3"/>
    <x v="1"/>
    <x v="0"/>
    <x v="3"/>
    <x v="2"/>
    <n v="3"/>
    <n v="4597"/>
    <n v="15"/>
    <n v="11722.35"/>
    <n v="3996304.93"/>
    <n v="4774.5578614097967"/>
    <n v="2319"/>
    <s v="High"/>
  </r>
  <r>
    <s v="ORD0330"/>
    <x v="125"/>
    <x v="13"/>
    <x v="3"/>
    <x v="0"/>
    <x v="0"/>
    <x v="4"/>
    <x v="0"/>
    <n v="3"/>
    <n v="4474"/>
    <n v="13"/>
    <n v="11677.14"/>
    <n v="3984582.58"/>
    <n v="4766.2471052631581"/>
    <n v="2316"/>
    <s v="High"/>
  </r>
  <r>
    <s v="ORD0612"/>
    <x v="133"/>
    <x v="124"/>
    <x v="2"/>
    <x v="5"/>
    <x v="1"/>
    <x v="3"/>
    <x v="2"/>
    <n v="3"/>
    <n v="3917"/>
    <n v="1"/>
    <n v="11633.49"/>
    <n v="3972905.44"/>
    <n v="4757.9705868263472"/>
    <n v="2313"/>
    <s v="High"/>
  </r>
  <r>
    <s v="ORD0125"/>
    <x v="134"/>
    <x v="60"/>
    <x v="2"/>
    <x v="5"/>
    <x v="0"/>
    <x v="0"/>
    <x v="2"/>
    <n v="5"/>
    <n v="2854"/>
    <n v="19"/>
    <n v="11558.7"/>
    <n v="3961271.9499999997"/>
    <n v="4749.7265587529973"/>
    <n v="2310"/>
    <s v="High"/>
  </r>
  <r>
    <s v="ORD0636"/>
    <x v="9"/>
    <x v="125"/>
    <x v="3"/>
    <x v="2"/>
    <x v="1"/>
    <x v="4"/>
    <x v="1"/>
    <n v="3"/>
    <n v="4265"/>
    <n v="10"/>
    <n v="11515.5"/>
    <n v="3949713.2499999995"/>
    <n v="4741.5525210084024"/>
    <n v="2305"/>
    <s v="High"/>
  </r>
  <r>
    <s v="ORD0652"/>
    <x v="135"/>
    <x v="126"/>
    <x v="4"/>
    <x v="4"/>
    <x v="1"/>
    <x v="1"/>
    <x v="2"/>
    <n v="3"/>
    <n v="4842"/>
    <n v="21"/>
    <n v="11475.54"/>
    <n v="3938197.7499999995"/>
    <n v="4733.4107572115381"/>
    <n v="2302"/>
    <s v="High"/>
  </r>
  <r>
    <s v="ORD0055"/>
    <x v="136"/>
    <x v="50"/>
    <x v="4"/>
    <x v="2"/>
    <x v="3"/>
    <x v="1"/>
    <x v="3"/>
    <n v="3"/>
    <n v="4293"/>
    <n v="11"/>
    <n v="11462.31"/>
    <n v="3926722.2099999995"/>
    <n v="4725.2974849578814"/>
    <n v="2299"/>
    <s v="High"/>
  </r>
  <r>
    <s v="ORD0832"/>
    <x v="137"/>
    <x v="39"/>
    <x v="4"/>
    <x v="3"/>
    <x v="4"/>
    <x v="1"/>
    <x v="3"/>
    <n v="3"/>
    <n v="4233"/>
    <n v="10"/>
    <n v="11429.1"/>
    <n v="3915259.9"/>
    <n v="4717.1806024096386"/>
    <n v="2296"/>
    <s v="High"/>
  </r>
  <r>
    <s v="ORD0266"/>
    <x v="138"/>
    <x v="127"/>
    <x v="1"/>
    <x v="6"/>
    <x v="0"/>
    <x v="1"/>
    <x v="1"/>
    <n v="3"/>
    <n v="4180"/>
    <n v="9"/>
    <n v="11411.4"/>
    <n v="3903830.8000000003"/>
    <n v="4709.0841978287099"/>
    <n v="2293"/>
    <s v="High"/>
  </r>
  <r>
    <s v="ORD0959"/>
    <x v="21"/>
    <x v="55"/>
    <x v="3"/>
    <x v="2"/>
    <x v="4"/>
    <x v="2"/>
    <x v="2"/>
    <n v="4"/>
    <n v="3794"/>
    <n v="25"/>
    <n v="11382"/>
    <n v="3892419.4"/>
    <n v="4700.9896135265699"/>
    <n v="2290"/>
    <s v="High"/>
  </r>
  <r>
    <s v="ORD0136"/>
    <x v="4"/>
    <x v="74"/>
    <x v="1"/>
    <x v="3"/>
    <x v="1"/>
    <x v="2"/>
    <x v="3"/>
    <n v="3"/>
    <n v="4511"/>
    <n v="16"/>
    <n v="11367.72"/>
    <n v="3881037.4000000004"/>
    <n v="4692.9110036275697"/>
    <n v="2286"/>
    <s v="High"/>
  </r>
  <r>
    <s v="ORD0297"/>
    <x v="139"/>
    <x v="128"/>
    <x v="0"/>
    <x v="0"/>
    <x v="2"/>
    <x v="4"/>
    <x v="3"/>
    <n v="4"/>
    <n v="3023"/>
    <n v="6"/>
    <n v="11366.48"/>
    <n v="3869669.6800000006"/>
    <n v="4684.8301210653763"/>
    <n v="2283"/>
    <s v="High"/>
  </r>
  <r>
    <s v="ORD0710"/>
    <x v="105"/>
    <x v="129"/>
    <x v="4"/>
    <x v="3"/>
    <x v="4"/>
    <x v="4"/>
    <x v="1"/>
    <n v="4"/>
    <n v="3983"/>
    <n v="29"/>
    <n v="11311.72"/>
    <n v="3858303.2000000007"/>
    <n v="4676.7311515151523"/>
    <n v="2279"/>
    <s v="High"/>
  </r>
  <r>
    <s v="ORD0899"/>
    <x v="55"/>
    <x v="24"/>
    <x v="2"/>
    <x v="4"/>
    <x v="2"/>
    <x v="1"/>
    <x v="3"/>
    <n v="3"/>
    <n v="3887"/>
    <n v="3"/>
    <n v="11311.17"/>
    <n v="3846991.4800000004"/>
    <n v="4668.6789805825247"/>
    <n v="2275"/>
    <s v="High"/>
  </r>
  <r>
    <s v="ORD0280"/>
    <x v="98"/>
    <x v="130"/>
    <x v="1"/>
    <x v="5"/>
    <x v="2"/>
    <x v="2"/>
    <x v="2"/>
    <n v="3"/>
    <n v="4935"/>
    <n v="24"/>
    <n v="11251.8"/>
    <n v="3835680.3100000005"/>
    <n v="4660.6079100850557"/>
    <n v="2272"/>
    <s v="High"/>
  </r>
  <r>
    <s v="ORD0264"/>
    <x v="140"/>
    <x v="131"/>
    <x v="2"/>
    <x v="5"/>
    <x v="1"/>
    <x v="3"/>
    <x v="1"/>
    <n v="5"/>
    <n v="2462"/>
    <n v="9"/>
    <n v="11202.1"/>
    <n v="3824428.5100000007"/>
    <n v="4652.5894282238451"/>
    <n v="2269"/>
    <s v="High"/>
  </r>
  <r>
    <s v="ORD0773"/>
    <x v="141"/>
    <x v="132"/>
    <x v="1"/>
    <x v="4"/>
    <x v="3"/>
    <x v="3"/>
    <x v="3"/>
    <n v="5"/>
    <n v="3180"/>
    <n v="30"/>
    <n v="11130"/>
    <n v="3813226.4100000006"/>
    <n v="4644.6119488428749"/>
    <n v="2264"/>
    <s v="High"/>
  </r>
  <r>
    <s v="ORD0103"/>
    <x v="142"/>
    <x v="3"/>
    <x v="0"/>
    <x v="5"/>
    <x v="1"/>
    <x v="3"/>
    <x v="3"/>
    <n v="5"/>
    <n v="2342"/>
    <n v="5"/>
    <n v="11124.5"/>
    <n v="3802096.41"/>
    <n v="4636.7029390243906"/>
    <n v="2259"/>
    <s v="High"/>
  </r>
  <r>
    <s v="ORD0976"/>
    <x v="143"/>
    <x v="129"/>
    <x v="4"/>
    <x v="0"/>
    <x v="1"/>
    <x v="2"/>
    <x v="1"/>
    <n v="5"/>
    <n v="2616"/>
    <n v="15"/>
    <n v="11118"/>
    <n v="3790971.9100000006"/>
    <n v="4628.7813308913319"/>
    <n v="2254"/>
    <s v="High"/>
  </r>
  <r>
    <s v="ORD0610"/>
    <x v="144"/>
    <x v="133"/>
    <x v="4"/>
    <x v="6"/>
    <x v="4"/>
    <x v="3"/>
    <x v="2"/>
    <n v="4"/>
    <n v="2804"/>
    <n v="1"/>
    <n v="11103.84"/>
    <n v="3779853.9100000006"/>
    <n v="4620.8483007334971"/>
    <n v="2249"/>
    <s v="High"/>
  </r>
  <r>
    <s v="ORD0263"/>
    <x v="10"/>
    <x v="73"/>
    <x v="1"/>
    <x v="3"/>
    <x v="1"/>
    <x v="3"/>
    <x v="0"/>
    <n v="4"/>
    <n v="3225"/>
    <n v="14"/>
    <n v="11094"/>
    <n v="3768750.0700000008"/>
    <n v="4612.913182374542"/>
    <n v="2245"/>
    <s v="High"/>
  </r>
  <r>
    <s v="ORD0723"/>
    <x v="7"/>
    <x v="134"/>
    <x v="2"/>
    <x v="0"/>
    <x v="2"/>
    <x v="0"/>
    <x v="1"/>
    <n v="3"/>
    <n v="4612"/>
    <n v="20"/>
    <n v="11068.8"/>
    <n v="3757656.0700000008"/>
    <n v="4604.9706740196089"/>
    <n v="2241"/>
    <s v="High"/>
  </r>
  <r>
    <s v="ORD0984"/>
    <x v="145"/>
    <x v="135"/>
    <x v="1"/>
    <x v="0"/>
    <x v="4"/>
    <x v="2"/>
    <x v="1"/>
    <n v="5"/>
    <n v="2380"/>
    <n v="7"/>
    <n v="11067"/>
    <n v="3746587.27"/>
    <n v="4597.0395950920247"/>
    <n v="2238"/>
    <s v="High"/>
  </r>
  <r>
    <s v="ORD0671"/>
    <x v="146"/>
    <x v="134"/>
    <x v="1"/>
    <x v="3"/>
    <x v="3"/>
    <x v="2"/>
    <x v="0"/>
    <n v="4"/>
    <n v="3029"/>
    <n v="9"/>
    <n v="11025.56"/>
    <n v="3735520.2700000005"/>
    <n v="4589.0912407862415"/>
    <n v="2233"/>
    <s v="High"/>
  </r>
  <r>
    <s v="ORD0367"/>
    <x v="93"/>
    <x v="81"/>
    <x v="0"/>
    <x v="4"/>
    <x v="4"/>
    <x v="4"/>
    <x v="1"/>
    <n v="4"/>
    <n v="2735"/>
    <n v="0"/>
    <n v="10940"/>
    <n v="3724494.7100000004"/>
    <n v="4581.1743050430514"/>
    <n v="2229"/>
    <s v="High"/>
  </r>
  <r>
    <s v="ORD0222"/>
    <x v="66"/>
    <x v="136"/>
    <x v="2"/>
    <x v="0"/>
    <x v="4"/>
    <x v="4"/>
    <x v="1"/>
    <n v="3"/>
    <n v="4320"/>
    <n v="16"/>
    <n v="10886.4"/>
    <n v="3713554.7100000009"/>
    <n v="4573.3432389162572"/>
    <n v="2225"/>
    <s v="High"/>
  </r>
  <r>
    <s v="ORD0169"/>
    <x v="146"/>
    <x v="137"/>
    <x v="4"/>
    <x v="0"/>
    <x v="4"/>
    <x v="4"/>
    <x v="2"/>
    <n v="4"/>
    <n v="3354"/>
    <n v="19"/>
    <n v="10866.96"/>
    <n v="3702668.3100000005"/>
    <n v="4565.5589519112218"/>
    <n v="2222"/>
    <s v="High"/>
  </r>
  <r>
    <s v="ORD0211"/>
    <x v="127"/>
    <x v="138"/>
    <x v="1"/>
    <x v="1"/>
    <x v="3"/>
    <x v="4"/>
    <x v="0"/>
    <n v="5"/>
    <n v="2937"/>
    <n v="26"/>
    <n v="10866.9"/>
    <n v="3691801.3500000006"/>
    <n v="4557.7794444444453"/>
    <n v="2218"/>
    <s v="High"/>
  </r>
  <r>
    <s v="ORD0277"/>
    <x v="20"/>
    <x v="139"/>
    <x v="2"/>
    <x v="3"/>
    <x v="0"/>
    <x v="4"/>
    <x v="2"/>
    <n v="5"/>
    <n v="2547"/>
    <n v="15"/>
    <n v="10824.75"/>
    <n v="3680934.4500000007"/>
    <n v="4549.9807787391846"/>
    <n v="2213"/>
    <s v="High"/>
  </r>
  <r>
    <s v="ORD0804"/>
    <x v="147"/>
    <x v="140"/>
    <x v="2"/>
    <x v="2"/>
    <x v="4"/>
    <x v="0"/>
    <x v="2"/>
    <n v="4"/>
    <n v="3179"/>
    <n v="15"/>
    <n v="10808.6"/>
    <n v="3670109.7000000007"/>
    <n v="4542.2149752475252"/>
    <n v="2208"/>
    <s v="High"/>
  </r>
  <r>
    <s v="ORD0163"/>
    <x v="148"/>
    <x v="48"/>
    <x v="4"/>
    <x v="1"/>
    <x v="1"/>
    <x v="1"/>
    <x v="2"/>
    <n v="3"/>
    <n v="4445"/>
    <n v="19"/>
    <n v="10801.35"/>
    <n v="3659301.1"/>
    <n v="4534.4499380421312"/>
    <n v="2204"/>
    <s v="High"/>
  </r>
  <r>
    <s v="ORD0734"/>
    <x v="149"/>
    <x v="141"/>
    <x v="4"/>
    <x v="1"/>
    <x v="4"/>
    <x v="4"/>
    <x v="3"/>
    <n v="4"/>
    <n v="2803"/>
    <n v="4"/>
    <n v="10763.52"/>
    <n v="3648499.7499999995"/>
    <n v="4526.6746277915627"/>
    <n v="2201"/>
    <s v="High"/>
  </r>
  <r>
    <s v="ORD0520"/>
    <x v="150"/>
    <x v="142"/>
    <x v="1"/>
    <x v="5"/>
    <x v="3"/>
    <x v="3"/>
    <x v="3"/>
    <n v="4"/>
    <n v="3537"/>
    <n v="24"/>
    <n v="10752.48"/>
    <n v="3637736.2299999995"/>
    <n v="4518.9269937888193"/>
    <n v="2197"/>
    <s v="High"/>
  </r>
  <r>
    <s v="ORD0135"/>
    <x v="96"/>
    <x v="142"/>
    <x v="0"/>
    <x v="2"/>
    <x v="1"/>
    <x v="0"/>
    <x v="3"/>
    <n v="3"/>
    <n v="4966"/>
    <n v="28"/>
    <n v="10726.56"/>
    <n v="3626983.7499999995"/>
    <n v="4511.1738184079595"/>
    <n v="2193"/>
    <s v="High"/>
  </r>
  <r>
    <s v="ORD0960"/>
    <x v="121"/>
    <x v="143"/>
    <x v="2"/>
    <x v="1"/>
    <x v="2"/>
    <x v="2"/>
    <x v="0"/>
    <n v="4"/>
    <n v="3570"/>
    <n v="25"/>
    <n v="10710"/>
    <n v="3616257.19"/>
    <n v="4503.433611457036"/>
    <n v="2190"/>
    <s v="High"/>
  </r>
  <r>
    <s v="ORD0654"/>
    <x v="151"/>
    <x v="100"/>
    <x v="0"/>
    <x v="2"/>
    <x v="0"/>
    <x v="1"/>
    <x v="3"/>
    <n v="3"/>
    <n v="4184"/>
    <n v="15"/>
    <n v="10669.2"/>
    <n v="3605547.19"/>
    <n v="4495.694750623441"/>
    <n v="2186"/>
    <s v="High"/>
  </r>
  <r>
    <s v="ORD0177"/>
    <x v="152"/>
    <x v="118"/>
    <x v="1"/>
    <x v="4"/>
    <x v="1"/>
    <x v="0"/>
    <x v="0"/>
    <n v="3"/>
    <n v="4282"/>
    <n v="17"/>
    <n v="10662.18"/>
    <n v="3594877.9899999998"/>
    <n v="4487.9875031210986"/>
    <n v="2183"/>
    <s v="High"/>
  </r>
  <r>
    <s v="ORD0440"/>
    <x v="153"/>
    <x v="103"/>
    <x v="3"/>
    <x v="6"/>
    <x v="3"/>
    <x v="4"/>
    <x v="2"/>
    <n v="4"/>
    <n v="3204"/>
    <n v="17"/>
    <n v="10637.28"/>
    <n v="3584215.81"/>
    <n v="4480.2697625000001"/>
    <n v="2180"/>
    <s v="High"/>
  </r>
  <r>
    <s v="ORD0322"/>
    <x v="154"/>
    <x v="144"/>
    <x v="4"/>
    <x v="4"/>
    <x v="1"/>
    <x v="0"/>
    <x v="3"/>
    <n v="5"/>
    <n v="2216"/>
    <n v="4"/>
    <n v="10636.8"/>
    <n v="3573578.5299999993"/>
    <n v="4472.5638673341673"/>
    <n v="2176"/>
    <s v="High"/>
  </r>
  <r>
    <s v="ORD0713"/>
    <x v="155"/>
    <x v="11"/>
    <x v="0"/>
    <x v="3"/>
    <x v="1"/>
    <x v="4"/>
    <x v="2"/>
    <n v="4"/>
    <n v="3088"/>
    <n v="14"/>
    <n v="10622.72"/>
    <n v="3562941.7299999995"/>
    <n v="4464.8392606516281"/>
    <n v="2171"/>
    <s v="High"/>
  </r>
  <r>
    <s v="ORD0510"/>
    <x v="36"/>
    <x v="145"/>
    <x v="1"/>
    <x v="6"/>
    <x v="0"/>
    <x v="4"/>
    <x v="0"/>
    <n v="3"/>
    <n v="3785"/>
    <n v="7"/>
    <n v="10560.15"/>
    <n v="3552319.01"/>
    <n v="4457.1129360100376"/>
    <n v="2167"/>
    <s v="High"/>
  </r>
  <r>
    <s v="ORD0525"/>
    <x v="156"/>
    <x v="109"/>
    <x v="1"/>
    <x v="0"/>
    <x v="0"/>
    <x v="0"/>
    <x v="1"/>
    <n v="5"/>
    <n v="2477"/>
    <n v="15"/>
    <n v="10527.25"/>
    <n v="3541758.86"/>
    <n v="4449.4458040201007"/>
    <n v="2164"/>
    <s v="High"/>
  </r>
  <r>
    <s v="ORD0486"/>
    <x v="157"/>
    <x v="146"/>
    <x v="4"/>
    <x v="2"/>
    <x v="3"/>
    <x v="2"/>
    <x v="1"/>
    <n v="4"/>
    <n v="3162"/>
    <n v="17"/>
    <n v="10497.84"/>
    <n v="3531231.6100000003"/>
    <n v="4441.8007672955982"/>
    <n v="2159"/>
    <s v="High"/>
  </r>
  <r>
    <s v="ORD0415"/>
    <x v="40"/>
    <x v="30"/>
    <x v="3"/>
    <x v="4"/>
    <x v="1"/>
    <x v="2"/>
    <x v="1"/>
    <n v="3"/>
    <n v="4975"/>
    <n v="30"/>
    <n v="10447.5"/>
    <n v="3520733.7700000005"/>
    <n v="4434.1735138539052"/>
    <n v="2155"/>
    <s v="High"/>
  </r>
  <r>
    <s v="ORD0522"/>
    <x v="158"/>
    <x v="140"/>
    <x v="4"/>
    <x v="0"/>
    <x v="2"/>
    <x v="2"/>
    <x v="0"/>
    <n v="4"/>
    <n v="2991"/>
    <n v="13"/>
    <n v="10408.68"/>
    <n v="3510286.2700000005"/>
    <n v="4426.5905044136198"/>
    <n v="2152"/>
    <s v="High"/>
  </r>
  <r>
    <s v="ORD0430"/>
    <x v="159"/>
    <x v="147"/>
    <x v="4"/>
    <x v="1"/>
    <x v="3"/>
    <x v="4"/>
    <x v="0"/>
    <n v="3"/>
    <n v="4875"/>
    <n v="29"/>
    <n v="10383.75"/>
    <n v="3499877.5900000008"/>
    <n v="4419.0373611111117"/>
    <n v="2148"/>
    <s v="High"/>
  </r>
  <r>
    <s v="ORD0287"/>
    <x v="11"/>
    <x v="148"/>
    <x v="0"/>
    <x v="5"/>
    <x v="1"/>
    <x v="4"/>
    <x v="2"/>
    <n v="5"/>
    <n v="2296"/>
    <n v="10"/>
    <n v="10332"/>
    <n v="3489493.8400000008"/>
    <n v="4411.496637168143"/>
    <n v="2145"/>
    <s v="High"/>
  </r>
  <r>
    <s v="ORD0132"/>
    <x v="13"/>
    <x v="149"/>
    <x v="2"/>
    <x v="1"/>
    <x v="3"/>
    <x v="4"/>
    <x v="1"/>
    <n v="3"/>
    <n v="3437"/>
    <n v="0"/>
    <n v="10311"/>
    <n v="3479161.8400000003"/>
    <n v="4404.0023291139241"/>
    <n v="2140"/>
    <s v="High"/>
  </r>
  <r>
    <s v="ORD0700"/>
    <x v="160"/>
    <x v="41"/>
    <x v="4"/>
    <x v="4"/>
    <x v="1"/>
    <x v="2"/>
    <x v="3"/>
    <n v="4"/>
    <n v="2863"/>
    <n v="10"/>
    <n v="10306.799999999999"/>
    <n v="3468850.8400000003"/>
    <n v="4396.5156400506976"/>
    <n v="2137"/>
    <s v="High"/>
  </r>
  <r>
    <s v="ORD0800"/>
    <x v="161"/>
    <x v="11"/>
    <x v="3"/>
    <x v="5"/>
    <x v="1"/>
    <x v="4"/>
    <x v="1"/>
    <n v="5"/>
    <n v="2210"/>
    <n v="7"/>
    <n v="10276.5"/>
    <n v="3458544.0400000005"/>
    <n v="4389.0152791878181"/>
    <n v="2133"/>
    <s v="High"/>
  </r>
  <r>
    <s v="ORD0516"/>
    <x v="126"/>
    <x v="150"/>
    <x v="4"/>
    <x v="5"/>
    <x v="2"/>
    <x v="4"/>
    <x v="2"/>
    <n v="4"/>
    <n v="2676"/>
    <n v="4"/>
    <n v="10275.84"/>
    <n v="3448267.540000001"/>
    <n v="4381.5343583227459"/>
    <n v="2128"/>
    <s v="High"/>
  </r>
  <r>
    <s v="ORD0139"/>
    <x v="14"/>
    <x v="125"/>
    <x v="3"/>
    <x v="0"/>
    <x v="2"/>
    <x v="0"/>
    <x v="2"/>
    <n v="3"/>
    <n v="4626"/>
    <n v="26"/>
    <n v="10269.719999999999"/>
    <n v="3437991.7000000007"/>
    <n v="4374.0352417302811"/>
    <n v="2124"/>
    <s v="High"/>
  </r>
  <r>
    <s v="ORD0485"/>
    <x v="162"/>
    <x v="9"/>
    <x v="1"/>
    <x v="2"/>
    <x v="1"/>
    <x v="1"/>
    <x v="3"/>
    <n v="4"/>
    <n v="2983"/>
    <n v="14"/>
    <n v="10261.52"/>
    <n v="3427721.9800000009"/>
    <n v="4366.5248152866252"/>
    <n v="2121"/>
    <s v="High"/>
  </r>
  <r>
    <s v="ORD0419"/>
    <x v="163"/>
    <x v="151"/>
    <x v="2"/>
    <x v="2"/>
    <x v="1"/>
    <x v="0"/>
    <x v="0"/>
    <n v="3"/>
    <n v="4748"/>
    <n v="28"/>
    <n v="10255.68"/>
    <n v="3417460.4600000009"/>
    <n v="4359.0056887755118"/>
    <n v="2117"/>
    <s v="High"/>
  </r>
  <r>
    <s v="ORD0274"/>
    <x v="164"/>
    <x v="152"/>
    <x v="3"/>
    <x v="6"/>
    <x v="4"/>
    <x v="2"/>
    <x v="2"/>
    <n v="3"/>
    <n v="3437"/>
    <n v="1"/>
    <n v="10207.89"/>
    <n v="3407204.7800000012"/>
    <n v="4351.4748148148165"/>
    <n v="2114"/>
    <s v="High"/>
  </r>
  <r>
    <s v="ORD0711"/>
    <x v="19"/>
    <x v="153"/>
    <x v="4"/>
    <x v="0"/>
    <x v="1"/>
    <x v="2"/>
    <x v="2"/>
    <n v="3"/>
    <n v="3579"/>
    <n v="5"/>
    <n v="10200.15"/>
    <n v="3396996.8900000011"/>
    <n v="4343.9857928388765"/>
    <n v="2111"/>
    <s v="High"/>
  </r>
  <r>
    <s v="ORD0528"/>
    <x v="165"/>
    <x v="26"/>
    <x v="4"/>
    <x v="2"/>
    <x v="3"/>
    <x v="1"/>
    <x v="0"/>
    <n v="3"/>
    <n v="4688"/>
    <n v="28"/>
    <n v="10126.08"/>
    <n v="3386796.7400000012"/>
    <n v="4336.4875032010259"/>
    <n v="2108"/>
    <s v="High"/>
  </r>
  <r>
    <s v="ORD0243"/>
    <x v="75"/>
    <x v="154"/>
    <x v="3"/>
    <x v="5"/>
    <x v="2"/>
    <x v="2"/>
    <x v="1"/>
    <n v="3"/>
    <n v="3827"/>
    <n v="12"/>
    <n v="10103.280000000001"/>
    <n v="3376670.6600000015"/>
    <n v="4329.0649487179508"/>
    <n v="2105"/>
    <s v="High"/>
  </r>
  <r>
    <s v="ORD0645"/>
    <x v="166"/>
    <x v="95"/>
    <x v="2"/>
    <x v="0"/>
    <x v="3"/>
    <x v="4"/>
    <x v="3"/>
    <n v="5"/>
    <n v="2377"/>
    <n v="15"/>
    <n v="10102.25"/>
    <n v="3366567.3800000018"/>
    <n v="4321.6526059050084"/>
    <n v="2102"/>
    <s v="High"/>
  </r>
  <r>
    <s v="ORD0436"/>
    <x v="167"/>
    <x v="78"/>
    <x v="2"/>
    <x v="2"/>
    <x v="3"/>
    <x v="4"/>
    <x v="0"/>
    <n v="3"/>
    <n v="3822"/>
    <n v="12"/>
    <n v="10090.08"/>
    <n v="3356465.1300000013"/>
    <n v="4314.2225321336773"/>
    <n v="2097"/>
    <s v="High"/>
  </r>
  <r>
    <s v="ORD0380"/>
    <x v="121"/>
    <x v="155"/>
    <x v="3"/>
    <x v="0"/>
    <x v="4"/>
    <x v="4"/>
    <x v="3"/>
    <n v="3"/>
    <n v="4255"/>
    <n v="21"/>
    <n v="10084.35"/>
    <n v="3346375.0500000017"/>
    <n v="4306.7889961389983"/>
    <n v="2094"/>
    <s v="High"/>
  </r>
  <r>
    <s v="ORD0851"/>
    <x v="0"/>
    <x v="91"/>
    <x v="0"/>
    <x v="5"/>
    <x v="1"/>
    <x v="3"/>
    <x v="1"/>
    <n v="3"/>
    <n v="4731"/>
    <n v="29"/>
    <n v="10077.030000000001"/>
    <n v="3336290.7000000016"/>
    <n v="4299.3436855670125"/>
    <n v="2091"/>
    <s v="High"/>
  </r>
  <r>
    <s v="ORD0806"/>
    <x v="168"/>
    <x v="68"/>
    <x v="4"/>
    <x v="2"/>
    <x v="4"/>
    <x v="3"/>
    <x v="0"/>
    <n v="5"/>
    <n v="2547"/>
    <n v="21"/>
    <n v="10060.65"/>
    <n v="3326213.6700000013"/>
    <n v="4291.8886064516146"/>
    <n v="2088"/>
    <s v="High"/>
  </r>
  <r>
    <s v="ORD0889"/>
    <x v="169"/>
    <x v="79"/>
    <x v="4"/>
    <x v="0"/>
    <x v="1"/>
    <x v="4"/>
    <x v="3"/>
    <n v="4"/>
    <n v="3242"/>
    <n v="23"/>
    <n v="9985.36"/>
    <n v="3316153.0200000014"/>
    <n v="4284.4354263565911"/>
    <n v="2083"/>
    <s v="High"/>
  </r>
  <r>
    <s v="ORD0656"/>
    <x v="62"/>
    <x v="156"/>
    <x v="3"/>
    <x v="4"/>
    <x v="1"/>
    <x v="3"/>
    <x v="0"/>
    <n v="4"/>
    <n v="3561"/>
    <n v="30"/>
    <n v="9970.7999999999993"/>
    <n v="3306167.6600000011"/>
    <n v="4277.0603622250983"/>
    <n v="2079"/>
    <s v="High"/>
  </r>
  <r>
    <s v="ORD0627"/>
    <x v="170"/>
    <x v="121"/>
    <x v="4"/>
    <x v="2"/>
    <x v="1"/>
    <x v="3"/>
    <x v="0"/>
    <n v="5"/>
    <n v="2215"/>
    <n v="10"/>
    <n v="9967.5"/>
    <n v="3296196.8600000008"/>
    <n v="4269.6850518134725"/>
    <n v="2075"/>
    <s v="High"/>
  </r>
  <r>
    <s v="ORD0122"/>
    <x v="171"/>
    <x v="82"/>
    <x v="4"/>
    <x v="6"/>
    <x v="1"/>
    <x v="1"/>
    <x v="2"/>
    <n v="3"/>
    <n v="3939"/>
    <n v="16"/>
    <n v="9926.2800000000007"/>
    <n v="3286229.3600000008"/>
    <n v="4262.294889753568"/>
    <n v="2070"/>
    <s v="High"/>
  </r>
  <r>
    <s v="ORD0073"/>
    <x v="74"/>
    <x v="157"/>
    <x v="2"/>
    <x v="4"/>
    <x v="3"/>
    <x v="4"/>
    <x v="2"/>
    <n v="4"/>
    <n v="2885"/>
    <n v="14"/>
    <n v="9924.4"/>
    <n v="3276303.08"/>
    <n v="4254.9390649350653"/>
    <n v="2067"/>
    <s v="High"/>
  </r>
  <r>
    <s v="ORD0083"/>
    <x v="88"/>
    <x v="113"/>
    <x v="0"/>
    <x v="3"/>
    <x v="4"/>
    <x v="1"/>
    <x v="3"/>
    <n v="3"/>
    <n v="4240"/>
    <n v="22"/>
    <n v="9921.6"/>
    <n v="3266378.68"/>
    <n v="4247.5665539661904"/>
    <n v="2063"/>
    <s v="High"/>
  </r>
  <r>
    <s v="ORD0316"/>
    <x v="172"/>
    <x v="158"/>
    <x v="2"/>
    <x v="4"/>
    <x v="2"/>
    <x v="4"/>
    <x v="0"/>
    <n v="4"/>
    <n v="3524"/>
    <n v="30"/>
    <n v="9867.2000000000007"/>
    <n v="3256457.08"/>
    <n v="4240.1784895833334"/>
    <n v="2060"/>
    <s v="High"/>
  </r>
  <r>
    <s v="ORD0089"/>
    <x v="173"/>
    <x v="159"/>
    <x v="0"/>
    <x v="4"/>
    <x v="2"/>
    <x v="4"/>
    <x v="0"/>
    <n v="5"/>
    <n v="2085"/>
    <n v="6"/>
    <n v="9799.5"/>
    <n v="3246589.8799999994"/>
    <n v="4232.8420860495426"/>
    <n v="2056"/>
    <s v="High"/>
  </r>
  <r>
    <s v="ORD0121"/>
    <x v="174"/>
    <x v="125"/>
    <x v="4"/>
    <x v="5"/>
    <x v="3"/>
    <x v="0"/>
    <x v="3"/>
    <n v="5"/>
    <n v="2390"/>
    <n v="18"/>
    <n v="9799"/>
    <n v="3236790.3799999994"/>
    <n v="4225.5749086161868"/>
    <n v="2051"/>
    <s v="High"/>
  </r>
  <r>
    <s v="ORD0642"/>
    <x v="175"/>
    <x v="36"/>
    <x v="2"/>
    <x v="6"/>
    <x v="3"/>
    <x v="2"/>
    <x v="1"/>
    <n v="5"/>
    <n v="2126"/>
    <n v="8"/>
    <n v="9779.6"/>
    <n v="3226991.3799999994"/>
    <n v="4218.2893856209139"/>
    <n v="2046"/>
    <s v="High"/>
  </r>
  <r>
    <s v="ORD0200"/>
    <x v="176"/>
    <x v="160"/>
    <x v="0"/>
    <x v="3"/>
    <x v="3"/>
    <x v="0"/>
    <x v="3"/>
    <n v="3"/>
    <n v="3288"/>
    <n v="2"/>
    <n v="9666.7199999999993"/>
    <n v="3217211.7799999993"/>
    <n v="4211.0101832460723"/>
    <n v="2041"/>
    <s v="High"/>
  </r>
  <r>
    <s v="ORD0878"/>
    <x v="177"/>
    <x v="103"/>
    <x v="0"/>
    <x v="4"/>
    <x v="1"/>
    <x v="1"/>
    <x v="2"/>
    <n v="5"/>
    <n v="2172"/>
    <n v="11"/>
    <n v="9665.4"/>
    <n v="3207545.0599999987"/>
    <n v="4203.8598427260795"/>
    <n v="2038"/>
    <s v="High"/>
  </r>
  <r>
    <s v="ORD0100"/>
    <x v="25"/>
    <x v="161"/>
    <x v="1"/>
    <x v="1"/>
    <x v="3"/>
    <x v="3"/>
    <x v="1"/>
    <n v="4"/>
    <n v="2711"/>
    <n v="11"/>
    <n v="9651.16"/>
    <n v="3197879.6599999988"/>
    <n v="4196.6924671915995"/>
    <n v="2033"/>
    <s v="High"/>
  </r>
  <r>
    <s v="ORD0702"/>
    <x v="72"/>
    <x v="162"/>
    <x v="2"/>
    <x v="4"/>
    <x v="1"/>
    <x v="3"/>
    <x v="3"/>
    <n v="3"/>
    <n v="3282"/>
    <n v="2"/>
    <n v="9649.08"/>
    <n v="3188228.4999999986"/>
    <n v="4189.5249671484871"/>
    <n v="2029"/>
    <s v="High"/>
  </r>
  <r>
    <s v="ORD0494"/>
    <x v="112"/>
    <x v="163"/>
    <x v="1"/>
    <x v="3"/>
    <x v="3"/>
    <x v="1"/>
    <x v="1"/>
    <n v="3"/>
    <n v="3778"/>
    <n v="15"/>
    <n v="9633.9"/>
    <n v="3178579.4199999981"/>
    <n v="4182.341342105261"/>
    <n v="2026"/>
    <s v="High"/>
  </r>
  <r>
    <s v="ORD0856"/>
    <x v="178"/>
    <x v="123"/>
    <x v="2"/>
    <x v="1"/>
    <x v="0"/>
    <x v="3"/>
    <x v="2"/>
    <n v="4"/>
    <n v="3114"/>
    <n v="23"/>
    <n v="9591.1200000000008"/>
    <n v="3168945.5199999986"/>
    <n v="4175.1587878787859"/>
    <n v="2023"/>
    <s v="High"/>
  </r>
  <r>
    <s v="ORD0223"/>
    <x v="129"/>
    <x v="75"/>
    <x v="2"/>
    <x v="2"/>
    <x v="4"/>
    <x v="4"/>
    <x v="3"/>
    <n v="3"/>
    <n v="4489"/>
    <n v="29"/>
    <n v="9561.57"/>
    <n v="3159354.3999999985"/>
    <n v="4168.0137203166205"/>
    <n v="2019"/>
    <s v="High"/>
  </r>
  <r>
    <s v="ORD0615"/>
    <x v="179"/>
    <x v="17"/>
    <x v="2"/>
    <x v="0"/>
    <x v="4"/>
    <x v="3"/>
    <x v="1"/>
    <n v="4"/>
    <n v="2433"/>
    <n v="2"/>
    <n v="9537.36"/>
    <n v="3149792.8299999991"/>
    <n v="4160.8888110964317"/>
    <n v="2016"/>
    <s v="High"/>
  </r>
  <r>
    <s v="ORD0904"/>
    <x v="180"/>
    <x v="93"/>
    <x v="0"/>
    <x v="3"/>
    <x v="0"/>
    <x v="0"/>
    <x v="2"/>
    <n v="3"/>
    <n v="3374"/>
    <n v="6"/>
    <n v="9514.68"/>
    <n v="3140255.4699999988"/>
    <n v="4153.7770767195752"/>
    <n v="2012"/>
    <s v="High"/>
  </r>
  <r>
    <s v="ORD0433"/>
    <x v="107"/>
    <x v="90"/>
    <x v="0"/>
    <x v="6"/>
    <x v="3"/>
    <x v="3"/>
    <x v="0"/>
    <n v="5"/>
    <n v="2439"/>
    <n v="22"/>
    <n v="9512.1"/>
    <n v="3130740.7899999991"/>
    <n v="4146.6765430463565"/>
    <n v="2009"/>
    <s v="High"/>
  </r>
  <r>
    <s v="ORD0416"/>
    <x v="154"/>
    <x v="32"/>
    <x v="4"/>
    <x v="2"/>
    <x v="2"/>
    <x v="3"/>
    <x v="3"/>
    <n v="5"/>
    <n v="2677"/>
    <n v="29"/>
    <n v="9503.35"/>
    <n v="3121228.689999999"/>
    <n v="4139.5605968169748"/>
    <n v="2004"/>
    <s v="High"/>
  </r>
  <r>
    <s v="ORD0093"/>
    <x v="181"/>
    <x v="105"/>
    <x v="2"/>
    <x v="1"/>
    <x v="4"/>
    <x v="0"/>
    <x v="1"/>
    <n v="3"/>
    <n v="4337"/>
    <n v="27"/>
    <n v="9498.0300000000007"/>
    <n v="3111725.3399999989"/>
    <n v="4132.4373705179269"/>
    <n v="1999"/>
    <s v="High"/>
  </r>
  <r>
    <s v="ORD0763"/>
    <x v="41"/>
    <x v="123"/>
    <x v="1"/>
    <x v="0"/>
    <x v="4"/>
    <x v="4"/>
    <x v="0"/>
    <n v="3"/>
    <n v="4454"/>
    <n v="29"/>
    <n v="9487.02"/>
    <n v="3102227.3099999991"/>
    <n v="4125.3022739361686"/>
    <n v="1996"/>
    <s v="High"/>
  </r>
  <r>
    <s v="ORD0424"/>
    <x v="88"/>
    <x v="164"/>
    <x v="2"/>
    <x v="0"/>
    <x v="0"/>
    <x v="0"/>
    <x v="1"/>
    <n v="4"/>
    <n v="2430"/>
    <n v="3"/>
    <n v="9428.4"/>
    <n v="3092740.2899999996"/>
    <n v="4118.1628362183747"/>
    <n v="1993"/>
    <s v="High"/>
  </r>
  <r>
    <s v="ORD0880"/>
    <x v="101"/>
    <x v="165"/>
    <x v="1"/>
    <x v="1"/>
    <x v="4"/>
    <x v="4"/>
    <x v="3"/>
    <n v="5"/>
    <n v="2539"/>
    <n v="26"/>
    <n v="9394.2999999999993"/>
    <n v="3083311.8899999992"/>
    <n v="4111.082519999999"/>
    <n v="1989"/>
    <s v="High"/>
  </r>
  <r>
    <s v="ORD0340"/>
    <x v="182"/>
    <x v="166"/>
    <x v="3"/>
    <x v="1"/>
    <x v="4"/>
    <x v="0"/>
    <x v="3"/>
    <n v="3"/>
    <n v="3590"/>
    <n v="13"/>
    <n v="9369.9"/>
    <n v="3073917.5899999994"/>
    <n v="4104.028825100133"/>
    <n v="1984"/>
    <s v="High"/>
  </r>
  <r>
    <s v="ORD0795"/>
    <x v="183"/>
    <x v="25"/>
    <x v="2"/>
    <x v="6"/>
    <x v="0"/>
    <x v="2"/>
    <x v="1"/>
    <n v="4"/>
    <n v="2341"/>
    <n v="0"/>
    <n v="9364"/>
    <n v="3064547.689999999"/>
    <n v="4096.9888903743304"/>
    <n v="1981"/>
    <s v="High"/>
  </r>
  <r>
    <s v="ORD0237"/>
    <x v="184"/>
    <x v="117"/>
    <x v="2"/>
    <x v="3"/>
    <x v="1"/>
    <x v="0"/>
    <x v="3"/>
    <n v="3"/>
    <n v="3784"/>
    <n v="18"/>
    <n v="9308.64"/>
    <n v="3055183.689999999"/>
    <n v="4089.9380053547511"/>
    <n v="1977"/>
    <s v="High"/>
  </r>
  <r>
    <s v="ORD0499"/>
    <x v="185"/>
    <x v="167"/>
    <x v="3"/>
    <x v="0"/>
    <x v="3"/>
    <x v="0"/>
    <x v="0"/>
    <n v="3"/>
    <n v="4389"/>
    <n v="30"/>
    <n v="9216.9"/>
    <n v="3045875.0499999989"/>
    <n v="4082.9424262734569"/>
    <n v="1974"/>
    <s v="High"/>
  </r>
  <r>
    <s v="ORD0535"/>
    <x v="114"/>
    <x v="168"/>
    <x v="3"/>
    <x v="2"/>
    <x v="1"/>
    <x v="3"/>
    <x v="3"/>
    <n v="4"/>
    <n v="2879"/>
    <n v="20"/>
    <n v="9212.7999999999993"/>
    <n v="3036658.149999999"/>
    <n v="4076.0512080536901"/>
    <n v="1971"/>
    <s v="High"/>
  </r>
  <r>
    <s v="ORD0882"/>
    <x v="65"/>
    <x v="85"/>
    <x v="3"/>
    <x v="4"/>
    <x v="1"/>
    <x v="1"/>
    <x v="0"/>
    <n v="5"/>
    <n v="2557"/>
    <n v="28"/>
    <n v="9205.2000000000007"/>
    <n v="3027445.3499999992"/>
    <n v="4069.1469758064504"/>
    <n v="1967"/>
    <s v="High"/>
  </r>
  <r>
    <s v="ORD0712"/>
    <x v="33"/>
    <x v="132"/>
    <x v="1"/>
    <x v="4"/>
    <x v="4"/>
    <x v="4"/>
    <x v="1"/>
    <n v="4"/>
    <n v="2372"/>
    <n v="3"/>
    <n v="9203.36"/>
    <n v="3018240.149999999"/>
    <n v="4062.2343876177642"/>
    <n v="1962"/>
    <s v="High"/>
  </r>
  <r>
    <s v="ORD0651"/>
    <x v="186"/>
    <x v="22"/>
    <x v="0"/>
    <x v="6"/>
    <x v="2"/>
    <x v="4"/>
    <x v="2"/>
    <n v="3"/>
    <n v="3823"/>
    <n v="20"/>
    <n v="9175.2000000000007"/>
    <n v="3009036.7899999991"/>
    <n v="4055.3056469002681"/>
    <n v="1958"/>
    <s v="High"/>
  </r>
  <r>
    <s v="ORD0552"/>
    <x v="187"/>
    <x v="56"/>
    <x v="1"/>
    <x v="6"/>
    <x v="1"/>
    <x v="0"/>
    <x v="3"/>
    <n v="4"/>
    <n v="3225"/>
    <n v="29"/>
    <n v="9159"/>
    <n v="2999861.5899999989"/>
    <n v="4048.3962078272589"/>
    <n v="1955"/>
    <s v="High"/>
  </r>
  <r>
    <s v="ORD0205"/>
    <x v="188"/>
    <x v="169"/>
    <x v="0"/>
    <x v="4"/>
    <x v="3"/>
    <x v="0"/>
    <x v="0"/>
    <n v="3"/>
    <n v="3663"/>
    <n v="17"/>
    <n v="9120.8700000000008"/>
    <n v="2990702.5899999989"/>
    <n v="4041.4899864864851"/>
    <n v="1951"/>
    <s v="High"/>
  </r>
  <r>
    <s v="ORD0649"/>
    <x v="189"/>
    <x v="170"/>
    <x v="3"/>
    <x v="2"/>
    <x v="1"/>
    <x v="3"/>
    <x v="2"/>
    <n v="3"/>
    <n v="3071"/>
    <n v="1"/>
    <n v="9120.8700000000008"/>
    <n v="2981581.7199999988"/>
    <n v="4034.6166711772648"/>
    <n v="1948"/>
    <s v="High"/>
  </r>
  <r>
    <s v="ORD0286"/>
    <x v="22"/>
    <x v="171"/>
    <x v="2"/>
    <x v="5"/>
    <x v="0"/>
    <x v="0"/>
    <x v="3"/>
    <n v="4"/>
    <n v="2279"/>
    <n v="0"/>
    <n v="9116"/>
    <n v="2972460.8499999982"/>
    <n v="4027.7247289972875"/>
    <n v="1945"/>
    <s v="High"/>
  </r>
  <r>
    <s v="ORD0081"/>
    <x v="57"/>
    <x v="172"/>
    <x v="0"/>
    <x v="4"/>
    <x v="3"/>
    <x v="4"/>
    <x v="2"/>
    <n v="3"/>
    <n v="3336"/>
    <n v="9"/>
    <n v="9107.2800000000007"/>
    <n v="2963344.8499999987"/>
    <n v="4020.820691994571"/>
    <n v="1941"/>
    <s v="High"/>
  </r>
  <r>
    <s v="ORD0481"/>
    <x v="190"/>
    <x v="22"/>
    <x v="4"/>
    <x v="5"/>
    <x v="1"/>
    <x v="0"/>
    <x v="2"/>
    <n v="2"/>
    <n v="4895"/>
    <n v="7"/>
    <n v="9104.7000000000007"/>
    <n v="2954237.5699999984"/>
    <n v="4013.9097418478241"/>
    <n v="1938"/>
    <s v="High"/>
  </r>
  <r>
    <s v="ORD0922"/>
    <x v="117"/>
    <x v="103"/>
    <x v="3"/>
    <x v="6"/>
    <x v="1"/>
    <x v="1"/>
    <x v="3"/>
    <n v="2"/>
    <n v="4581"/>
    <n v="1"/>
    <n v="9070.3799999999992"/>
    <n v="2945132.8699999987"/>
    <n v="4006.9834965986379"/>
    <n v="1936"/>
    <s v="High"/>
  </r>
  <r>
    <s v="ORD0543"/>
    <x v="163"/>
    <x v="31"/>
    <x v="2"/>
    <x v="6"/>
    <x v="2"/>
    <x v="3"/>
    <x v="2"/>
    <n v="4"/>
    <n v="3009"/>
    <n v="25"/>
    <n v="9027"/>
    <n v="2936062.4899999988"/>
    <n v="4000.0851362397802"/>
    <n v="1934"/>
    <s v="High"/>
  </r>
  <r>
    <s v="ORD0010"/>
    <x v="191"/>
    <x v="20"/>
    <x v="3"/>
    <x v="2"/>
    <x v="2"/>
    <x v="0"/>
    <x v="3"/>
    <n v="3"/>
    <n v="4287"/>
    <n v="30"/>
    <n v="9002.7000000000007"/>
    <n v="2927035.4899999988"/>
    <n v="3993.2271350613901"/>
    <n v="1930"/>
    <s v="High"/>
  </r>
  <r>
    <s v="ORD0639"/>
    <x v="48"/>
    <x v="173"/>
    <x v="4"/>
    <x v="3"/>
    <x v="2"/>
    <x v="4"/>
    <x v="3"/>
    <n v="5"/>
    <n v="1912"/>
    <n v="6"/>
    <n v="8986.4"/>
    <n v="2918032.7899999991"/>
    <n v="3986.3835928961735"/>
    <n v="1927"/>
    <s v="High"/>
  </r>
  <r>
    <s v="ORD0473"/>
    <x v="131"/>
    <x v="174"/>
    <x v="0"/>
    <x v="1"/>
    <x v="4"/>
    <x v="0"/>
    <x v="0"/>
    <n v="4"/>
    <n v="2414"/>
    <n v="7"/>
    <n v="8980.08"/>
    <n v="2909046.3899999987"/>
    <n v="3979.5436251709971"/>
    <n v="1922"/>
    <s v="High"/>
  </r>
  <r>
    <s v="ORD0521"/>
    <x v="192"/>
    <x v="117"/>
    <x v="4"/>
    <x v="2"/>
    <x v="1"/>
    <x v="4"/>
    <x v="0"/>
    <n v="4"/>
    <n v="3204"/>
    <n v="30"/>
    <n v="8971.2000000000007"/>
    <n v="2900066.3099999982"/>
    <n v="3972.6935753424632"/>
    <n v="1918"/>
    <s v="High"/>
  </r>
  <r>
    <s v="ORD0065"/>
    <x v="146"/>
    <x v="83"/>
    <x v="4"/>
    <x v="6"/>
    <x v="0"/>
    <x v="0"/>
    <x v="1"/>
    <n v="4"/>
    <n v="2910"/>
    <n v="23"/>
    <n v="8962.7999999999993"/>
    <n v="2891095.1099999975"/>
    <n v="3965.8369135802436"/>
    <n v="1914"/>
    <s v="High"/>
  </r>
  <r>
    <s v="ORD0803"/>
    <x v="193"/>
    <x v="120"/>
    <x v="4"/>
    <x v="6"/>
    <x v="0"/>
    <x v="3"/>
    <x v="0"/>
    <n v="3"/>
    <n v="4036"/>
    <n v="26"/>
    <n v="8959.92"/>
    <n v="2882132.3099999977"/>
    <n v="3958.9729532967003"/>
    <n v="1910"/>
    <s v="High"/>
  </r>
  <r>
    <s v="ORD0682"/>
    <x v="194"/>
    <x v="85"/>
    <x v="4"/>
    <x v="4"/>
    <x v="1"/>
    <x v="3"/>
    <x v="3"/>
    <n v="5"/>
    <n v="2036"/>
    <n v="12"/>
    <n v="8958.4"/>
    <n v="2873172.3899999973"/>
    <n v="3952.0940715268189"/>
    <n v="1907"/>
    <s v="High"/>
  </r>
  <r>
    <s v="ORD0929"/>
    <x v="134"/>
    <x v="175"/>
    <x v="1"/>
    <x v="3"/>
    <x v="4"/>
    <x v="1"/>
    <x v="2"/>
    <n v="4"/>
    <n v="2370"/>
    <n v="6"/>
    <n v="8911.2000000000007"/>
    <n v="2864213.9899999974"/>
    <n v="3945.1983333333296"/>
    <n v="1902"/>
    <s v="High"/>
  </r>
  <r>
    <s v="ORD0557"/>
    <x v="195"/>
    <x v="146"/>
    <x v="4"/>
    <x v="0"/>
    <x v="0"/>
    <x v="0"/>
    <x v="1"/>
    <n v="5"/>
    <n v="2304"/>
    <n v="23"/>
    <n v="8870.4"/>
    <n v="2855302.7899999977"/>
    <n v="3938.3486758620656"/>
    <n v="1898"/>
    <s v="High"/>
  </r>
  <r>
    <s v="ORD0746"/>
    <x v="114"/>
    <x v="176"/>
    <x v="1"/>
    <x v="1"/>
    <x v="4"/>
    <x v="3"/>
    <x v="0"/>
    <n v="5"/>
    <n v="2458"/>
    <n v="28"/>
    <n v="8848.7999999999993"/>
    <n v="2846432.3899999973"/>
    <n v="3931.5364502762395"/>
    <n v="1893"/>
    <s v="High"/>
  </r>
  <r>
    <s v="ORD0332"/>
    <x v="25"/>
    <x v="67"/>
    <x v="4"/>
    <x v="2"/>
    <x v="0"/>
    <x v="2"/>
    <x v="3"/>
    <n v="2"/>
    <n v="4558"/>
    <n v="3"/>
    <n v="8842.52"/>
    <n v="2837583.5899999975"/>
    <n v="3924.7352558782814"/>
    <n v="1888"/>
    <s v="High"/>
  </r>
  <r>
    <s v="ORD0716"/>
    <x v="196"/>
    <x v="177"/>
    <x v="0"/>
    <x v="5"/>
    <x v="1"/>
    <x v="4"/>
    <x v="2"/>
    <n v="2"/>
    <n v="4459"/>
    <n v="1"/>
    <n v="8828.82"/>
    <n v="2828741.0699999975"/>
    <n v="3917.9239196675867"/>
    <n v="1886"/>
    <s v="High"/>
  </r>
  <r>
    <s v="ORD0077"/>
    <x v="197"/>
    <x v="178"/>
    <x v="1"/>
    <x v="3"/>
    <x v="2"/>
    <x v="4"/>
    <x v="2"/>
    <n v="3"/>
    <n v="3422"/>
    <n v="14"/>
    <n v="8828.76"/>
    <n v="2819912.2499999977"/>
    <n v="3911.1126907073476"/>
    <n v="1884"/>
    <s v="High"/>
  </r>
  <r>
    <s v="ORD0776"/>
    <x v="198"/>
    <x v="134"/>
    <x v="2"/>
    <x v="4"/>
    <x v="2"/>
    <x v="2"/>
    <x v="1"/>
    <n v="2"/>
    <n v="4502"/>
    <n v="2"/>
    <n v="8823.92"/>
    <n v="2811083.4899999979"/>
    <n v="3904.2826249999971"/>
    <n v="1881"/>
    <s v="High"/>
  </r>
  <r>
    <s v="ORD0951"/>
    <x v="110"/>
    <x v="179"/>
    <x v="2"/>
    <x v="2"/>
    <x v="2"/>
    <x v="3"/>
    <x v="1"/>
    <n v="3"/>
    <n v="3870"/>
    <n v="24"/>
    <n v="8823.6"/>
    <n v="2802259.569999998"/>
    <n v="3897.4402920723201"/>
    <n v="1879"/>
    <s v="High"/>
  </r>
  <r>
    <s v="ORD0958"/>
    <x v="199"/>
    <x v="180"/>
    <x v="4"/>
    <x v="6"/>
    <x v="4"/>
    <x v="4"/>
    <x v="3"/>
    <n v="4"/>
    <n v="2249"/>
    <n v="2"/>
    <n v="8816.08"/>
    <n v="2793435.9699999988"/>
    <n v="3890.5793454038981"/>
    <n v="1876"/>
    <s v="High"/>
  </r>
  <r>
    <s v="ORD0434"/>
    <x v="200"/>
    <x v="181"/>
    <x v="3"/>
    <x v="2"/>
    <x v="3"/>
    <x v="3"/>
    <x v="2"/>
    <n v="3"/>
    <n v="3455"/>
    <n v="15"/>
    <n v="8810.25"/>
    <n v="2784619.8899999992"/>
    <n v="3883.7097489539738"/>
    <n v="1872"/>
    <s v="High"/>
  </r>
  <r>
    <s v="ORD0975"/>
    <x v="178"/>
    <x v="182"/>
    <x v="2"/>
    <x v="3"/>
    <x v="1"/>
    <x v="4"/>
    <x v="0"/>
    <n v="2"/>
    <n v="4662"/>
    <n v="6"/>
    <n v="8764.56"/>
    <n v="2775809.6399999987"/>
    <n v="3876.8291061452496"/>
    <n v="1869"/>
    <s v="High"/>
  </r>
  <r>
    <s v="ORD0469"/>
    <x v="201"/>
    <x v="183"/>
    <x v="0"/>
    <x v="4"/>
    <x v="3"/>
    <x v="2"/>
    <x v="2"/>
    <n v="3"/>
    <n v="2933"/>
    <n v="1"/>
    <n v="8711.01"/>
    <n v="2767045.0799999987"/>
    <n v="3869.993118881117"/>
    <n v="1867"/>
    <s v="High"/>
  </r>
  <r>
    <s v="ORD0815"/>
    <x v="159"/>
    <x v="184"/>
    <x v="4"/>
    <x v="2"/>
    <x v="1"/>
    <x v="1"/>
    <x v="0"/>
    <n v="5"/>
    <n v="2172"/>
    <n v="20"/>
    <n v="8688"/>
    <n v="2758334.0699999989"/>
    <n v="3863.2129831932757"/>
    <n v="1864"/>
    <s v="High"/>
  </r>
  <r>
    <s v="ORD0864"/>
    <x v="6"/>
    <x v="49"/>
    <x v="0"/>
    <x v="4"/>
    <x v="1"/>
    <x v="0"/>
    <x v="1"/>
    <n v="3"/>
    <n v="2950"/>
    <n v="2"/>
    <n v="8673"/>
    <n v="2749646.0699999994"/>
    <n v="3856.4461009817664"/>
    <n v="1859"/>
    <s v="High"/>
  </r>
  <r>
    <s v="ORD0202"/>
    <x v="28"/>
    <x v="185"/>
    <x v="2"/>
    <x v="6"/>
    <x v="2"/>
    <x v="0"/>
    <x v="0"/>
    <n v="3"/>
    <n v="3068"/>
    <n v="6"/>
    <n v="8651.76"/>
    <n v="2740973.0699999994"/>
    <n v="3849.6812780898867"/>
    <n v="1856"/>
    <s v="High"/>
  </r>
  <r>
    <s v="ORD0973"/>
    <x v="202"/>
    <x v="186"/>
    <x v="3"/>
    <x v="2"/>
    <x v="4"/>
    <x v="1"/>
    <x v="3"/>
    <n v="5"/>
    <n v="2155"/>
    <n v="20"/>
    <n v="8620"/>
    <n v="2732321.3099999991"/>
    <n v="3842.927299578058"/>
    <n v="1853"/>
    <s v="High"/>
  </r>
  <r>
    <s v="ORD0344"/>
    <x v="100"/>
    <x v="187"/>
    <x v="2"/>
    <x v="5"/>
    <x v="0"/>
    <x v="0"/>
    <x v="0"/>
    <n v="5"/>
    <n v="1913"/>
    <n v="10"/>
    <n v="8608.5"/>
    <n v="2723701.3099999987"/>
    <n v="3836.1990281690123"/>
    <n v="1848"/>
    <s v="High"/>
  </r>
  <r>
    <s v="ORD0554"/>
    <x v="11"/>
    <x v="58"/>
    <x v="4"/>
    <x v="5"/>
    <x v="1"/>
    <x v="4"/>
    <x v="0"/>
    <n v="5"/>
    <n v="2391"/>
    <n v="28"/>
    <n v="8607.6"/>
    <n v="2715092.8099999987"/>
    <n v="3829.4679971791238"/>
    <n v="1843"/>
    <s v="High"/>
  </r>
  <r>
    <s v="ORD0431"/>
    <x v="203"/>
    <x v="161"/>
    <x v="4"/>
    <x v="2"/>
    <x v="2"/>
    <x v="0"/>
    <x v="3"/>
    <n v="4"/>
    <n v="2575"/>
    <n v="17"/>
    <n v="8549"/>
    <n v="2706485.2099999981"/>
    <n v="3822.7192231638392"/>
    <n v="1838"/>
    <s v="High"/>
  </r>
  <r>
    <s v="ORD0790"/>
    <x v="204"/>
    <x v="31"/>
    <x v="1"/>
    <x v="5"/>
    <x v="1"/>
    <x v="1"/>
    <x v="0"/>
    <n v="4"/>
    <n v="2736"/>
    <n v="22"/>
    <n v="8536.32"/>
    <n v="2697936.2099999981"/>
    <n v="3816.0342432814682"/>
    <n v="1834"/>
    <s v="High"/>
  </r>
  <r>
    <s v="ORD0730"/>
    <x v="180"/>
    <x v="187"/>
    <x v="0"/>
    <x v="0"/>
    <x v="0"/>
    <x v="3"/>
    <x v="1"/>
    <n v="2"/>
    <n v="4776"/>
    <n v="11"/>
    <n v="8501.2800000000007"/>
    <n v="2689399.8899999983"/>
    <n v="3809.3482861189777"/>
    <n v="1830"/>
    <s v="High"/>
  </r>
  <r>
    <s v="ORD0371"/>
    <x v="97"/>
    <x v="180"/>
    <x v="3"/>
    <x v="3"/>
    <x v="3"/>
    <x v="2"/>
    <x v="3"/>
    <n v="5"/>
    <n v="1734"/>
    <n v="2"/>
    <n v="8496.6"/>
    <n v="2680898.6099999985"/>
    <n v="3802.6930638297849"/>
    <n v="1828"/>
    <s v="High"/>
  </r>
  <r>
    <s v="ORD0094"/>
    <x v="205"/>
    <x v="188"/>
    <x v="3"/>
    <x v="0"/>
    <x v="1"/>
    <x v="1"/>
    <x v="3"/>
    <n v="2"/>
    <n v="4515"/>
    <n v="6"/>
    <n v="8488.2000000000007"/>
    <n v="2672402.0099999979"/>
    <n v="3796.0255823863608"/>
    <n v="1823"/>
    <s v="High"/>
  </r>
  <r>
    <s v="ORD0389"/>
    <x v="206"/>
    <x v="11"/>
    <x v="2"/>
    <x v="2"/>
    <x v="1"/>
    <x v="0"/>
    <x v="1"/>
    <n v="4"/>
    <n v="2748"/>
    <n v="23"/>
    <n v="8463.84"/>
    <n v="2663913.8099999987"/>
    <n v="3789.351081081079"/>
    <n v="1821"/>
    <s v="High"/>
  </r>
  <r>
    <s v="ORD0276"/>
    <x v="108"/>
    <x v="45"/>
    <x v="1"/>
    <x v="0"/>
    <x v="2"/>
    <x v="3"/>
    <x v="1"/>
    <n v="2"/>
    <n v="4907"/>
    <n v="14"/>
    <n v="8440.0400000000009"/>
    <n v="2655449.9699999988"/>
    <n v="3782.6922649572634"/>
    <n v="1817"/>
    <s v="High"/>
  </r>
  <r>
    <s v="ORD0946"/>
    <x v="74"/>
    <x v="175"/>
    <x v="3"/>
    <x v="4"/>
    <x v="1"/>
    <x v="3"/>
    <x v="0"/>
    <n v="4"/>
    <n v="2880"/>
    <n v="27"/>
    <n v="8409.6"/>
    <n v="2647009.9299999988"/>
    <n v="3776.0484022824517"/>
    <n v="1815"/>
    <s v="High"/>
  </r>
  <r>
    <s v="ORD0872"/>
    <x v="56"/>
    <x v="131"/>
    <x v="1"/>
    <x v="4"/>
    <x v="1"/>
    <x v="3"/>
    <x v="1"/>
    <n v="2"/>
    <n v="4931"/>
    <n v="15"/>
    <n v="8382.7000000000007"/>
    <n v="2638600.3299999991"/>
    <n v="3769.4290428571417"/>
    <n v="1811"/>
    <s v="High"/>
  </r>
  <r>
    <s v="ORD0463"/>
    <x v="124"/>
    <x v="58"/>
    <x v="4"/>
    <x v="1"/>
    <x v="1"/>
    <x v="1"/>
    <x v="0"/>
    <n v="3"/>
    <n v="3065"/>
    <n v="9"/>
    <n v="8367.4500000000007"/>
    <n v="2630217.6299999994"/>
    <n v="3762.8292274678101"/>
    <n v="1809"/>
    <s v="High"/>
  </r>
  <r>
    <s v="ORD0549"/>
    <x v="207"/>
    <x v="31"/>
    <x v="0"/>
    <x v="5"/>
    <x v="2"/>
    <x v="0"/>
    <x v="2"/>
    <n v="2"/>
    <n v="4155"/>
    <n v="0"/>
    <n v="8310"/>
    <n v="2621850.1799999992"/>
    <n v="3756.2323495701994"/>
    <n v="1806"/>
    <s v="High"/>
  </r>
  <r>
    <s v="ORD0047"/>
    <x v="208"/>
    <x v="12"/>
    <x v="4"/>
    <x v="1"/>
    <x v="2"/>
    <x v="1"/>
    <x v="0"/>
    <n v="2"/>
    <n v="4146"/>
    <n v="0"/>
    <n v="8292"/>
    <n v="2613540.1799999992"/>
    <n v="3749.6989670014336"/>
    <n v="1804"/>
    <s v="High"/>
  </r>
  <r>
    <s v="ORD0106"/>
    <x v="209"/>
    <x v="189"/>
    <x v="1"/>
    <x v="1"/>
    <x v="4"/>
    <x v="1"/>
    <x v="2"/>
    <n v="4"/>
    <n v="2303"/>
    <n v="10"/>
    <n v="8290.7999999999993"/>
    <n v="2605248.1799999992"/>
    <n v="3743.172672413792"/>
    <n v="1802"/>
    <s v="High"/>
  </r>
  <r>
    <s v="ORD0991"/>
    <x v="210"/>
    <x v="144"/>
    <x v="3"/>
    <x v="6"/>
    <x v="2"/>
    <x v="4"/>
    <x v="2"/>
    <n v="4"/>
    <n v="2135"/>
    <n v="3"/>
    <n v="8283.7999999999993"/>
    <n v="2596957.3799999994"/>
    <n v="3736.6293237410064"/>
    <n v="1798"/>
    <s v="High"/>
  </r>
  <r>
    <s v="ORD0940"/>
    <x v="127"/>
    <x v="190"/>
    <x v="1"/>
    <x v="3"/>
    <x v="1"/>
    <x v="3"/>
    <x v="1"/>
    <n v="5"/>
    <n v="2150"/>
    <n v="23"/>
    <n v="8277.5"/>
    <n v="2588673.5799999991"/>
    <n v="3730.0772046109496"/>
    <n v="1794"/>
    <s v="High"/>
  </r>
  <r>
    <s v="ORD0507"/>
    <x v="211"/>
    <x v="142"/>
    <x v="4"/>
    <x v="1"/>
    <x v="3"/>
    <x v="0"/>
    <x v="2"/>
    <n v="3"/>
    <n v="3319"/>
    <n v="17"/>
    <n v="8264.31"/>
    <n v="2580396.0799999991"/>
    <n v="3723.5152669552658"/>
    <n v="1789"/>
    <s v="High"/>
  </r>
  <r>
    <s v="ORD0142"/>
    <x v="212"/>
    <x v="169"/>
    <x v="0"/>
    <x v="3"/>
    <x v="3"/>
    <x v="1"/>
    <x v="3"/>
    <n v="4"/>
    <n v="2608"/>
    <n v="21"/>
    <n v="8241.2800000000007"/>
    <n v="2572131.7699999991"/>
    <n v="3716.9534248554901"/>
    <n v="1786"/>
    <s v="High"/>
  </r>
  <r>
    <s v="ORD0928"/>
    <x v="205"/>
    <x v="18"/>
    <x v="1"/>
    <x v="4"/>
    <x v="3"/>
    <x v="3"/>
    <x v="0"/>
    <n v="5"/>
    <n v="2347"/>
    <n v="30"/>
    <n v="8214.5"/>
    <n v="2563890.4899999993"/>
    <n v="3710.4059189580307"/>
    <n v="1782"/>
    <s v="High"/>
  </r>
  <r>
    <s v="ORD0728"/>
    <x v="213"/>
    <x v="156"/>
    <x v="0"/>
    <x v="5"/>
    <x v="3"/>
    <x v="4"/>
    <x v="1"/>
    <n v="2"/>
    <n v="4561"/>
    <n v="10"/>
    <n v="8209.7999999999993"/>
    <n v="2555675.9899999988"/>
    <n v="3703.8782463768098"/>
    <n v="1777"/>
    <s v="High"/>
  </r>
  <r>
    <s v="ORD0583"/>
    <x v="214"/>
    <x v="191"/>
    <x v="0"/>
    <x v="1"/>
    <x v="3"/>
    <x v="2"/>
    <x v="0"/>
    <n v="4"/>
    <n v="2070"/>
    <n v="1"/>
    <n v="8197.2000000000007"/>
    <n v="2547466.1899999985"/>
    <n v="3697.3384470246715"/>
    <n v="1775"/>
    <s v="High"/>
  </r>
  <r>
    <s v="ORD0565"/>
    <x v="9"/>
    <x v="113"/>
    <x v="2"/>
    <x v="1"/>
    <x v="0"/>
    <x v="3"/>
    <x v="0"/>
    <n v="3"/>
    <n v="3249"/>
    <n v="16"/>
    <n v="8187.48"/>
    <n v="2539268.9899999988"/>
    <n v="3690.7979505813937"/>
    <n v="1771"/>
    <s v="High"/>
  </r>
  <r>
    <s v="ORD0780"/>
    <x v="215"/>
    <x v="19"/>
    <x v="1"/>
    <x v="5"/>
    <x v="4"/>
    <x v="0"/>
    <x v="3"/>
    <n v="2"/>
    <n v="4122"/>
    <n v="1"/>
    <n v="8161.56"/>
    <n v="2531081.5099999988"/>
    <n v="3684.2525618631716"/>
    <n v="1768"/>
    <s v="High"/>
  </r>
  <r>
    <s v="ORD0397"/>
    <x v="142"/>
    <x v="192"/>
    <x v="1"/>
    <x v="5"/>
    <x v="4"/>
    <x v="3"/>
    <x v="2"/>
    <n v="4"/>
    <n v="2518"/>
    <n v="19"/>
    <n v="8158.32"/>
    <n v="2522919.9499999988"/>
    <n v="3677.7258746355669"/>
    <n v="1766"/>
    <s v="High"/>
  </r>
  <r>
    <s v="ORD0937"/>
    <x v="216"/>
    <x v="14"/>
    <x v="1"/>
    <x v="3"/>
    <x v="1"/>
    <x v="1"/>
    <x v="3"/>
    <n v="2"/>
    <n v="4151"/>
    <n v="2"/>
    <n v="8135.96"/>
    <n v="2514761.629999999"/>
    <n v="3671.1848613138673"/>
    <n v="1762"/>
    <s v="High"/>
  </r>
  <r>
    <s v="ORD0071"/>
    <x v="138"/>
    <x v="175"/>
    <x v="0"/>
    <x v="3"/>
    <x v="3"/>
    <x v="4"/>
    <x v="3"/>
    <n v="5"/>
    <n v="1825"/>
    <n v="11"/>
    <n v="8121.25"/>
    <n v="2506625.6699999985"/>
    <n v="3664.6574122806996"/>
    <n v="1760"/>
    <s v="High"/>
  </r>
  <r>
    <s v="ORD0544"/>
    <x v="217"/>
    <x v="159"/>
    <x v="3"/>
    <x v="6"/>
    <x v="4"/>
    <x v="4"/>
    <x v="3"/>
    <n v="3"/>
    <n v="3689"/>
    <n v="27"/>
    <n v="8078.91"/>
    <n v="2498504.4199999985"/>
    <n v="3658.1323865300124"/>
    <n v="1755"/>
    <s v="High"/>
  </r>
  <r>
    <s v="ORD0760"/>
    <x v="218"/>
    <x v="161"/>
    <x v="4"/>
    <x v="5"/>
    <x v="3"/>
    <x v="2"/>
    <x v="0"/>
    <n v="2"/>
    <n v="4028"/>
    <n v="0"/>
    <n v="8056"/>
    <n v="2490425.5099999988"/>
    <n v="3651.6503079178869"/>
    <n v="1752"/>
    <s v="High"/>
  </r>
  <r>
    <s v="ORD0353"/>
    <x v="190"/>
    <x v="193"/>
    <x v="0"/>
    <x v="0"/>
    <x v="2"/>
    <x v="3"/>
    <x v="3"/>
    <n v="2"/>
    <n v="4238"/>
    <n v="5"/>
    <n v="8052.2"/>
    <n v="2482369.5099999984"/>
    <n v="3645.1828340675452"/>
    <n v="1750"/>
    <s v="High"/>
  </r>
  <r>
    <s v="ORD0858"/>
    <x v="50"/>
    <x v="194"/>
    <x v="1"/>
    <x v="1"/>
    <x v="3"/>
    <x v="4"/>
    <x v="2"/>
    <n v="5"/>
    <n v="1643"/>
    <n v="2"/>
    <n v="8050.7"/>
    <n v="2474317.3099999987"/>
    <n v="3638.7019264705864"/>
    <n v="1748"/>
    <s v="High"/>
  </r>
  <r>
    <s v="ORD0210"/>
    <x v="219"/>
    <x v="158"/>
    <x v="0"/>
    <x v="2"/>
    <x v="2"/>
    <x v="0"/>
    <x v="1"/>
    <n v="3"/>
    <n v="3603"/>
    <n v="26"/>
    <n v="7998.66"/>
    <n v="2466266.6099999985"/>
    <n v="3632.2041384388785"/>
    <n v="1743"/>
    <s v="High"/>
  </r>
  <r>
    <s v="ORD0681"/>
    <x v="141"/>
    <x v="90"/>
    <x v="0"/>
    <x v="5"/>
    <x v="3"/>
    <x v="0"/>
    <x v="1"/>
    <n v="3"/>
    <n v="3171"/>
    <n v="16"/>
    <n v="7990.92"/>
    <n v="2458267.9499999979"/>
    <n v="3625.7639380530941"/>
    <n v="1740"/>
    <s v="High"/>
  </r>
  <r>
    <s v="ORD0910"/>
    <x v="220"/>
    <x v="139"/>
    <x v="0"/>
    <x v="6"/>
    <x v="1"/>
    <x v="4"/>
    <x v="0"/>
    <n v="4"/>
    <n v="2218"/>
    <n v="10"/>
    <n v="7984.8"/>
    <n v="2450277.0299999975"/>
    <n v="3619.3161447562738"/>
    <n v="1737"/>
    <s v="High"/>
  </r>
  <r>
    <s v="ORD0421"/>
    <x v="175"/>
    <x v="195"/>
    <x v="3"/>
    <x v="6"/>
    <x v="0"/>
    <x v="3"/>
    <x v="0"/>
    <n v="5"/>
    <n v="1605"/>
    <n v="1"/>
    <n v="7944.75"/>
    <n v="2442292.2299999977"/>
    <n v="3612.8583284023634"/>
    <n v="1733"/>
    <s v="High"/>
  </r>
  <r>
    <s v="ORD0429"/>
    <x v="129"/>
    <x v="196"/>
    <x v="1"/>
    <x v="0"/>
    <x v="0"/>
    <x v="4"/>
    <x v="1"/>
    <n v="5"/>
    <n v="2062"/>
    <n v="23"/>
    <n v="7938.7"/>
    <n v="2434347.4799999981"/>
    <n v="3606.4407111111082"/>
    <n v="1728"/>
    <s v="High"/>
  </r>
  <r>
    <s v="ORD0703"/>
    <x v="161"/>
    <x v="89"/>
    <x v="1"/>
    <x v="0"/>
    <x v="1"/>
    <x v="1"/>
    <x v="0"/>
    <n v="3"/>
    <n v="3290"/>
    <n v="20"/>
    <n v="7896"/>
    <n v="2426408.7799999979"/>
    <n v="3600.0130267062282"/>
    <n v="1723"/>
    <s v="High"/>
  </r>
  <r>
    <s v="ORD0570"/>
    <x v="105"/>
    <x v="197"/>
    <x v="1"/>
    <x v="5"/>
    <x v="1"/>
    <x v="2"/>
    <x v="3"/>
    <n v="5"/>
    <n v="2160"/>
    <n v="27"/>
    <n v="7884"/>
    <n v="2418512.7799999975"/>
    <n v="3593.6296879643351"/>
    <n v="1720"/>
    <s v="High"/>
  </r>
  <r>
    <s v="ORD0133"/>
    <x v="57"/>
    <x v="198"/>
    <x v="0"/>
    <x v="0"/>
    <x v="2"/>
    <x v="3"/>
    <x v="3"/>
    <n v="4"/>
    <n v="2361"/>
    <n v="17"/>
    <n v="7838.52"/>
    <n v="2410628.7799999975"/>
    <n v="3587.2452083333296"/>
    <n v="1715"/>
    <s v="High"/>
  </r>
  <r>
    <s v="ORD0375"/>
    <x v="5"/>
    <x v="159"/>
    <x v="0"/>
    <x v="3"/>
    <x v="0"/>
    <x v="3"/>
    <x v="0"/>
    <n v="3"/>
    <n v="3436"/>
    <n v="24"/>
    <n v="7834.08"/>
    <n v="2402790.2599999974"/>
    <n v="3580.9094783904584"/>
    <n v="1711"/>
    <s v="High"/>
  </r>
  <r>
    <s v="ORD0441"/>
    <x v="221"/>
    <x v="197"/>
    <x v="2"/>
    <x v="1"/>
    <x v="3"/>
    <x v="4"/>
    <x v="3"/>
    <n v="3"/>
    <n v="3211"/>
    <n v="19"/>
    <n v="7802.73"/>
    <n v="2394956.1799999974"/>
    <n v="3574.5614626865631"/>
    <n v="1708"/>
    <s v="High"/>
  </r>
  <r>
    <s v="ORD0737"/>
    <x v="153"/>
    <x v="141"/>
    <x v="0"/>
    <x v="5"/>
    <x v="3"/>
    <x v="3"/>
    <x v="3"/>
    <n v="3"/>
    <n v="3133"/>
    <n v="17"/>
    <n v="7801.17"/>
    <n v="2387153.4499999974"/>
    <n v="3568.2413303437929"/>
    <n v="1705"/>
    <s v="High"/>
  </r>
  <r>
    <s v="ORD0828"/>
    <x v="154"/>
    <x v="199"/>
    <x v="4"/>
    <x v="3"/>
    <x v="1"/>
    <x v="3"/>
    <x v="0"/>
    <n v="2"/>
    <n v="4229"/>
    <n v="8"/>
    <n v="7781.36"/>
    <n v="2379352.2799999965"/>
    <n v="3561.9046107784379"/>
    <n v="1702"/>
    <s v="High"/>
  </r>
  <r>
    <s v="ORD0498"/>
    <x v="222"/>
    <x v="16"/>
    <x v="2"/>
    <x v="5"/>
    <x v="3"/>
    <x v="0"/>
    <x v="0"/>
    <n v="5"/>
    <n v="1728"/>
    <n v="10"/>
    <n v="7776"/>
    <n v="2371570.9199999967"/>
    <n v="3555.5785907046425"/>
    <n v="1700"/>
    <s v="High"/>
  </r>
  <r>
    <s v="ORD0053"/>
    <x v="223"/>
    <x v="110"/>
    <x v="4"/>
    <x v="3"/>
    <x v="2"/>
    <x v="2"/>
    <x v="1"/>
    <n v="5"/>
    <n v="2041"/>
    <n v="24"/>
    <n v="7755.8"/>
    <n v="2363794.9199999967"/>
    <n v="3549.2416216216166"/>
    <n v="1695"/>
    <s v="High"/>
  </r>
  <r>
    <s v="ORD0075"/>
    <x v="86"/>
    <x v="200"/>
    <x v="2"/>
    <x v="1"/>
    <x v="2"/>
    <x v="4"/>
    <x v="2"/>
    <n v="3"/>
    <n v="2740"/>
    <n v="6"/>
    <n v="7726.8"/>
    <n v="2356039.1199999973"/>
    <n v="3542.915969924808"/>
    <n v="1690"/>
    <s v="High"/>
  </r>
  <r>
    <s v="ORD0909"/>
    <x v="65"/>
    <x v="50"/>
    <x v="2"/>
    <x v="5"/>
    <x v="4"/>
    <x v="4"/>
    <x v="3"/>
    <n v="5"/>
    <n v="2059"/>
    <n v="25"/>
    <n v="7721.25"/>
    <n v="2348312.319999997"/>
    <n v="3536.6149397590316"/>
    <n v="1687"/>
    <s v="High"/>
  </r>
  <r>
    <s v="ORD0314"/>
    <x v="150"/>
    <x v="33"/>
    <x v="0"/>
    <x v="0"/>
    <x v="3"/>
    <x v="4"/>
    <x v="0"/>
    <n v="2"/>
    <n v="3896"/>
    <n v="1"/>
    <n v="7714.08"/>
    <n v="2340591.0699999975"/>
    <n v="3530.3032730015047"/>
    <n v="1682"/>
    <s v="High"/>
  </r>
  <r>
    <s v="ORD0270"/>
    <x v="224"/>
    <x v="198"/>
    <x v="1"/>
    <x v="4"/>
    <x v="1"/>
    <x v="2"/>
    <x v="0"/>
    <n v="5"/>
    <n v="1557"/>
    <n v="1"/>
    <n v="7707.15"/>
    <n v="2332876.9899999974"/>
    <n v="3523.9833685800563"/>
    <n v="1680"/>
    <s v="High"/>
  </r>
  <r>
    <s v="ORD0796"/>
    <x v="75"/>
    <x v="47"/>
    <x v="1"/>
    <x v="6"/>
    <x v="2"/>
    <x v="0"/>
    <x v="3"/>
    <n v="2"/>
    <n v="4427"/>
    <n v="13"/>
    <n v="7702.98"/>
    <n v="2325169.8399999971"/>
    <n v="3517.6548260211757"/>
    <n v="1675"/>
    <s v="High"/>
  </r>
  <r>
    <s v="ORD0971"/>
    <x v="70"/>
    <x v="25"/>
    <x v="2"/>
    <x v="6"/>
    <x v="0"/>
    <x v="2"/>
    <x v="0"/>
    <n v="2"/>
    <n v="4811"/>
    <n v="20"/>
    <n v="7697.6"/>
    <n v="2317466.8599999971"/>
    <n v="3511.3134242424198"/>
    <n v="1673"/>
    <s v="High"/>
  </r>
  <r>
    <s v="ORD0622"/>
    <x v="85"/>
    <x v="25"/>
    <x v="0"/>
    <x v="5"/>
    <x v="4"/>
    <x v="3"/>
    <x v="0"/>
    <n v="3"/>
    <n v="3545"/>
    <n v="28"/>
    <n v="7657.2"/>
    <n v="2309769.2599999974"/>
    <n v="3504.9609408194196"/>
    <n v="1671"/>
    <s v="High"/>
  </r>
  <r>
    <s v="ORD0581"/>
    <x v="85"/>
    <x v="201"/>
    <x v="4"/>
    <x v="2"/>
    <x v="1"/>
    <x v="3"/>
    <x v="2"/>
    <n v="3"/>
    <n v="3101"/>
    <n v="18"/>
    <n v="7628.46"/>
    <n v="2302112.0599999973"/>
    <n v="3498.6505471124578"/>
    <n v="1668"/>
    <s v="High"/>
  </r>
  <r>
    <s v="ORD0767"/>
    <x v="225"/>
    <x v="202"/>
    <x v="3"/>
    <x v="2"/>
    <x v="2"/>
    <x v="1"/>
    <x v="0"/>
    <n v="4"/>
    <n v="2715"/>
    <n v="30"/>
    <n v="7602"/>
    <n v="2294483.5999999973"/>
    <n v="3492.3646879756429"/>
    <n v="1665"/>
    <s v="High"/>
  </r>
  <r>
    <s v="ORD0007"/>
    <x v="226"/>
    <x v="118"/>
    <x v="3"/>
    <x v="2"/>
    <x v="1"/>
    <x v="4"/>
    <x v="3"/>
    <n v="5"/>
    <n v="2081"/>
    <n v="27"/>
    <n v="7595.65"/>
    <n v="2286881.5999999973"/>
    <n v="3486.0999999999958"/>
    <n v="1661"/>
    <s v="High"/>
  </r>
  <r>
    <s v="ORD0351"/>
    <x v="161"/>
    <x v="127"/>
    <x v="3"/>
    <x v="2"/>
    <x v="2"/>
    <x v="2"/>
    <x v="0"/>
    <n v="2"/>
    <n v="3828"/>
    <n v="1"/>
    <n v="7579.44"/>
    <n v="2279285.9499999974"/>
    <n v="3479.8258778625914"/>
    <n v="1656"/>
    <s v="High"/>
  </r>
  <r>
    <s v="ORD0805"/>
    <x v="227"/>
    <x v="43"/>
    <x v="2"/>
    <x v="6"/>
    <x v="3"/>
    <x v="2"/>
    <x v="2"/>
    <n v="2"/>
    <n v="3842"/>
    <n v="2"/>
    <n v="7530.32"/>
    <n v="2271706.509999997"/>
    <n v="3473.5573547400563"/>
    <n v="1654"/>
    <s v="High"/>
  </r>
  <r>
    <s v="ORD0376"/>
    <x v="228"/>
    <x v="203"/>
    <x v="0"/>
    <x v="3"/>
    <x v="4"/>
    <x v="3"/>
    <x v="3"/>
    <n v="2"/>
    <n v="4478"/>
    <n v="16"/>
    <n v="7523.04"/>
    <n v="2264176.1899999976"/>
    <n v="3467.3448545176075"/>
    <n v="1652"/>
    <s v="High"/>
  </r>
  <r>
    <s v="ORD0198"/>
    <x v="205"/>
    <x v="29"/>
    <x v="4"/>
    <x v="3"/>
    <x v="0"/>
    <x v="3"/>
    <x v="3"/>
    <n v="5"/>
    <n v="2032"/>
    <n v="26"/>
    <n v="7518.4"/>
    <n v="2256653.1499999976"/>
    <n v="3461.1244631901804"/>
    <n v="1650"/>
    <s v="High"/>
  </r>
  <r>
    <s v="ORD0609"/>
    <x v="150"/>
    <x v="108"/>
    <x v="0"/>
    <x v="1"/>
    <x v="1"/>
    <x v="1"/>
    <x v="2"/>
    <n v="2"/>
    <n v="4813"/>
    <n v="22"/>
    <n v="7508.28"/>
    <n v="2249134.7499999977"/>
    <n v="3454.8920890936984"/>
    <n v="1645"/>
    <s v="High"/>
  </r>
  <r>
    <s v="ORD0185"/>
    <x v="229"/>
    <x v="158"/>
    <x v="4"/>
    <x v="0"/>
    <x v="0"/>
    <x v="0"/>
    <x v="2"/>
    <n v="4"/>
    <n v="2372"/>
    <n v="21"/>
    <n v="7495.52"/>
    <n v="2241626.4699999979"/>
    <n v="3448.6561076923044"/>
    <n v="1643"/>
    <s v="High"/>
  </r>
  <r>
    <s v="ORD0193"/>
    <x v="59"/>
    <x v="204"/>
    <x v="1"/>
    <x v="0"/>
    <x v="2"/>
    <x v="1"/>
    <x v="1"/>
    <n v="3"/>
    <n v="3324"/>
    <n v="25"/>
    <n v="7479"/>
    <n v="2234130.9499999988"/>
    <n v="3442.4205701078563"/>
    <n v="1639"/>
    <s v="High"/>
  </r>
  <r>
    <s v="ORD0022"/>
    <x v="23"/>
    <x v="205"/>
    <x v="1"/>
    <x v="1"/>
    <x v="1"/>
    <x v="2"/>
    <x v="0"/>
    <n v="3"/>
    <n v="2795"/>
    <n v="11"/>
    <n v="7462.65"/>
    <n v="2226651.9499999993"/>
    <n v="3436.1912808641964"/>
    <n v="1636"/>
    <s v="High"/>
  </r>
  <r>
    <s v="ORD0748"/>
    <x v="193"/>
    <x v="206"/>
    <x v="3"/>
    <x v="6"/>
    <x v="4"/>
    <x v="3"/>
    <x v="1"/>
    <n v="2"/>
    <n v="4386"/>
    <n v="15"/>
    <n v="7456.2"/>
    <n v="2219189.2999999989"/>
    <n v="3429.9680061823783"/>
    <n v="1633"/>
    <s v="High"/>
  </r>
  <r>
    <s v="ORD0039"/>
    <x v="97"/>
    <x v="207"/>
    <x v="0"/>
    <x v="6"/>
    <x v="1"/>
    <x v="1"/>
    <x v="3"/>
    <n v="2"/>
    <n v="3842"/>
    <n v="3"/>
    <n v="7453.48"/>
    <n v="2211733.0999999996"/>
    <n v="3423.7354489164081"/>
    <n v="1631"/>
    <s v="High"/>
  </r>
  <r>
    <s v="ORD0282"/>
    <x v="16"/>
    <x v="208"/>
    <x v="2"/>
    <x v="2"/>
    <x v="2"/>
    <x v="4"/>
    <x v="1"/>
    <n v="2"/>
    <n v="3899"/>
    <n v="5"/>
    <n v="7408.1"/>
    <n v="2204279.6199999992"/>
    <n v="3417.487782945735"/>
    <n v="1629"/>
    <s v="High"/>
  </r>
  <r>
    <s v="ORD0718"/>
    <x v="230"/>
    <x v="20"/>
    <x v="3"/>
    <x v="1"/>
    <x v="1"/>
    <x v="3"/>
    <x v="2"/>
    <n v="3"/>
    <n v="3380"/>
    <n v="27"/>
    <n v="7402.2"/>
    <n v="2196871.5199999991"/>
    <n v="3411.2911801242221"/>
    <n v="1627"/>
    <s v="High"/>
  </r>
  <r>
    <s v="ORD0970"/>
    <x v="231"/>
    <x v="209"/>
    <x v="4"/>
    <x v="2"/>
    <x v="4"/>
    <x v="1"/>
    <x v="1"/>
    <n v="2"/>
    <n v="3734"/>
    <n v="1"/>
    <n v="7393.32"/>
    <n v="2189469.3199999994"/>
    <n v="3405.0844790046644"/>
    <n v="1624"/>
    <s v="High"/>
  </r>
  <r>
    <s v="ORD0580"/>
    <x v="89"/>
    <x v="145"/>
    <x v="1"/>
    <x v="2"/>
    <x v="4"/>
    <x v="3"/>
    <x v="3"/>
    <n v="3"/>
    <n v="3242"/>
    <n v="24"/>
    <n v="7391.76"/>
    <n v="2182075.9999999991"/>
    <n v="3398.8722741433007"/>
    <n v="1622"/>
    <s v="High"/>
  </r>
  <r>
    <s v="ORD0725"/>
    <x v="10"/>
    <x v="116"/>
    <x v="0"/>
    <x v="2"/>
    <x v="2"/>
    <x v="4"/>
    <x v="1"/>
    <n v="2"/>
    <n v="3795"/>
    <n v="3"/>
    <n v="7362.3"/>
    <n v="2174684.2399999988"/>
    <n v="3392.6431201248033"/>
    <n v="1619"/>
    <s v="High"/>
  </r>
  <r>
    <s v="ORD0082"/>
    <x v="232"/>
    <x v="21"/>
    <x v="4"/>
    <x v="5"/>
    <x v="0"/>
    <x v="2"/>
    <x v="0"/>
    <n v="2"/>
    <n v="4907"/>
    <n v="25"/>
    <n v="7360.5"/>
    <n v="2167321.9399999995"/>
    <n v="3386.4405312499994"/>
    <n v="1617"/>
    <s v="High"/>
  </r>
  <r>
    <s v="ORD0315"/>
    <x v="211"/>
    <x v="178"/>
    <x v="2"/>
    <x v="5"/>
    <x v="2"/>
    <x v="2"/>
    <x v="1"/>
    <n v="3"/>
    <n v="3358"/>
    <n v="27"/>
    <n v="7354.02"/>
    <n v="2159961.439999999"/>
    <n v="3380.2213458528936"/>
    <n v="1615"/>
    <s v="High"/>
  </r>
  <r>
    <s v="ORD0820"/>
    <x v="219"/>
    <x v="118"/>
    <x v="1"/>
    <x v="3"/>
    <x v="4"/>
    <x v="1"/>
    <x v="0"/>
    <n v="5"/>
    <n v="1484"/>
    <n v="1"/>
    <n v="7345.8"/>
    <n v="2152607.4199999995"/>
    <n v="3373.9928213166136"/>
    <n v="1612"/>
    <s v="High"/>
  </r>
  <r>
    <s v="ORD0978"/>
    <x v="162"/>
    <x v="80"/>
    <x v="4"/>
    <x v="3"/>
    <x v="3"/>
    <x v="1"/>
    <x v="2"/>
    <n v="2"/>
    <n v="4447"/>
    <n v="18"/>
    <n v="7293.08"/>
    <n v="2145261.6199999992"/>
    <n v="3367.7576452119297"/>
    <n v="1607"/>
    <s v="High"/>
  </r>
  <r>
    <s v="ORD0303"/>
    <x v="129"/>
    <x v="104"/>
    <x v="0"/>
    <x v="3"/>
    <x v="1"/>
    <x v="2"/>
    <x v="3"/>
    <n v="2"/>
    <n v="4734"/>
    <n v="23"/>
    <n v="7290.36"/>
    <n v="2137968.5399999991"/>
    <n v="3361.5857547169799"/>
    <n v="1605"/>
    <s v="High"/>
  </r>
  <r>
    <s v="ORD0307"/>
    <x v="96"/>
    <x v="11"/>
    <x v="1"/>
    <x v="3"/>
    <x v="3"/>
    <x v="0"/>
    <x v="3"/>
    <n v="4"/>
    <n v="1980"/>
    <n v="8"/>
    <n v="7286.4"/>
    <n v="2130678.1799999997"/>
    <n v="3355.398708661417"/>
    <n v="1603"/>
    <s v="High"/>
  </r>
  <r>
    <s v="ORD0503"/>
    <x v="145"/>
    <x v="107"/>
    <x v="0"/>
    <x v="3"/>
    <x v="4"/>
    <x v="4"/>
    <x v="2"/>
    <n v="3"/>
    <n v="2549"/>
    <n v="5"/>
    <n v="7264.65"/>
    <n v="2123391.7800000003"/>
    <n v="3349.1983911671928"/>
    <n v="1599"/>
    <s v="High"/>
  </r>
  <r>
    <s v="ORD0841"/>
    <x v="233"/>
    <x v="210"/>
    <x v="1"/>
    <x v="0"/>
    <x v="4"/>
    <x v="1"/>
    <x v="2"/>
    <n v="2"/>
    <n v="3666"/>
    <n v="1"/>
    <n v="7258.68"/>
    <n v="2116127.1300000018"/>
    <n v="3343.0128436018986"/>
    <n v="1596"/>
    <s v="High"/>
  </r>
  <r>
    <s v="ORD0347"/>
    <x v="159"/>
    <x v="114"/>
    <x v="0"/>
    <x v="3"/>
    <x v="0"/>
    <x v="4"/>
    <x v="1"/>
    <n v="3"/>
    <n v="3238"/>
    <n v="26"/>
    <n v="7188.36"/>
    <n v="2108868.4500000011"/>
    <n v="3336.8171677215209"/>
    <n v="1594"/>
    <s v="High"/>
  </r>
  <r>
    <s v="ORD0150"/>
    <x v="234"/>
    <x v="202"/>
    <x v="1"/>
    <x v="2"/>
    <x v="0"/>
    <x v="1"/>
    <x v="0"/>
    <n v="2"/>
    <n v="4130"/>
    <n v="13"/>
    <n v="7186.2"/>
    <n v="2101680.0900000012"/>
    <n v="3330.7132963549939"/>
    <n v="1591"/>
    <s v="High"/>
  </r>
  <r>
    <s v="ORD0999"/>
    <x v="161"/>
    <x v="97"/>
    <x v="1"/>
    <x v="0"/>
    <x v="4"/>
    <x v="3"/>
    <x v="2"/>
    <n v="4"/>
    <n v="2553"/>
    <n v="30"/>
    <n v="7148.4"/>
    <n v="2094493.8900000006"/>
    <n v="3324.5934761904773"/>
    <n v="1589"/>
    <s v="High"/>
  </r>
  <r>
    <s v="ORD0508"/>
    <x v="235"/>
    <x v="139"/>
    <x v="4"/>
    <x v="4"/>
    <x v="4"/>
    <x v="4"/>
    <x v="0"/>
    <n v="3"/>
    <n v="2833"/>
    <n v="16"/>
    <n v="7139.16"/>
    <n v="2087345.4900000007"/>
    <n v="3318.5142925278228"/>
    <n v="1585"/>
    <s v="High"/>
  </r>
  <r>
    <s v="ORD0982"/>
    <x v="236"/>
    <x v="32"/>
    <x v="3"/>
    <x v="6"/>
    <x v="4"/>
    <x v="1"/>
    <x v="0"/>
    <n v="2"/>
    <n v="4046"/>
    <n v="12"/>
    <n v="7120.96"/>
    <n v="2080206.3300000008"/>
    <n v="3312.4304617834409"/>
    <n v="1582"/>
    <s v="High"/>
  </r>
  <r>
    <s v="ORD0839"/>
    <x v="237"/>
    <x v="119"/>
    <x v="0"/>
    <x v="6"/>
    <x v="2"/>
    <x v="3"/>
    <x v="1"/>
    <n v="4"/>
    <n v="2064"/>
    <n v="14"/>
    <n v="7100.16"/>
    <n v="2073085.3700000006"/>
    <n v="3306.3562519936213"/>
    <n v="1580"/>
    <s v="High"/>
  </r>
  <r>
    <s v="ORD0854"/>
    <x v="155"/>
    <x v="211"/>
    <x v="3"/>
    <x v="1"/>
    <x v="1"/>
    <x v="1"/>
    <x v="1"/>
    <n v="4"/>
    <n v="1792"/>
    <n v="1"/>
    <n v="7096.32"/>
    <n v="2065985.2100000007"/>
    <n v="3300.2958626198092"/>
    <n v="1576"/>
    <s v="High"/>
  </r>
  <r>
    <s v="ORD0672"/>
    <x v="238"/>
    <x v="212"/>
    <x v="3"/>
    <x v="1"/>
    <x v="2"/>
    <x v="2"/>
    <x v="2"/>
    <n v="5"/>
    <n v="1994"/>
    <n v="29"/>
    <n v="7078.7"/>
    <n v="2058888.8900000006"/>
    <n v="3294.222224000001"/>
    <n v="1572"/>
    <s v="High"/>
  </r>
  <r>
    <s v="ORD0916"/>
    <x v="43"/>
    <x v="29"/>
    <x v="0"/>
    <x v="6"/>
    <x v="2"/>
    <x v="3"/>
    <x v="0"/>
    <n v="2"/>
    <n v="3570"/>
    <n v="1"/>
    <n v="7068.6"/>
    <n v="2051810.1900000006"/>
    <n v="3288.1573557692318"/>
    <n v="1567"/>
    <s v="High"/>
  </r>
  <r>
    <s v="ORD0782"/>
    <x v="100"/>
    <x v="106"/>
    <x v="4"/>
    <x v="1"/>
    <x v="1"/>
    <x v="0"/>
    <x v="3"/>
    <n v="3"/>
    <n v="3054"/>
    <n v="23"/>
    <n v="7054.74"/>
    <n v="2044741.5900000008"/>
    <n v="3282.0892295345116"/>
    <n v="1565"/>
    <s v="High"/>
  </r>
  <r>
    <s v="ORD0027"/>
    <x v="112"/>
    <x v="213"/>
    <x v="0"/>
    <x v="3"/>
    <x v="2"/>
    <x v="4"/>
    <x v="3"/>
    <n v="2"/>
    <n v="3875"/>
    <n v="9"/>
    <n v="7052.5"/>
    <n v="2037686.8500000008"/>
    <n v="3276.0238745980719"/>
    <n v="1562"/>
    <s v="High"/>
  </r>
  <r>
    <s v="ORD0374"/>
    <x v="139"/>
    <x v="214"/>
    <x v="4"/>
    <x v="6"/>
    <x v="2"/>
    <x v="3"/>
    <x v="1"/>
    <n v="5"/>
    <n v="1550"/>
    <n v="9"/>
    <n v="7052.5"/>
    <n v="2030634.3500000006"/>
    <n v="3269.9425925925934"/>
    <n v="1560"/>
    <s v="High"/>
  </r>
  <r>
    <s v="ORD0677"/>
    <x v="209"/>
    <x v="72"/>
    <x v="0"/>
    <x v="4"/>
    <x v="2"/>
    <x v="2"/>
    <x v="1"/>
    <n v="5"/>
    <n v="1451"/>
    <n v="3"/>
    <n v="7037.35"/>
    <n v="2023581.8500000008"/>
    <n v="3263.8416935483883"/>
    <n v="1555"/>
    <s v="High"/>
  </r>
  <r>
    <s v="ORD0799"/>
    <x v="218"/>
    <x v="215"/>
    <x v="3"/>
    <x v="4"/>
    <x v="4"/>
    <x v="2"/>
    <x v="3"/>
    <n v="3"/>
    <n v="2918"/>
    <n v="20"/>
    <n v="7003.2"/>
    <n v="2016544.5000000005"/>
    <n v="3257.7455573505663"/>
    <n v="1550"/>
    <s v="High"/>
  </r>
  <r>
    <s v="ORD0491"/>
    <x v="239"/>
    <x v="216"/>
    <x v="3"/>
    <x v="4"/>
    <x v="3"/>
    <x v="4"/>
    <x v="2"/>
    <n v="4"/>
    <n v="2181"/>
    <n v="20"/>
    <n v="6979.2"/>
    <n v="2009541.3000000005"/>
    <n v="3251.6849514563114"/>
    <n v="1547"/>
    <s v="High"/>
  </r>
  <r>
    <s v="ORD0740"/>
    <x v="128"/>
    <x v="102"/>
    <x v="4"/>
    <x v="1"/>
    <x v="0"/>
    <x v="2"/>
    <x v="3"/>
    <n v="5"/>
    <n v="1566"/>
    <n v="11"/>
    <n v="6968.7"/>
    <n v="2002562.1000000006"/>
    <n v="3245.6435980551064"/>
    <n v="1543"/>
    <s v="High"/>
  </r>
  <r>
    <s v="ORD0026"/>
    <x v="146"/>
    <x v="117"/>
    <x v="4"/>
    <x v="6"/>
    <x v="3"/>
    <x v="0"/>
    <x v="0"/>
    <n v="5"/>
    <n v="1933"/>
    <n v="28"/>
    <n v="6958.8"/>
    <n v="1995593.4000000004"/>
    <n v="3239.5996753246759"/>
    <n v="1538"/>
    <s v="High"/>
  </r>
  <r>
    <s v="ORD0086"/>
    <x v="133"/>
    <x v="86"/>
    <x v="4"/>
    <x v="2"/>
    <x v="0"/>
    <x v="0"/>
    <x v="3"/>
    <n v="2"/>
    <n v="4294"/>
    <n v="19"/>
    <n v="6956.28"/>
    <n v="1988634.6000000003"/>
    <n v="3233.5521951219516"/>
    <n v="1533"/>
    <s v="High"/>
  </r>
  <r>
    <s v="ORD0110"/>
    <x v="240"/>
    <x v="201"/>
    <x v="0"/>
    <x v="5"/>
    <x v="4"/>
    <x v="3"/>
    <x v="1"/>
    <n v="4"/>
    <n v="1750"/>
    <n v="1"/>
    <n v="6930"/>
    <n v="1981678.3200000003"/>
    <n v="3227.4891205211729"/>
    <n v="1531"/>
    <s v="High"/>
  </r>
  <r>
    <s v="ORD0868"/>
    <x v="241"/>
    <x v="147"/>
    <x v="1"/>
    <x v="4"/>
    <x v="0"/>
    <x v="1"/>
    <x v="0"/>
    <n v="2"/>
    <n v="4172"/>
    <n v="17"/>
    <n v="6925.52"/>
    <n v="1974748.3200000003"/>
    <n v="3221.4491353996741"/>
    <n v="1527"/>
    <s v="High"/>
  </r>
  <r>
    <s v="ORD0255"/>
    <x v="150"/>
    <x v="3"/>
    <x v="0"/>
    <x v="6"/>
    <x v="3"/>
    <x v="2"/>
    <x v="0"/>
    <n v="3"/>
    <n v="2998"/>
    <n v="23"/>
    <n v="6925.38"/>
    <n v="1967822.8000000003"/>
    <n v="3215.396732026144"/>
    <n v="1525"/>
    <s v="High"/>
  </r>
  <r>
    <s v="ORD0849"/>
    <x v="242"/>
    <x v="63"/>
    <x v="2"/>
    <x v="4"/>
    <x v="0"/>
    <x v="2"/>
    <x v="1"/>
    <n v="3"/>
    <n v="2995"/>
    <n v="24"/>
    <n v="6828.6"/>
    <n v="1960897.4200000004"/>
    <n v="3209.324746317513"/>
    <n v="1522"/>
    <s v="High"/>
  </r>
  <r>
    <s v="ORD0373"/>
    <x v="243"/>
    <x v="216"/>
    <x v="3"/>
    <x v="0"/>
    <x v="4"/>
    <x v="2"/>
    <x v="2"/>
    <n v="5"/>
    <n v="1773"/>
    <n v="23"/>
    <n v="6826.05"/>
    <n v="1954068.8200000003"/>
    <n v="3203.3915081967216"/>
    <n v="1519"/>
    <s v="High"/>
  </r>
  <r>
    <s v="ORD0107"/>
    <x v="244"/>
    <x v="167"/>
    <x v="2"/>
    <x v="5"/>
    <x v="1"/>
    <x v="0"/>
    <x v="1"/>
    <n v="2"/>
    <n v="3518"/>
    <n v="3"/>
    <n v="6824.92"/>
    <n v="1947242.7700000003"/>
    <n v="3197.4429720853864"/>
    <n v="1514"/>
    <s v="High"/>
  </r>
  <r>
    <s v="ORD0981"/>
    <x v="22"/>
    <x v="217"/>
    <x v="3"/>
    <x v="5"/>
    <x v="4"/>
    <x v="1"/>
    <x v="2"/>
    <n v="2"/>
    <n v="4205"/>
    <n v="19"/>
    <n v="6812.1"/>
    <n v="1940417.8500000003"/>
    <n v="3191.4767269736849"/>
    <n v="1512"/>
    <s v="High"/>
  </r>
  <r>
    <s v="ORD0912"/>
    <x v="25"/>
    <x v="179"/>
    <x v="2"/>
    <x v="6"/>
    <x v="2"/>
    <x v="1"/>
    <x v="2"/>
    <n v="3"/>
    <n v="2519"/>
    <n v="10"/>
    <n v="6801.3"/>
    <n v="1933605.7500000002"/>
    <n v="3185.5119439868208"/>
    <n v="1510"/>
    <s v="High"/>
  </r>
  <r>
    <s v="ORD0228"/>
    <x v="138"/>
    <x v="218"/>
    <x v="0"/>
    <x v="6"/>
    <x v="3"/>
    <x v="3"/>
    <x v="1"/>
    <n v="2"/>
    <n v="3784"/>
    <n v="11"/>
    <n v="6735.52"/>
    <n v="1926804.4500000002"/>
    <n v="3179.5452970297033"/>
    <n v="1507"/>
    <s v="High"/>
  </r>
  <r>
    <s v="ORD0360"/>
    <x v="169"/>
    <x v="34"/>
    <x v="0"/>
    <x v="6"/>
    <x v="1"/>
    <x v="0"/>
    <x v="1"/>
    <n v="3"/>
    <n v="2837"/>
    <n v="21"/>
    <n v="6723.69"/>
    <n v="1920068.9300000002"/>
    <n v="3173.6676528925623"/>
    <n v="1505"/>
    <s v="High"/>
  </r>
  <r>
    <s v="ORD0029"/>
    <x v="163"/>
    <x v="66"/>
    <x v="2"/>
    <x v="0"/>
    <x v="3"/>
    <x v="0"/>
    <x v="0"/>
    <n v="2"/>
    <n v="4666"/>
    <n v="28"/>
    <n v="6719.04"/>
    <n v="1913345.2400000002"/>
    <n v="3167.7901324503314"/>
    <n v="1502"/>
    <s v="High"/>
  </r>
  <r>
    <s v="ORD0420"/>
    <x v="191"/>
    <x v="219"/>
    <x v="1"/>
    <x v="5"/>
    <x v="1"/>
    <x v="1"/>
    <x v="2"/>
    <n v="2"/>
    <n v="4141"/>
    <n v="19"/>
    <n v="6708.42"/>
    <n v="1906626.2000000004"/>
    <n v="3161.900829187397"/>
    <n v="1500"/>
    <s v="High"/>
  </r>
  <r>
    <s v="ORD0141"/>
    <x v="214"/>
    <x v="195"/>
    <x v="2"/>
    <x v="3"/>
    <x v="1"/>
    <x v="1"/>
    <x v="1"/>
    <n v="4"/>
    <n v="1741"/>
    <n v="4"/>
    <n v="6685.44"/>
    <n v="1899917.7800000005"/>
    <n v="3156.0096013289044"/>
    <n v="1498"/>
    <s v="High"/>
  </r>
  <r>
    <s v="ORD0913"/>
    <x v="245"/>
    <x v="174"/>
    <x v="1"/>
    <x v="3"/>
    <x v="2"/>
    <x v="3"/>
    <x v="3"/>
    <n v="4"/>
    <n v="1866"/>
    <n v="11"/>
    <n v="6642.96"/>
    <n v="1893232.3400000005"/>
    <n v="3150.1370049916814"/>
    <n v="1494"/>
    <s v="High"/>
  </r>
  <r>
    <s v="ORD0305"/>
    <x v="246"/>
    <x v="186"/>
    <x v="1"/>
    <x v="6"/>
    <x v="3"/>
    <x v="0"/>
    <x v="1"/>
    <n v="5"/>
    <n v="1562"/>
    <n v="15"/>
    <n v="6638.5"/>
    <n v="1886589.3800000006"/>
    <n v="3144.3156333333345"/>
    <n v="1490"/>
    <s v="High"/>
  </r>
  <r>
    <s v="ORD0845"/>
    <x v="76"/>
    <x v="106"/>
    <x v="1"/>
    <x v="6"/>
    <x v="4"/>
    <x v="2"/>
    <x v="0"/>
    <n v="3"/>
    <n v="2270"/>
    <n v="3"/>
    <n v="6605.7"/>
    <n v="1879950.8800000006"/>
    <n v="3138.4822704507524"/>
    <n v="1485"/>
    <s v="High"/>
  </r>
  <r>
    <s v="ORD0199"/>
    <x v="23"/>
    <x v="111"/>
    <x v="4"/>
    <x v="1"/>
    <x v="1"/>
    <x v="2"/>
    <x v="0"/>
    <n v="2"/>
    <n v="3767"/>
    <n v="13"/>
    <n v="6554.58"/>
    <n v="1873345.1800000006"/>
    <n v="3132.6842474916398"/>
    <n v="1482"/>
    <s v="High"/>
  </r>
  <r>
    <s v="ORD0512"/>
    <x v="63"/>
    <x v="183"/>
    <x v="2"/>
    <x v="6"/>
    <x v="0"/>
    <x v="3"/>
    <x v="0"/>
    <n v="4"/>
    <n v="2152"/>
    <n v="24"/>
    <n v="6542.08"/>
    <n v="1866790.6000000008"/>
    <n v="3126.9524288107218"/>
    <n v="1480"/>
    <s v="High"/>
  </r>
  <r>
    <s v="ORD0714"/>
    <x v="92"/>
    <x v="108"/>
    <x v="4"/>
    <x v="3"/>
    <x v="0"/>
    <x v="2"/>
    <x v="0"/>
    <n v="3"/>
    <n v="2982"/>
    <n v="27"/>
    <n v="6530.58"/>
    <n v="1860248.5200000009"/>
    <n v="3121.2223489932903"/>
    <n v="1476"/>
    <s v="High"/>
  </r>
  <r>
    <s v="ORD0685"/>
    <x v="34"/>
    <x v="21"/>
    <x v="3"/>
    <x v="4"/>
    <x v="1"/>
    <x v="0"/>
    <x v="3"/>
    <n v="3"/>
    <n v="2585"/>
    <n v="16"/>
    <n v="6514.2"/>
    <n v="1853717.9400000011"/>
    <n v="3115.4923361344559"/>
    <n v="1473"/>
    <s v="High"/>
  </r>
  <r>
    <s v="ORD0312"/>
    <x v="134"/>
    <x v="30"/>
    <x v="2"/>
    <x v="6"/>
    <x v="0"/>
    <x v="3"/>
    <x v="2"/>
    <n v="2"/>
    <n v="3870"/>
    <n v="16"/>
    <n v="6501.6"/>
    <n v="1847203.7400000012"/>
    <n v="3109.7706060606079"/>
    <n v="1470"/>
    <s v="High"/>
  </r>
  <r>
    <s v="ORD0030"/>
    <x v="176"/>
    <x v="220"/>
    <x v="1"/>
    <x v="4"/>
    <x v="4"/>
    <x v="3"/>
    <x v="0"/>
    <n v="5"/>
    <n v="1645"/>
    <n v="21"/>
    <n v="6497.75"/>
    <n v="1840702.1400000011"/>
    <n v="3104.050826306916"/>
    <n v="1468"/>
    <s v="High"/>
  </r>
  <r>
    <s v="ORD0579"/>
    <x v="110"/>
    <x v="30"/>
    <x v="4"/>
    <x v="4"/>
    <x v="4"/>
    <x v="2"/>
    <x v="1"/>
    <n v="5"/>
    <n v="1488"/>
    <n v="13"/>
    <n v="6472.8"/>
    <n v="1834204.3900000011"/>
    <n v="3098.3182263513531"/>
    <n v="1463"/>
    <s v="High"/>
  </r>
  <r>
    <s v="ORD0894"/>
    <x v="208"/>
    <x v="15"/>
    <x v="2"/>
    <x v="5"/>
    <x v="4"/>
    <x v="1"/>
    <x v="0"/>
    <n v="2"/>
    <n v="3233"/>
    <n v="0"/>
    <n v="6466"/>
    <n v="1827731.5900000012"/>
    <n v="3092.6084433164151"/>
    <n v="1458"/>
    <s v="High"/>
  </r>
  <r>
    <s v="ORD0527"/>
    <x v="105"/>
    <x v="127"/>
    <x v="1"/>
    <x v="0"/>
    <x v="3"/>
    <x v="3"/>
    <x v="2"/>
    <n v="2"/>
    <n v="3501"/>
    <n v="8"/>
    <n v="6441.84"/>
    <n v="1821265.5900000012"/>
    <n v="3086.8908305084765"/>
    <n v="1456"/>
    <s v="High"/>
  </r>
  <r>
    <s v="ORD0058"/>
    <x v="221"/>
    <x v="76"/>
    <x v="3"/>
    <x v="4"/>
    <x v="2"/>
    <x v="1"/>
    <x v="3"/>
    <n v="2"/>
    <n v="4120"/>
    <n v="22"/>
    <n v="6427.2"/>
    <n v="1814823.7500000014"/>
    <n v="3081.1948217317513"/>
    <n v="1454"/>
    <s v="High"/>
  </r>
  <r>
    <s v="ORD0696"/>
    <x v="40"/>
    <x v="73"/>
    <x v="3"/>
    <x v="0"/>
    <x v="4"/>
    <x v="1"/>
    <x v="0"/>
    <n v="3"/>
    <n v="2275"/>
    <n v="6"/>
    <n v="6415.5"/>
    <n v="1808396.5500000012"/>
    <n v="3075.5043367346962"/>
    <n v="1452"/>
    <s v="High"/>
  </r>
  <r>
    <s v="ORD0884"/>
    <x v="106"/>
    <x v="221"/>
    <x v="1"/>
    <x v="5"/>
    <x v="2"/>
    <x v="0"/>
    <x v="1"/>
    <n v="2"/>
    <n v="4100"/>
    <n v="22"/>
    <n v="6396"/>
    <n v="1801981.0500000017"/>
    <n v="3069.8143952299856"/>
    <n v="1449"/>
    <s v="High"/>
  </r>
  <r>
    <s v="ORD0781"/>
    <x v="247"/>
    <x v="222"/>
    <x v="4"/>
    <x v="4"/>
    <x v="0"/>
    <x v="2"/>
    <x v="3"/>
    <n v="4"/>
    <n v="2042"/>
    <n v="22"/>
    <n v="6371.04"/>
    <n v="1795585.0500000017"/>
    <n v="3064.1383105802074"/>
    <n v="1447"/>
    <s v="High"/>
  </r>
  <r>
    <s v="ORD0539"/>
    <x v="77"/>
    <x v="223"/>
    <x v="2"/>
    <x v="4"/>
    <x v="4"/>
    <x v="4"/>
    <x v="0"/>
    <n v="2"/>
    <n v="3315"/>
    <n v="4"/>
    <n v="6364.8"/>
    <n v="1789214.0100000016"/>
    <n v="3058.4854871794901"/>
    <n v="1443"/>
    <s v="High"/>
  </r>
  <r>
    <s v="ORD0206"/>
    <x v="248"/>
    <x v="14"/>
    <x v="3"/>
    <x v="1"/>
    <x v="4"/>
    <x v="0"/>
    <x v="2"/>
    <n v="3"/>
    <n v="2718"/>
    <n v="22"/>
    <n v="6360.12"/>
    <n v="1782849.2100000018"/>
    <n v="3052.8239897260305"/>
    <n v="1441"/>
    <s v="High"/>
  </r>
  <r>
    <s v="ORD0732"/>
    <x v="249"/>
    <x v="138"/>
    <x v="4"/>
    <x v="4"/>
    <x v="4"/>
    <x v="4"/>
    <x v="3"/>
    <n v="2"/>
    <n v="3521"/>
    <n v="10"/>
    <n v="6337.8"/>
    <n v="1776489.0900000015"/>
    <n v="3047.1510977701569"/>
    <n v="1438"/>
    <s v="High"/>
  </r>
  <r>
    <s v="ORD0028"/>
    <x v="61"/>
    <x v="9"/>
    <x v="2"/>
    <x v="1"/>
    <x v="3"/>
    <x v="3"/>
    <x v="2"/>
    <n v="4"/>
    <n v="2139"/>
    <n v="26"/>
    <n v="6331.44"/>
    <n v="1770151.2900000014"/>
    <n v="3041.4970618556727"/>
    <n v="1436"/>
    <s v="High"/>
  </r>
  <r>
    <s v="ORD0157"/>
    <x v="121"/>
    <x v="85"/>
    <x v="3"/>
    <x v="6"/>
    <x v="3"/>
    <x v="0"/>
    <x v="1"/>
    <n v="5"/>
    <n v="1730"/>
    <n v="27"/>
    <n v="6314.5"/>
    <n v="1763819.8500000015"/>
    <n v="3035.8345094664396"/>
    <n v="1432"/>
    <s v="High"/>
  </r>
  <r>
    <s v="ORD0378"/>
    <x v="250"/>
    <x v="173"/>
    <x v="3"/>
    <x v="5"/>
    <x v="4"/>
    <x v="2"/>
    <x v="3"/>
    <n v="2"/>
    <n v="4154"/>
    <n v="24"/>
    <n v="6314.08"/>
    <n v="1757505.3500000015"/>
    <n v="3030.1816379310371"/>
    <n v="1427"/>
    <s v="High"/>
  </r>
  <r>
    <s v="ORD0418"/>
    <x v="221"/>
    <x v="224"/>
    <x v="4"/>
    <x v="3"/>
    <x v="0"/>
    <x v="4"/>
    <x v="3"/>
    <n v="2"/>
    <n v="3623"/>
    <n v="13"/>
    <n v="6304.02"/>
    <n v="1751191.2700000014"/>
    <n v="3024.5099654576879"/>
    <n v="1425"/>
    <s v="High"/>
  </r>
  <r>
    <s v="ORD0607"/>
    <x v="251"/>
    <x v="225"/>
    <x v="3"/>
    <x v="1"/>
    <x v="4"/>
    <x v="2"/>
    <x v="3"/>
    <n v="5"/>
    <n v="1773"/>
    <n v="29"/>
    <n v="6294.15"/>
    <n v="1744887.2500000014"/>
    <n v="3018.8360726643623"/>
    <n v="1423"/>
    <s v="High"/>
  </r>
  <r>
    <s v="ORD0644"/>
    <x v="252"/>
    <x v="77"/>
    <x v="3"/>
    <x v="0"/>
    <x v="2"/>
    <x v="2"/>
    <x v="3"/>
    <n v="3"/>
    <n v="2204"/>
    <n v="5"/>
    <n v="6281.4"/>
    <n v="1738593.1000000013"/>
    <n v="3013.1596187175064"/>
    <n v="1418"/>
    <s v="High"/>
  </r>
  <r>
    <s v="ORD0818"/>
    <x v="253"/>
    <x v="126"/>
    <x v="2"/>
    <x v="3"/>
    <x v="1"/>
    <x v="2"/>
    <x v="1"/>
    <n v="4"/>
    <n v="1847"/>
    <n v="15"/>
    <n v="6279.8"/>
    <n v="1732311.7000000014"/>
    <n v="3007.4855902777799"/>
    <n v="1415"/>
    <s v="High"/>
  </r>
  <r>
    <s v="ORD0414"/>
    <x v="202"/>
    <x v="77"/>
    <x v="2"/>
    <x v="0"/>
    <x v="1"/>
    <x v="1"/>
    <x v="3"/>
    <n v="2"/>
    <n v="3305"/>
    <n v="5"/>
    <n v="6279.5"/>
    <n v="1726031.9000000013"/>
    <n v="3001.7946086956545"/>
    <n v="1411"/>
    <s v="High"/>
  </r>
  <r>
    <s v="ORD0196"/>
    <x v="174"/>
    <x v="226"/>
    <x v="0"/>
    <x v="1"/>
    <x v="2"/>
    <x v="4"/>
    <x v="3"/>
    <n v="4"/>
    <n v="1762"/>
    <n v="11"/>
    <n v="6272.72"/>
    <n v="1719752.4000000013"/>
    <n v="2996.0843205574934"/>
    <n v="1409"/>
    <s v="High"/>
  </r>
  <r>
    <s v="ORD0115"/>
    <x v="116"/>
    <x v="27"/>
    <x v="4"/>
    <x v="0"/>
    <x v="4"/>
    <x v="2"/>
    <x v="2"/>
    <n v="3"/>
    <n v="2811"/>
    <n v="26"/>
    <n v="6240.42"/>
    <n v="1713479.6800000016"/>
    <n v="2990.3659336823762"/>
    <n v="1405"/>
    <s v="High"/>
  </r>
  <r>
    <s v="ORD0220"/>
    <x v="107"/>
    <x v="46"/>
    <x v="3"/>
    <x v="5"/>
    <x v="2"/>
    <x v="3"/>
    <x v="2"/>
    <n v="5"/>
    <n v="1555"/>
    <n v="20"/>
    <n v="6220"/>
    <n v="1707239.2600000014"/>
    <n v="2984.6840209790234"/>
    <n v="1402"/>
    <s v="High"/>
  </r>
  <r>
    <s v="ORD0953"/>
    <x v="198"/>
    <x v="163"/>
    <x v="1"/>
    <x v="2"/>
    <x v="1"/>
    <x v="2"/>
    <x v="2"/>
    <n v="3"/>
    <n v="2960"/>
    <n v="30"/>
    <n v="6216"/>
    <n v="1701019.2600000012"/>
    <n v="2979.0179684763593"/>
    <n v="1397"/>
    <s v="High"/>
  </r>
  <r>
    <s v="ORD0295"/>
    <x v="181"/>
    <x v="227"/>
    <x v="0"/>
    <x v="6"/>
    <x v="0"/>
    <x v="0"/>
    <x v="0"/>
    <n v="5"/>
    <n v="1267"/>
    <n v="2"/>
    <n v="6208.3"/>
    <n v="1694803.2600000012"/>
    <n v="2973.3390526315811"/>
    <n v="1394"/>
    <s v="High"/>
  </r>
  <r>
    <s v="ORD0078"/>
    <x v="175"/>
    <x v="121"/>
    <x v="1"/>
    <x v="0"/>
    <x v="0"/>
    <x v="3"/>
    <x v="3"/>
    <n v="5"/>
    <n v="1698"/>
    <n v="27"/>
    <n v="6197.7"/>
    <n v="1688594.9600000011"/>
    <n v="2967.6537082601076"/>
    <n v="1389"/>
    <s v="High"/>
  </r>
  <r>
    <s v="ORD0989"/>
    <x v="178"/>
    <x v="203"/>
    <x v="4"/>
    <x v="0"/>
    <x v="1"/>
    <x v="2"/>
    <x v="1"/>
    <n v="3"/>
    <n v="2825"/>
    <n v="27"/>
    <n v="6186.75"/>
    <n v="1682397.2600000012"/>
    <n v="2961.9670070422558"/>
    <n v="1384"/>
    <s v="High"/>
  </r>
  <r>
    <s v="ORD0173"/>
    <x v="34"/>
    <x v="223"/>
    <x v="2"/>
    <x v="1"/>
    <x v="1"/>
    <x v="3"/>
    <x v="1"/>
    <n v="2"/>
    <n v="3682"/>
    <n v="16"/>
    <n v="6185.76"/>
    <n v="1676210.5100000012"/>
    <n v="2956.2795590828946"/>
    <n v="1381"/>
    <s v="High"/>
  </r>
  <r>
    <s v="ORD0895"/>
    <x v="198"/>
    <x v="166"/>
    <x v="1"/>
    <x v="1"/>
    <x v="3"/>
    <x v="0"/>
    <x v="3"/>
    <n v="4"/>
    <n v="1560"/>
    <n v="1"/>
    <n v="6177.6"/>
    <n v="1670024.7500000009"/>
    <n v="2950.5737632508849"/>
    <n v="1379"/>
    <s v="High"/>
  </r>
  <r>
    <s v="ORD0443"/>
    <x v="251"/>
    <x v="7"/>
    <x v="1"/>
    <x v="4"/>
    <x v="4"/>
    <x v="3"/>
    <x v="0"/>
    <n v="3"/>
    <n v="2478"/>
    <n v="17"/>
    <n v="6170.22"/>
    <n v="1663847.1500000011"/>
    <n v="2944.8622123893824"/>
    <n v="1375"/>
    <s v="High"/>
  </r>
  <r>
    <s v="ORD0551"/>
    <x v="254"/>
    <x v="223"/>
    <x v="0"/>
    <x v="5"/>
    <x v="4"/>
    <x v="1"/>
    <x v="1"/>
    <n v="3"/>
    <n v="2766"/>
    <n v="26"/>
    <n v="6140.52"/>
    <n v="1657676.9300000009"/>
    <n v="2939.1434929078027"/>
    <n v="1372"/>
    <s v="High"/>
  </r>
  <r>
    <s v="ORD0394"/>
    <x v="93"/>
    <x v="215"/>
    <x v="1"/>
    <x v="4"/>
    <x v="2"/>
    <x v="0"/>
    <x v="3"/>
    <n v="3"/>
    <n v="2534"/>
    <n v="20"/>
    <n v="6081.6"/>
    <n v="1651536.4100000008"/>
    <n v="2933.4572113676745"/>
    <n v="1369"/>
    <s v="High"/>
  </r>
  <r>
    <s v="ORD0589"/>
    <x v="255"/>
    <x v="228"/>
    <x v="0"/>
    <x v="2"/>
    <x v="3"/>
    <x v="2"/>
    <x v="3"/>
    <n v="4"/>
    <n v="1617"/>
    <n v="6"/>
    <n v="6079.92"/>
    <n v="1645454.8100000008"/>
    <n v="2927.8555338078304"/>
    <n v="1366"/>
    <s v="High"/>
  </r>
  <r>
    <s v="ORD0464"/>
    <x v="192"/>
    <x v="60"/>
    <x v="2"/>
    <x v="1"/>
    <x v="0"/>
    <x v="0"/>
    <x v="2"/>
    <n v="4"/>
    <n v="1853"/>
    <n v="18"/>
    <n v="6077.84"/>
    <n v="1639374.8900000008"/>
    <n v="2922.2368805704114"/>
    <n v="1362"/>
    <s v="High"/>
  </r>
  <r>
    <s v="ORD0966"/>
    <x v="5"/>
    <x v="71"/>
    <x v="4"/>
    <x v="5"/>
    <x v="4"/>
    <x v="0"/>
    <x v="2"/>
    <n v="4"/>
    <n v="2108"/>
    <n v="28"/>
    <n v="6071.04"/>
    <n v="1633297.050000001"/>
    <n v="2916.6018750000017"/>
    <n v="1358"/>
    <s v="High"/>
  </r>
  <r>
    <s v="ORD0505"/>
    <x v="256"/>
    <x v="229"/>
    <x v="2"/>
    <x v="4"/>
    <x v="4"/>
    <x v="0"/>
    <x v="2"/>
    <n v="5"/>
    <n v="1302"/>
    <n v="7"/>
    <n v="6054.3"/>
    <n v="1627226.0100000012"/>
    <n v="2910.9588729874799"/>
    <n v="1354"/>
    <s v="High"/>
  </r>
  <r>
    <s v="ORD0356"/>
    <x v="257"/>
    <x v="230"/>
    <x v="1"/>
    <x v="4"/>
    <x v="1"/>
    <x v="4"/>
    <x v="3"/>
    <n v="3"/>
    <n v="2641"/>
    <n v="24"/>
    <n v="6021.48"/>
    <n v="1621171.7100000011"/>
    <n v="2905.3256451612924"/>
    <n v="1349"/>
    <s v="High"/>
  </r>
  <r>
    <s v="ORD0067"/>
    <x v="257"/>
    <x v="215"/>
    <x v="0"/>
    <x v="3"/>
    <x v="1"/>
    <x v="2"/>
    <x v="3"/>
    <n v="5"/>
    <n v="1666"/>
    <n v="28"/>
    <n v="5997.6"/>
    <n v="1615150.2300000007"/>
    <n v="2899.7311131059259"/>
    <n v="1346"/>
    <s v="High"/>
  </r>
  <r>
    <s v="ORD0684"/>
    <x v="214"/>
    <x v="231"/>
    <x v="3"/>
    <x v="3"/>
    <x v="1"/>
    <x v="3"/>
    <x v="0"/>
    <n v="2"/>
    <n v="3745"/>
    <n v="20"/>
    <n v="5992"/>
    <n v="1609152.6300000008"/>
    <n v="2894.1594064748215"/>
    <n v="1341"/>
    <s v="High"/>
  </r>
  <r>
    <s v="ORD0090"/>
    <x v="170"/>
    <x v="157"/>
    <x v="0"/>
    <x v="4"/>
    <x v="3"/>
    <x v="1"/>
    <x v="0"/>
    <n v="2"/>
    <n v="3174"/>
    <n v="6"/>
    <n v="5967.12"/>
    <n v="1603160.6300000006"/>
    <n v="2888.5777117117127"/>
    <n v="1339"/>
    <s v="High"/>
  </r>
  <r>
    <s v="ORD0969"/>
    <x v="232"/>
    <x v="232"/>
    <x v="4"/>
    <x v="5"/>
    <x v="2"/>
    <x v="2"/>
    <x v="2"/>
    <n v="2"/>
    <n v="3201"/>
    <n v="7"/>
    <n v="5953.86"/>
    <n v="1597193.5100000005"/>
    <n v="2883.0207761732859"/>
    <n v="1337"/>
    <s v="High"/>
  </r>
  <r>
    <s v="ORD0775"/>
    <x v="167"/>
    <x v="163"/>
    <x v="3"/>
    <x v="0"/>
    <x v="0"/>
    <x v="4"/>
    <x v="3"/>
    <n v="5"/>
    <n v="1677"/>
    <n v="29"/>
    <n v="5953.35"/>
    <n v="1591239.6500000008"/>
    <n v="2877.467721518989"/>
    <n v="1335"/>
    <s v="High"/>
  </r>
  <r>
    <s v="ORD0261"/>
    <x v="198"/>
    <x v="202"/>
    <x v="3"/>
    <x v="1"/>
    <x v="3"/>
    <x v="4"/>
    <x v="2"/>
    <n v="2"/>
    <n v="3227"/>
    <n v="8"/>
    <n v="5937.68"/>
    <n v="1585286.3000000007"/>
    <n v="2871.895471014494"/>
    <n v="1330"/>
    <s v="High"/>
  </r>
  <r>
    <s v="ORD0400"/>
    <x v="249"/>
    <x v="30"/>
    <x v="0"/>
    <x v="3"/>
    <x v="1"/>
    <x v="1"/>
    <x v="0"/>
    <n v="2"/>
    <n v="3450"/>
    <n v="14"/>
    <n v="5934"/>
    <n v="1579348.620000001"/>
    <n v="2866.3314337568077"/>
    <n v="1328"/>
    <s v="High"/>
  </r>
  <r>
    <s v="ORD0435"/>
    <x v="76"/>
    <x v="233"/>
    <x v="3"/>
    <x v="3"/>
    <x v="2"/>
    <x v="0"/>
    <x v="0"/>
    <n v="4"/>
    <n v="1645"/>
    <n v="10"/>
    <n v="5922"/>
    <n v="1573414.620000001"/>
    <n v="2860.7538545454563"/>
    <n v="1326"/>
    <s v="High"/>
  </r>
  <r>
    <s v="ORD0722"/>
    <x v="90"/>
    <x v="234"/>
    <x v="4"/>
    <x v="6"/>
    <x v="3"/>
    <x v="3"/>
    <x v="1"/>
    <n v="2"/>
    <n v="3887"/>
    <n v="24"/>
    <n v="5908.24"/>
    <n v="1567492.6200000008"/>
    <n v="2855.1778142076519"/>
    <n v="1322"/>
    <s v="High"/>
  </r>
  <r>
    <s v="ORD0379"/>
    <x v="144"/>
    <x v="123"/>
    <x v="1"/>
    <x v="5"/>
    <x v="4"/>
    <x v="4"/>
    <x v="3"/>
    <n v="2"/>
    <n v="3009"/>
    <n v="2"/>
    <n v="5897.64"/>
    <n v="1561584.3800000008"/>
    <n v="2849.6065328467166"/>
    <n v="1320"/>
    <s v="High"/>
  </r>
  <r>
    <s v="ORD0861"/>
    <x v="174"/>
    <x v="114"/>
    <x v="2"/>
    <x v="4"/>
    <x v="0"/>
    <x v="1"/>
    <x v="1"/>
    <n v="5"/>
    <n v="1452"/>
    <n v="19"/>
    <n v="5880.6"/>
    <n v="1555686.7400000009"/>
    <n v="2844.0342595978077"/>
    <n v="1318"/>
    <s v="High"/>
  </r>
  <r>
    <s v="ORD0098"/>
    <x v="114"/>
    <x v="221"/>
    <x v="4"/>
    <x v="5"/>
    <x v="0"/>
    <x v="0"/>
    <x v="2"/>
    <n v="2"/>
    <n v="3810"/>
    <n v="23"/>
    <n v="5867.4"/>
    <n v="1549806.1400000008"/>
    <n v="2838.4727838827853"/>
    <n v="1313"/>
    <s v="High"/>
  </r>
  <r>
    <s v="ORD0475"/>
    <x v="191"/>
    <x v="235"/>
    <x v="2"/>
    <x v="6"/>
    <x v="0"/>
    <x v="2"/>
    <x v="3"/>
    <n v="2"/>
    <n v="3181"/>
    <n v="8"/>
    <n v="5853.04"/>
    <n v="1543938.7400000009"/>
    <n v="2832.9151192660565"/>
    <n v="1311"/>
    <s v="High"/>
  </r>
  <r>
    <s v="ORD0650"/>
    <x v="159"/>
    <x v="132"/>
    <x v="2"/>
    <x v="3"/>
    <x v="2"/>
    <x v="0"/>
    <x v="1"/>
    <n v="2"/>
    <n v="3657"/>
    <n v="20"/>
    <n v="5851.2"/>
    <n v="1538085.7000000011"/>
    <n v="2827.3634191176493"/>
    <n v="1309"/>
    <s v="High"/>
  </r>
  <r>
    <s v="ORD0015"/>
    <x v="258"/>
    <x v="203"/>
    <x v="3"/>
    <x v="4"/>
    <x v="1"/>
    <x v="4"/>
    <x v="3"/>
    <n v="5"/>
    <n v="1182"/>
    <n v="1"/>
    <n v="5850.9"/>
    <n v="1532234.5000000009"/>
    <n v="2821.7946593001857"/>
    <n v="1307"/>
    <s v="High"/>
  </r>
  <r>
    <s v="ORD0501"/>
    <x v="48"/>
    <x v="103"/>
    <x v="3"/>
    <x v="3"/>
    <x v="4"/>
    <x v="2"/>
    <x v="1"/>
    <n v="4"/>
    <n v="2081"/>
    <n v="30"/>
    <n v="5826.8"/>
    <n v="1526383.600000001"/>
    <n v="2816.2059040590425"/>
    <n v="1302"/>
    <s v="High"/>
  </r>
  <r>
    <s v="ORD0012"/>
    <x v="259"/>
    <x v="66"/>
    <x v="3"/>
    <x v="0"/>
    <x v="2"/>
    <x v="0"/>
    <x v="1"/>
    <n v="2"/>
    <n v="3237"/>
    <n v="11"/>
    <n v="5761.86"/>
    <n v="1520556.8000000012"/>
    <n v="2810.6410351201503"/>
    <n v="1298"/>
    <s v="High"/>
  </r>
  <r>
    <s v="ORD0731"/>
    <x v="250"/>
    <x v="236"/>
    <x v="3"/>
    <x v="1"/>
    <x v="2"/>
    <x v="4"/>
    <x v="3"/>
    <n v="3"/>
    <n v="2657"/>
    <n v="28"/>
    <n v="5739.12"/>
    <n v="1514794.9400000011"/>
    <n v="2805.1758148148169"/>
    <n v="1296"/>
    <s v="High"/>
  </r>
  <r>
    <s v="ORD0961"/>
    <x v="31"/>
    <x v="237"/>
    <x v="2"/>
    <x v="5"/>
    <x v="2"/>
    <x v="0"/>
    <x v="2"/>
    <n v="3"/>
    <n v="1950"/>
    <n v="2"/>
    <n v="5733"/>
    <n v="1509055.8200000012"/>
    <n v="2799.7325046382211"/>
    <n v="1293"/>
    <s v="High"/>
  </r>
  <r>
    <s v="ORD0762"/>
    <x v="40"/>
    <x v="238"/>
    <x v="2"/>
    <x v="4"/>
    <x v="0"/>
    <x v="3"/>
    <x v="0"/>
    <n v="4"/>
    <n v="1470"/>
    <n v="3"/>
    <n v="5703.6"/>
    <n v="1503322.8200000012"/>
    <n v="2794.2803345724928"/>
    <n v="1290"/>
    <s v="High"/>
  </r>
  <r>
    <s v="ORD0426"/>
    <x v="222"/>
    <x v="170"/>
    <x v="2"/>
    <x v="6"/>
    <x v="0"/>
    <x v="1"/>
    <x v="2"/>
    <n v="3"/>
    <n v="1975"/>
    <n v="4"/>
    <n v="5688"/>
    <n v="1497619.2200000011"/>
    <n v="2788.8626070763521"/>
    <n v="1286"/>
    <s v="High"/>
  </r>
  <r>
    <s v="ORD0964"/>
    <x v="26"/>
    <x v="115"/>
    <x v="1"/>
    <x v="6"/>
    <x v="2"/>
    <x v="1"/>
    <x v="3"/>
    <n v="4"/>
    <n v="1776"/>
    <n v="20"/>
    <n v="5683.2"/>
    <n v="1491931.2200000011"/>
    <n v="2783.4537686567187"/>
    <n v="1283"/>
    <s v="High"/>
  </r>
  <r>
    <s v="ORD0238"/>
    <x v="136"/>
    <x v="239"/>
    <x v="1"/>
    <x v="1"/>
    <x v="4"/>
    <x v="2"/>
    <x v="3"/>
    <n v="2"/>
    <n v="3376"/>
    <n v="16"/>
    <n v="5671.68"/>
    <n v="1486248.0200000009"/>
    <n v="2778.0336822429927"/>
    <n v="1279"/>
    <s v="High"/>
  </r>
  <r>
    <s v="ORD0294"/>
    <x v="260"/>
    <x v="146"/>
    <x v="3"/>
    <x v="1"/>
    <x v="0"/>
    <x v="2"/>
    <x v="1"/>
    <n v="4"/>
    <n v="1417"/>
    <n v="0"/>
    <n v="5668"/>
    <n v="1480576.3400000012"/>
    <n v="2772.6148689138599"/>
    <n v="1277"/>
    <s v="High"/>
  </r>
  <r>
    <s v="ORD0190"/>
    <x v="85"/>
    <x v="72"/>
    <x v="0"/>
    <x v="0"/>
    <x v="1"/>
    <x v="1"/>
    <x v="0"/>
    <n v="5"/>
    <n v="1349"/>
    <n v="16"/>
    <n v="5665.8"/>
    <n v="1474908.340000001"/>
    <n v="2767.1826266416529"/>
    <n v="1273"/>
    <s v="High"/>
  </r>
  <r>
    <s v="ORD0112"/>
    <x v="54"/>
    <x v="240"/>
    <x v="4"/>
    <x v="0"/>
    <x v="1"/>
    <x v="2"/>
    <x v="1"/>
    <n v="2"/>
    <n v="3926"/>
    <n v="28"/>
    <n v="5653.44"/>
    <n v="1469242.540000001"/>
    <n v="2761.7340977443628"/>
    <n v="1268"/>
    <s v="High"/>
  </r>
  <r>
    <s v="ORD0769"/>
    <x v="178"/>
    <x v="238"/>
    <x v="1"/>
    <x v="1"/>
    <x v="4"/>
    <x v="0"/>
    <x v="0"/>
    <n v="2"/>
    <n v="3136"/>
    <n v="10"/>
    <n v="5644.8"/>
    <n v="1463589.1000000008"/>
    <n v="2756.2883239171388"/>
    <n v="1266"/>
    <s v="High"/>
  </r>
  <r>
    <s v="ORD0167"/>
    <x v="261"/>
    <x v="241"/>
    <x v="1"/>
    <x v="2"/>
    <x v="3"/>
    <x v="1"/>
    <x v="1"/>
    <n v="4"/>
    <n v="1451"/>
    <n v="3"/>
    <n v="5629.88"/>
    <n v="1457944.3000000005"/>
    <n v="2750.8383018867935"/>
    <n v="1264"/>
    <s v="High"/>
  </r>
  <r>
    <s v="ORD0064"/>
    <x v="106"/>
    <x v="161"/>
    <x v="2"/>
    <x v="0"/>
    <x v="1"/>
    <x v="1"/>
    <x v="0"/>
    <n v="2"/>
    <n v="3852"/>
    <n v="27"/>
    <n v="5623.92"/>
    <n v="1452314.4200000006"/>
    <n v="2745.3958790170145"/>
    <n v="1260"/>
    <s v="High"/>
  </r>
  <r>
    <s v="ORD0213"/>
    <x v="262"/>
    <x v="242"/>
    <x v="1"/>
    <x v="1"/>
    <x v="0"/>
    <x v="1"/>
    <x v="2"/>
    <n v="2"/>
    <n v="3422"/>
    <n v="18"/>
    <n v="5612.08"/>
    <n v="1446690.5000000005"/>
    <n v="2739.9441287878799"/>
    <n v="1258"/>
    <s v="High"/>
  </r>
  <r>
    <s v="ORD0455"/>
    <x v="246"/>
    <x v="16"/>
    <x v="2"/>
    <x v="6"/>
    <x v="2"/>
    <x v="0"/>
    <x v="2"/>
    <n v="5"/>
    <n v="1363"/>
    <n v="18"/>
    <n v="5588.3"/>
    <n v="1441078.4200000006"/>
    <n v="2734.4941555977243"/>
    <n v="1256"/>
    <s v="High"/>
  </r>
  <r>
    <s v="ORD0134"/>
    <x v="138"/>
    <x v="189"/>
    <x v="3"/>
    <x v="6"/>
    <x v="0"/>
    <x v="2"/>
    <x v="2"/>
    <n v="2"/>
    <n v="3620"/>
    <n v="23"/>
    <n v="5574.8"/>
    <n v="1435490.1200000008"/>
    <n v="2729.0686692015224"/>
    <n v="1251"/>
    <s v="High"/>
  </r>
  <r>
    <s v="ORD0546"/>
    <x v="263"/>
    <x v="169"/>
    <x v="2"/>
    <x v="3"/>
    <x v="4"/>
    <x v="2"/>
    <x v="3"/>
    <n v="2"/>
    <n v="3867"/>
    <n v="28"/>
    <n v="5568.48"/>
    <n v="1429915.3200000008"/>
    <n v="2723.6482285714301"/>
    <n v="1249"/>
    <s v="High"/>
  </r>
  <r>
    <s v="ORD0011"/>
    <x v="108"/>
    <x v="52"/>
    <x v="0"/>
    <x v="3"/>
    <x v="4"/>
    <x v="3"/>
    <x v="0"/>
    <n v="4"/>
    <n v="1873"/>
    <n v="26"/>
    <n v="5544.08"/>
    <n v="1424346.8400000008"/>
    <n v="2718.2191603053452"/>
    <n v="1247"/>
    <s v="High"/>
  </r>
  <r>
    <s v="ORD0835"/>
    <x v="264"/>
    <x v="17"/>
    <x v="1"/>
    <x v="5"/>
    <x v="0"/>
    <x v="2"/>
    <x v="1"/>
    <n v="3"/>
    <n v="2555"/>
    <n v="28"/>
    <n v="5518.8"/>
    <n v="1418802.7600000007"/>
    <n v="2712.8159847036341"/>
    <n v="1243"/>
    <s v="High"/>
  </r>
  <r>
    <s v="ORD0707"/>
    <x v="2"/>
    <x v="121"/>
    <x v="3"/>
    <x v="1"/>
    <x v="4"/>
    <x v="0"/>
    <x v="2"/>
    <n v="4"/>
    <n v="1814"/>
    <n v="24"/>
    <n v="5514.56"/>
    <n v="1413283.9600000007"/>
    <n v="2707.4405363984688"/>
    <n v="1240"/>
    <s v="High"/>
  </r>
  <r>
    <s v="ORD0729"/>
    <x v="206"/>
    <x v="138"/>
    <x v="4"/>
    <x v="6"/>
    <x v="4"/>
    <x v="0"/>
    <x v="3"/>
    <n v="3"/>
    <n v="2370"/>
    <n v="23"/>
    <n v="5474.7"/>
    <n v="1407769.4000000006"/>
    <n v="2702.0525911708264"/>
    <n v="1236"/>
    <s v="High"/>
  </r>
  <r>
    <s v="ORD0140"/>
    <x v="265"/>
    <x v="243"/>
    <x v="4"/>
    <x v="0"/>
    <x v="0"/>
    <x v="1"/>
    <x v="0"/>
    <n v="4"/>
    <n v="1590"/>
    <n v="14"/>
    <n v="5469.6"/>
    <n v="1402294.7000000009"/>
    <n v="2696.7205769230786"/>
    <n v="1233"/>
    <s v="High"/>
  </r>
  <r>
    <s v="ORD0625"/>
    <x v="266"/>
    <x v="69"/>
    <x v="1"/>
    <x v="3"/>
    <x v="0"/>
    <x v="2"/>
    <x v="1"/>
    <n v="2"/>
    <n v="3901"/>
    <n v="30"/>
    <n v="5461.4"/>
    <n v="1396825.1000000008"/>
    <n v="2691.3778420038552"/>
    <n v="1229"/>
    <s v="High"/>
  </r>
  <r>
    <s v="ORD0014"/>
    <x v="9"/>
    <x v="128"/>
    <x v="1"/>
    <x v="6"/>
    <x v="3"/>
    <x v="3"/>
    <x v="2"/>
    <n v="2"/>
    <n v="2873"/>
    <n v="5"/>
    <n v="5458.7"/>
    <n v="1391363.7000000009"/>
    <n v="2686.0303088803107"/>
    <n v="1227"/>
    <s v="High"/>
  </r>
  <r>
    <s v="ORD0721"/>
    <x v="245"/>
    <x v="244"/>
    <x v="1"/>
    <x v="4"/>
    <x v="1"/>
    <x v="1"/>
    <x v="3"/>
    <n v="2"/>
    <n v="3671"/>
    <n v="26"/>
    <n v="5433.08"/>
    <n v="1385905.0000000007"/>
    <n v="2680.6673114119935"/>
    <n v="1225"/>
    <s v="High"/>
  </r>
  <r>
    <s v="ORD0783"/>
    <x v="267"/>
    <x v="141"/>
    <x v="2"/>
    <x v="0"/>
    <x v="4"/>
    <x v="3"/>
    <x v="3"/>
    <n v="4"/>
    <n v="1695"/>
    <n v="20"/>
    <n v="5424"/>
    <n v="1380471.9200000009"/>
    <n v="2675.3331782945752"/>
    <n v="1223"/>
    <s v="High"/>
  </r>
  <r>
    <s v="ORD0838"/>
    <x v="104"/>
    <x v="130"/>
    <x v="2"/>
    <x v="4"/>
    <x v="3"/>
    <x v="2"/>
    <x v="2"/>
    <n v="3"/>
    <n v="2259"/>
    <n v="20"/>
    <n v="5421.6"/>
    <n v="1375047.9200000009"/>
    <n v="2669.9959611650502"/>
    <n v="1219"/>
    <s v="High"/>
  </r>
  <r>
    <s v="ORD0113"/>
    <x v="61"/>
    <x v="113"/>
    <x v="3"/>
    <x v="4"/>
    <x v="2"/>
    <x v="3"/>
    <x v="0"/>
    <n v="5"/>
    <n v="1246"/>
    <n v="13"/>
    <n v="5420.1"/>
    <n v="1369626.3200000008"/>
    <n v="2664.6426459143986"/>
    <n v="1216"/>
    <s v="High"/>
  </r>
  <r>
    <s v="ORD0595"/>
    <x v="268"/>
    <x v="39"/>
    <x v="1"/>
    <x v="5"/>
    <x v="1"/>
    <x v="2"/>
    <x v="2"/>
    <n v="4"/>
    <n v="1400"/>
    <n v="4"/>
    <n v="5376"/>
    <n v="1364206.2200000009"/>
    <n v="2659.2713840155961"/>
    <n v="1211"/>
    <s v="High"/>
  </r>
  <r>
    <s v="ORD0956"/>
    <x v="149"/>
    <x v="59"/>
    <x v="2"/>
    <x v="3"/>
    <x v="0"/>
    <x v="1"/>
    <x v="2"/>
    <n v="2"/>
    <n v="3759"/>
    <n v="29"/>
    <n v="5337.78"/>
    <n v="1358830.2200000009"/>
    <n v="2653.9652734375018"/>
    <n v="1207"/>
    <s v="High"/>
  </r>
  <r>
    <s v="ORD0533"/>
    <x v="165"/>
    <x v="76"/>
    <x v="1"/>
    <x v="5"/>
    <x v="4"/>
    <x v="1"/>
    <x v="2"/>
    <n v="3"/>
    <n v="2211"/>
    <n v="20"/>
    <n v="5306.4"/>
    <n v="1353492.4400000009"/>
    <n v="2648.7131898238763"/>
    <n v="1205"/>
    <s v="High"/>
  </r>
  <r>
    <s v="ORD0019"/>
    <x v="170"/>
    <x v="53"/>
    <x v="2"/>
    <x v="0"/>
    <x v="1"/>
    <x v="4"/>
    <x v="0"/>
    <n v="3"/>
    <n v="2358"/>
    <n v="25"/>
    <n v="5305.5"/>
    <n v="1348186.040000001"/>
    <n v="2643.502039215688"/>
    <n v="1202"/>
    <s v="High"/>
  </r>
  <r>
    <s v="ORD0564"/>
    <x v="247"/>
    <x v="245"/>
    <x v="2"/>
    <x v="5"/>
    <x v="0"/>
    <x v="4"/>
    <x v="2"/>
    <n v="5"/>
    <n v="1341"/>
    <n v="21"/>
    <n v="5296.95"/>
    <n v="1342880.540000001"/>
    <n v="2638.2721807465637"/>
    <n v="1199"/>
    <s v="High"/>
  </r>
  <r>
    <s v="ORD0770"/>
    <x v="191"/>
    <x v="126"/>
    <x v="2"/>
    <x v="4"/>
    <x v="3"/>
    <x v="2"/>
    <x v="0"/>
    <n v="2"/>
    <n v="3108"/>
    <n v="15"/>
    <n v="5283.6"/>
    <n v="1337583.5900000012"/>
    <n v="2633.0385629921284"/>
    <n v="1194"/>
    <s v="High"/>
  </r>
  <r>
    <s v="ORD0284"/>
    <x v="118"/>
    <x v="113"/>
    <x v="2"/>
    <x v="6"/>
    <x v="4"/>
    <x v="4"/>
    <x v="3"/>
    <n v="2"/>
    <n v="3669"/>
    <n v="28"/>
    <n v="5283.36"/>
    <n v="1332299.9900000012"/>
    <n v="2627.8106311637102"/>
    <n v="1192"/>
    <s v="High"/>
  </r>
  <r>
    <s v="ORD0741"/>
    <x v="203"/>
    <x v="165"/>
    <x v="3"/>
    <x v="2"/>
    <x v="1"/>
    <x v="2"/>
    <x v="3"/>
    <n v="5"/>
    <n v="1075"/>
    <n v="2"/>
    <n v="5267.5"/>
    <n v="1327016.6300000013"/>
    <n v="2622.5625098814253"/>
    <n v="1190"/>
    <s v="High"/>
  </r>
  <r>
    <s v="ORD0699"/>
    <x v="205"/>
    <x v="146"/>
    <x v="4"/>
    <x v="4"/>
    <x v="1"/>
    <x v="0"/>
    <x v="0"/>
    <n v="3"/>
    <n v="2503"/>
    <n v="30"/>
    <n v="5256.3"/>
    <n v="1321749.1300000013"/>
    <n v="2617.3250099009924"/>
    <n v="1185"/>
    <s v="High"/>
  </r>
  <r>
    <s v="ORD0197"/>
    <x v="248"/>
    <x v="162"/>
    <x v="0"/>
    <x v="1"/>
    <x v="1"/>
    <x v="0"/>
    <x v="1"/>
    <n v="3"/>
    <n v="2428"/>
    <n v="28"/>
    <n v="5244.48"/>
    <n v="1316492.8300000015"/>
    <n v="2612.0889484127015"/>
    <n v="1182"/>
    <s v="High"/>
  </r>
  <r>
    <s v="ORD0873"/>
    <x v="44"/>
    <x v="205"/>
    <x v="3"/>
    <x v="0"/>
    <x v="4"/>
    <x v="2"/>
    <x v="2"/>
    <n v="2"/>
    <n v="3636"/>
    <n v="28"/>
    <n v="5235.84"/>
    <n v="1311248.3500000015"/>
    <n v="2606.8555666004004"/>
    <n v="1179"/>
    <s v="High"/>
  </r>
  <r>
    <s v="ORD0372"/>
    <x v="86"/>
    <x v="207"/>
    <x v="4"/>
    <x v="4"/>
    <x v="2"/>
    <x v="2"/>
    <x v="0"/>
    <n v="4"/>
    <n v="1419"/>
    <n v="8"/>
    <n v="5221.92"/>
    <n v="1306012.5100000014"/>
    <n v="2601.6185458167361"/>
    <n v="1177"/>
    <s v="High"/>
  </r>
  <r>
    <s v="ORD0343"/>
    <x v="269"/>
    <x v="194"/>
    <x v="4"/>
    <x v="0"/>
    <x v="1"/>
    <x v="3"/>
    <x v="1"/>
    <n v="3"/>
    <n v="1755"/>
    <n v="1"/>
    <n v="5212.3500000000004"/>
    <n v="1300790.5900000015"/>
    <n v="2596.3884031936159"/>
    <n v="1173"/>
    <s v="High"/>
  </r>
  <r>
    <s v="ORD0119"/>
    <x v="171"/>
    <x v="246"/>
    <x v="2"/>
    <x v="0"/>
    <x v="1"/>
    <x v="3"/>
    <x v="2"/>
    <n v="4"/>
    <n v="1496"/>
    <n v="13"/>
    <n v="5206.08"/>
    <n v="1295578.2400000012"/>
    <n v="2591.1564800000024"/>
    <n v="1170"/>
    <s v="High"/>
  </r>
  <r>
    <s v="ORD0178"/>
    <x v="270"/>
    <x v="101"/>
    <x v="2"/>
    <x v="6"/>
    <x v="1"/>
    <x v="2"/>
    <x v="0"/>
    <n v="2"/>
    <n v="3706"/>
    <n v="30"/>
    <n v="5188.3999999999996"/>
    <n v="1290372.1600000013"/>
    <n v="2585.9161523046118"/>
    <n v="1166"/>
    <s v="High"/>
  </r>
  <r>
    <s v="ORD0063"/>
    <x v="153"/>
    <x v="247"/>
    <x v="0"/>
    <x v="5"/>
    <x v="2"/>
    <x v="4"/>
    <x v="2"/>
    <n v="5"/>
    <n v="1163"/>
    <n v="11"/>
    <n v="5175.3500000000004"/>
    <n v="1285183.7600000012"/>
    <n v="2580.6902811245004"/>
    <n v="1164"/>
    <s v="High"/>
  </r>
  <r>
    <s v="ORD0678"/>
    <x v="134"/>
    <x v="195"/>
    <x v="3"/>
    <x v="0"/>
    <x v="1"/>
    <x v="4"/>
    <x v="3"/>
    <n v="3"/>
    <n v="2331"/>
    <n v="26"/>
    <n v="5174.82"/>
    <n v="1280008.4100000015"/>
    <n v="2575.469637826965"/>
    <n v="1159"/>
    <s v="High"/>
  </r>
  <r>
    <s v="ORD0108"/>
    <x v="271"/>
    <x v="166"/>
    <x v="4"/>
    <x v="5"/>
    <x v="1"/>
    <x v="4"/>
    <x v="1"/>
    <n v="3"/>
    <n v="2075"/>
    <n v="17"/>
    <n v="5166.75"/>
    <n v="1274833.5900000017"/>
    <n v="2570.2290120967778"/>
    <n v="1156"/>
    <s v="High"/>
  </r>
  <r>
    <s v="ORD0239"/>
    <x v="67"/>
    <x v="12"/>
    <x v="2"/>
    <x v="0"/>
    <x v="4"/>
    <x v="3"/>
    <x v="1"/>
    <n v="5"/>
    <n v="1092"/>
    <n v="6"/>
    <n v="5132.3999999999996"/>
    <n v="1269666.8400000015"/>
    <n v="2564.9835151515181"/>
    <n v="1153"/>
    <s v="High"/>
  </r>
  <r>
    <s v="ORD0292"/>
    <x v="260"/>
    <x v="152"/>
    <x v="4"/>
    <x v="1"/>
    <x v="2"/>
    <x v="3"/>
    <x v="1"/>
    <n v="2"/>
    <n v="3247"/>
    <n v="21"/>
    <n v="5130.26"/>
    <n v="1264534.4400000016"/>
    <n v="2559.7863157894767"/>
    <n v="1148"/>
    <s v="High"/>
  </r>
  <r>
    <s v="ORD0905"/>
    <x v="82"/>
    <x v="248"/>
    <x v="3"/>
    <x v="3"/>
    <x v="1"/>
    <x v="0"/>
    <x v="1"/>
    <n v="5"/>
    <n v="1347"/>
    <n v="24"/>
    <n v="5118.6000000000004"/>
    <n v="1259404.1800000016"/>
    <n v="2554.5723732251554"/>
    <n v="1146"/>
    <s v="High"/>
  </r>
  <r>
    <s v="ORD0727"/>
    <x v="51"/>
    <x v="249"/>
    <x v="1"/>
    <x v="3"/>
    <x v="2"/>
    <x v="0"/>
    <x v="0"/>
    <n v="5"/>
    <n v="1260"/>
    <n v="19"/>
    <n v="5103"/>
    <n v="1254285.5800000017"/>
    <n v="2549.360934959353"/>
    <n v="1141"/>
    <s v="High"/>
  </r>
  <r>
    <s v="ORD0130"/>
    <x v="72"/>
    <x v="238"/>
    <x v="1"/>
    <x v="3"/>
    <x v="0"/>
    <x v="3"/>
    <x v="1"/>
    <n v="4"/>
    <n v="1822"/>
    <n v="30"/>
    <n v="5101.6000000000004"/>
    <n v="1249182.5800000015"/>
    <n v="2544.1600407332007"/>
    <n v="1136"/>
    <s v="High"/>
  </r>
  <r>
    <s v="ORD0272"/>
    <x v="121"/>
    <x v="70"/>
    <x v="3"/>
    <x v="0"/>
    <x v="2"/>
    <x v="3"/>
    <x v="0"/>
    <n v="2"/>
    <n v="2678"/>
    <n v="5"/>
    <n v="5088.2"/>
    <n v="1244080.9800000016"/>
    <n v="2538.9407755102075"/>
    <n v="1132"/>
    <s v="High"/>
  </r>
  <r>
    <s v="ORD0061"/>
    <x v="92"/>
    <x v="112"/>
    <x v="3"/>
    <x v="5"/>
    <x v="2"/>
    <x v="0"/>
    <x v="2"/>
    <n v="4"/>
    <n v="1781"/>
    <n v="29"/>
    <n v="5058.04"/>
    <n v="1238992.7800000014"/>
    <n v="2533.7275664621707"/>
    <n v="1130"/>
    <s v="High"/>
  </r>
  <r>
    <s v="ORD0692"/>
    <x v="120"/>
    <x v="76"/>
    <x v="4"/>
    <x v="4"/>
    <x v="3"/>
    <x v="4"/>
    <x v="1"/>
    <n v="2"/>
    <n v="2541"/>
    <n v="1"/>
    <n v="5031.18"/>
    <n v="1233934.7400000014"/>
    <n v="2528.55479508197"/>
    <n v="1126"/>
    <s v="High"/>
  </r>
  <r>
    <s v="ORD0271"/>
    <x v="141"/>
    <x v="250"/>
    <x v="3"/>
    <x v="6"/>
    <x v="3"/>
    <x v="2"/>
    <x v="3"/>
    <n v="2"/>
    <n v="3173"/>
    <n v="21"/>
    <n v="5013.34"/>
    <n v="1228903.5600000012"/>
    <n v="2523.4159342915837"/>
    <n v="1124"/>
    <s v="High"/>
  </r>
  <r>
    <s v="ORD0994"/>
    <x v="272"/>
    <x v="175"/>
    <x v="2"/>
    <x v="5"/>
    <x v="2"/>
    <x v="2"/>
    <x v="2"/>
    <n v="3"/>
    <n v="2169"/>
    <n v="23"/>
    <n v="5010.3900000000003"/>
    <n v="1223890.2200000011"/>
    <n v="2518.2926337448584"/>
    <n v="1122"/>
    <s v="High"/>
  </r>
  <r>
    <s v="ORD0968"/>
    <x v="273"/>
    <x v="249"/>
    <x v="3"/>
    <x v="1"/>
    <x v="2"/>
    <x v="2"/>
    <x v="3"/>
    <n v="2"/>
    <n v="2549"/>
    <n v="2"/>
    <n v="4996.04"/>
    <n v="1218879.830000001"/>
    <n v="2513.1542886597958"/>
    <n v="1119"/>
    <s v="High"/>
  </r>
  <r>
    <s v="ORD0201"/>
    <x v="274"/>
    <x v="45"/>
    <x v="1"/>
    <x v="1"/>
    <x v="0"/>
    <x v="4"/>
    <x v="3"/>
    <n v="4"/>
    <n v="1402"/>
    <n v="11"/>
    <n v="4991.12"/>
    <n v="1213883.7900000012"/>
    <n v="2508.0243595041347"/>
    <n v="1117"/>
    <s v="High"/>
  </r>
  <r>
    <s v="ORD0903"/>
    <x v="275"/>
    <x v="113"/>
    <x v="4"/>
    <x v="6"/>
    <x v="3"/>
    <x v="0"/>
    <x v="0"/>
    <n v="1"/>
    <n v="4971"/>
    <n v="0"/>
    <n v="4971"/>
    <n v="1208892.6700000013"/>
    <n v="2502.8833747412036"/>
    <n v="1113"/>
    <s v="High"/>
  </r>
  <r>
    <s v="ORD0613"/>
    <x v="64"/>
    <x v="65"/>
    <x v="3"/>
    <x v="6"/>
    <x v="3"/>
    <x v="0"/>
    <x v="2"/>
    <n v="3"/>
    <n v="2365"/>
    <n v="30"/>
    <n v="4966.5"/>
    <n v="1203921.6700000013"/>
    <n v="2497.7628008298784"/>
    <n v="1112"/>
    <s v="High"/>
  </r>
  <r>
    <s v="ORD0038"/>
    <x v="230"/>
    <x v="6"/>
    <x v="3"/>
    <x v="4"/>
    <x v="4"/>
    <x v="4"/>
    <x v="0"/>
    <n v="2"/>
    <n v="2773"/>
    <n v="11"/>
    <n v="4935.9399999999996"/>
    <n v="1198955.1700000013"/>
    <n v="2492.630291060294"/>
    <n v="1109"/>
    <s v="High"/>
  </r>
  <r>
    <s v="ORD0203"/>
    <x v="276"/>
    <x v="51"/>
    <x v="4"/>
    <x v="0"/>
    <x v="2"/>
    <x v="1"/>
    <x v="3"/>
    <n v="4"/>
    <n v="1602"/>
    <n v="23"/>
    <n v="4934.16"/>
    <n v="1194019.2300000009"/>
    <n v="2487.540062500002"/>
    <n v="1107"/>
    <s v="High"/>
  </r>
  <r>
    <s v="ORD0327"/>
    <x v="184"/>
    <x v="251"/>
    <x v="4"/>
    <x v="6"/>
    <x v="2"/>
    <x v="1"/>
    <x v="3"/>
    <n v="2"/>
    <n v="2772"/>
    <n v="11"/>
    <n v="4934.16"/>
    <n v="1189085.0700000008"/>
    <n v="2482.4322964509411"/>
    <n v="1103"/>
    <s v="High"/>
  </r>
  <r>
    <s v="ORD0041"/>
    <x v="203"/>
    <x v="252"/>
    <x v="0"/>
    <x v="5"/>
    <x v="1"/>
    <x v="1"/>
    <x v="0"/>
    <n v="4"/>
    <n v="1707"/>
    <n v="28"/>
    <n v="4916.16"/>
    <n v="1184150.9100000006"/>
    <n v="2477.3031589958173"/>
    <n v="1101"/>
    <s v="High"/>
  </r>
  <r>
    <s v="ORD0324"/>
    <x v="220"/>
    <x v="247"/>
    <x v="0"/>
    <x v="1"/>
    <x v="4"/>
    <x v="3"/>
    <x v="1"/>
    <n v="3"/>
    <n v="2084"/>
    <n v="22"/>
    <n v="4876.5600000000004"/>
    <n v="1179234.7500000005"/>
    <n v="2472.1902515723282"/>
    <n v="1097"/>
    <s v="High"/>
  </r>
  <r>
    <s v="ORD0363"/>
    <x v="277"/>
    <x v="47"/>
    <x v="4"/>
    <x v="0"/>
    <x v="4"/>
    <x v="1"/>
    <x v="0"/>
    <n v="2"/>
    <n v="2620"/>
    <n v="7"/>
    <n v="4873.2"/>
    <n v="1174358.1900000006"/>
    <n v="2467.1390546218499"/>
    <n v="1094"/>
    <s v="High"/>
  </r>
  <r>
    <s v="ORD0556"/>
    <x v="40"/>
    <x v="19"/>
    <x v="2"/>
    <x v="3"/>
    <x v="3"/>
    <x v="2"/>
    <x v="0"/>
    <n v="3"/>
    <n v="2074"/>
    <n v="22"/>
    <n v="4853.16"/>
    <n v="1169484.9900000005"/>
    <n v="2462.0736631578957"/>
    <n v="1092"/>
    <s v="High"/>
  </r>
  <r>
    <s v="ORD0573"/>
    <x v="168"/>
    <x v="245"/>
    <x v="1"/>
    <x v="3"/>
    <x v="1"/>
    <x v="4"/>
    <x v="0"/>
    <n v="2"/>
    <n v="2811"/>
    <n v="14"/>
    <n v="4834.92"/>
    <n v="1164631.8300000003"/>
    <n v="2457.0291772151904"/>
    <n v="1089"/>
    <s v="High"/>
  </r>
  <r>
    <s v="ORD0608"/>
    <x v="143"/>
    <x v="253"/>
    <x v="0"/>
    <x v="6"/>
    <x v="1"/>
    <x v="1"/>
    <x v="0"/>
    <n v="3"/>
    <n v="1894"/>
    <n v="15"/>
    <n v="4829.7"/>
    <n v="1159796.9100000004"/>
    <n v="2452.0019238900641"/>
    <n v="1087"/>
    <s v="High"/>
  </r>
  <r>
    <s v="ORD0395"/>
    <x v="89"/>
    <x v="116"/>
    <x v="3"/>
    <x v="5"/>
    <x v="4"/>
    <x v="0"/>
    <x v="0"/>
    <n v="5"/>
    <n v="1340"/>
    <n v="28"/>
    <n v="4824"/>
    <n v="1154967.2100000004"/>
    <n v="2446.9644279661024"/>
    <n v="1084"/>
    <s v="High"/>
  </r>
  <r>
    <s v="ORD0275"/>
    <x v="275"/>
    <x v="254"/>
    <x v="1"/>
    <x v="0"/>
    <x v="2"/>
    <x v="1"/>
    <x v="0"/>
    <n v="3"/>
    <n v="2222"/>
    <n v="28"/>
    <n v="4799.5200000000004"/>
    <n v="1150143.2100000004"/>
    <n v="2441.9176433121029"/>
    <n v="1079"/>
    <s v="High"/>
  </r>
  <r>
    <s v="ORD0558"/>
    <x v="278"/>
    <x v="26"/>
    <x v="0"/>
    <x v="2"/>
    <x v="2"/>
    <x v="1"/>
    <x v="2"/>
    <n v="3"/>
    <n v="2016"/>
    <n v="21"/>
    <n v="4777.92"/>
    <n v="1145343.6900000004"/>
    <n v="2436.9014680851074"/>
    <n v="1076"/>
    <s v="High"/>
  </r>
  <r>
    <s v="ORD0523"/>
    <x v="269"/>
    <x v="107"/>
    <x v="1"/>
    <x v="2"/>
    <x v="0"/>
    <x v="4"/>
    <x v="3"/>
    <n v="3"/>
    <n v="1748"/>
    <n v="9"/>
    <n v="4772.04"/>
    <n v="1140565.7700000007"/>
    <n v="2431.9099573560784"/>
    <n v="1073"/>
    <s v="High"/>
  </r>
  <r>
    <s v="ORD0348"/>
    <x v="220"/>
    <x v="40"/>
    <x v="1"/>
    <x v="0"/>
    <x v="4"/>
    <x v="4"/>
    <x v="2"/>
    <n v="1"/>
    <n v="4803"/>
    <n v="1"/>
    <n v="4754.97"/>
    <n v="1135793.7300000002"/>
    <n v="2426.9096794871798"/>
    <n v="1070"/>
    <s v="High"/>
  </r>
  <r>
    <s v="ORD0680"/>
    <x v="233"/>
    <x v="255"/>
    <x v="1"/>
    <x v="0"/>
    <x v="3"/>
    <x v="4"/>
    <x v="0"/>
    <n v="3"/>
    <n v="1879"/>
    <n v="16"/>
    <n v="4735.08"/>
    <n v="1131038.7600000005"/>
    <n v="2421.924539614562"/>
    <n v="1069"/>
    <s v="High"/>
  </r>
  <r>
    <s v="ORD0996"/>
    <x v="66"/>
    <x v="1"/>
    <x v="1"/>
    <x v="2"/>
    <x v="0"/>
    <x v="2"/>
    <x v="1"/>
    <n v="5"/>
    <n v="983"/>
    <n v="5"/>
    <n v="4669.25"/>
    <n v="1126303.6800000006"/>
    <n v="2416.9606866952804"/>
    <n v="1066"/>
    <s v="High"/>
  </r>
  <r>
    <s v="ORD0188"/>
    <x v="13"/>
    <x v="106"/>
    <x v="2"/>
    <x v="1"/>
    <x v="0"/>
    <x v="2"/>
    <x v="3"/>
    <n v="3"/>
    <n v="1968"/>
    <n v="21"/>
    <n v="4664.16"/>
    <n v="1121634.4300000004"/>
    <n v="2412.1170537634416"/>
    <n v="1061"/>
    <s v="High"/>
  </r>
  <r>
    <s v="ORD0035"/>
    <x v="279"/>
    <x v="202"/>
    <x v="3"/>
    <x v="5"/>
    <x v="4"/>
    <x v="3"/>
    <x v="1"/>
    <n v="3"/>
    <n v="2012"/>
    <n v="23"/>
    <n v="4647.72"/>
    <n v="1116970.2700000003"/>
    <n v="2407.2635129310352"/>
    <n v="1058"/>
    <s v="High"/>
  </r>
  <r>
    <s v="ORD0797"/>
    <x v="101"/>
    <x v="183"/>
    <x v="2"/>
    <x v="1"/>
    <x v="2"/>
    <x v="2"/>
    <x v="2"/>
    <n v="4"/>
    <n v="1659"/>
    <n v="30"/>
    <n v="4645.2"/>
    <n v="1112322.55"/>
    <n v="2402.4245140388771"/>
    <n v="1055"/>
    <s v="High"/>
  </r>
  <r>
    <s v="ORD0165"/>
    <x v="60"/>
    <x v="125"/>
    <x v="4"/>
    <x v="6"/>
    <x v="4"/>
    <x v="3"/>
    <x v="2"/>
    <n v="2"/>
    <n v="2521"/>
    <n v="8"/>
    <n v="4638.6400000000003"/>
    <n v="1107677.3499999999"/>
    <n v="2397.5700216450214"/>
    <n v="1051"/>
    <s v="High"/>
  </r>
  <r>
    <s v="ORD0584"/>
    <x v="280"/>
    <x v="203"/>
    <x v="3"/>
    <x v="1"/>
    <x v="2"/>
    <x v="4"/>
    <x v="2"/>
    <n v="5"/>
    <n v="1040"/>
    <n v="11"/>
    <n v="4628"/>
    <n v="1103038.71"/>
    <n v="2392.7086984815619"/>
    <n v="1049"/>
    <s v="High"/>
  </r>
  <r>
    <s v="ORD0068"/>
    <x v="193"/>
    <x v="25"/>
    <x v="0"/>
    <x v="5"/>
    <x v="1"/>
    <x v="4"/>
    <x v="0"/>
    <n v="4"/>
    <n v="1189"/>
    <n v="3"/>
    <n v="4613.32"/>
    <n v="1098410.7100000002"/>
    <n v="2387.8493695652178"/>
    <n v="1044"/>
    <s v="High"/>
  </r>
  <r>
    <s v="ORD0578"/>
    <x v="24"/>
    <x v="211"/>
    <x v="1"/>
    <x v="2"/>
    <x v="4"/>
    <x v="3"/>
    <x v="0"/>
    <n v="4"/>
    <n v="1558"/>
    <n v="26"/>
    <n v="4611.68"/>
    <n v="1093797.3900000004"/>
    <n v="2383.0008496732034"/>
    <n v="1040"/>
    <s v="High"/>
  </r>
  <r>
    <s v="ORD0662"/>
    <x v="281"/>
    <x v="97"/>
    <x v="1"/>
    <x v="1"/>
    <x v="3"/>
    <x v="1"/>
    <x v="0"/>
    <n v="2"/>
    <n v="3188"/>
    <n v="28"/>
    <n v="4590.72"/>
    <n v="1089185.7100000002"/>
    <n v="2378.1347379912668"/>
    <n v="1036"/>
    <s v="High"/>
  </r>
  <r>
    <s v="ORD0694"/>
    <x v="282"/>
    <x v="208"/>
    <x v="4"/>
    <x v="6"/>
    <x v="4"/>
    <x v="4"/>
    <x v="1"/>
    <n v="2"/>
    <n v="2465"/>
    <n v="7"/>
    <n v="4584.8999999999996"/>
    <n v="1084594.99"/>
    <n v="2373.2931947483589"/>
    <n v="1034"/>
    <s v="High"/>
  </r>
  <r>
    <s v="ORD0537"/>
    <x v="154"/>
    <x v="233"/>
    <x v="4"/>
    <x v="0"/>
    <x v="2"/>
    <x v="2"/>
    <x v="0"/>
    <n v="4"/>
    <n v="1156"/>
    <n v="1"/>
    <n v="4577.76"/>
    <n v="1080010.0899999996"/>
    <n v="2368.4431798245605"/>
    <n v="1032"/>
    <s v="High"/>
  </r>
  <r>
    <s v="ORD0593"/>
    <x v="208"/>
    <x v="187"/>
    <x v="0"/>
    <x v="0"/>
    <x v="3"/>
    <x v="2"/>
    <x v="2"/>
    <n v="2"/>
    <n v="2957"/>
    <n v="23"/>
    <n v="4553.78"/>
    <n v="1075432.3299999996"/>
    <n v="2363.5875384615374"/>
    <n v="1028"/>
    <s v="High"/>
  </r>
  <r>
    <s v="ORD0060"/>
    <x v="200"/>
    <x v="256"/>
    <x v="4"/>
    <x v="2"/>
    <x v="1"/>
    <x v="4"/>
    <x v="2"/>
    <n v="2"/>
    <n v="2421"/>
    <n v="6"/>
    <n v="4551.4799999999996"/>
    <n v="1070878.5499999993"/>
    <n v="2358.7633259911881"/>
    <n v="1026"/>
    <s v="High"/>
  </r>
  <r>
    <s v="ORD0669"/>
    <x v="66"/>
    <x v="202"/>
    <x v="2"/>
    <x v="4"/>
    <x v="2"/>
    <x v="4"/>
    <x v="2"/>
    <n v="4"/>
    <n v="1599"/>
    <n v="29"/>
    <n v="4541.16"/>
    <n v="1066327.0699999991"/>
    <n v="2353.9228918322278"/>
    <n v="1024"/>
    <s v="High"/>
  </r>
  <r>
    <s v="ORD0695"/>
    <x v="283"/>
    <x v="152"/>
    <x v="4"/>
    <x v="3"/>
    <x v="0"/>
    <x v="2"/>
    <x v="1"/>
    <n v="1"/>
    <n v="4716"/>
    <n v="4"/>
    <n v="4527.3599999999997"/>
    <n v="1061785.9099999992"/>
    <n v="2349.0838716814142"/>
    <n v="1020"/>
    <s v="High"/>
  </r>
  <r>
    <s v="ORD0691"/>
    <x v="284"/>
    <x v="256"/>
    <x v="3"/>
    <x v="3"/>
    <x v="0"/>
    <x v="3"/>
    <x v="0"/>
    <n v="5"/>
    <n v="1025"/>
    <n v="12"/>
    <n v="4510"/>
    <n v="1057258.5499999993"/>
    <n v="2344.253991130819"/>
    <n v="1019"/>
    <s v="High"/>
  </r>
  <r>
    <s v="ORD0886"/>
    <x v="168"/>
    <x v="257"/>
    <x v="0"/>
    <x v="1"/>
    <x v="1"/>
    <x v="1"/>
    <x v="0"/>
    <n v="5"/>
    <n v="1085"/>
    <n v="17"/>
    <n v="4502.75"/>
    <n v="1052748.5499999996"/>
    <n v="2339.4412222222213"/>
    <n v="1014"/>
    <s v="High"/>
  </r>
  <r>
    <s v="ORD0753"/>
    <x v="266"/>
    <x v="23"/>
    <x v="2"/>
    <x v="5"/>
    <x v="1"/>
    <x v="4"/>
    <x v="3"/>
    <n v="3"/>
    <n v="2143"/>
    <n v="30"/>
    <n v="4500.3"/>
    <n v="1048245.8"/>
    <n v="2334.6231625835189"/>
    <n v="1009"/>
    <s v="High"/>
  </r>
  <r>
    <s v="ORD0385"/>
    <x v="276"/>
    <x v="186"/>
    <x v="0"/>
    <x v="6"/>
    <x v="4"/>
    <x v="3"/>
    <x v="3"/>
    <n v="1"/>
    <n v="4623"/>
    <n v="3"/>
    <n v="4484.3100000000004"/>
    <n v="1043745.5000000001"/>
    <n v="2329.7890625000005"/>
    <n v="1006"/>
    <s v="High"/>
  </r>
  <r>
    <s v="ORD0336"/>
    <x v="39"/>
    <x v="69"/>
    <x v="3"/>
    <x v="5"/>
    <x v="2"/>
    <x v="1"/>
    <x v="3"/>
    <n v="2"/>
    <n v="2430"/>
    <n v="8"/>
    <n v="4471.2"/>
    <n v="1039261.1900000002"/>
    <n v="2324.9691051454142"/>
    <n v="1005"/>
    <s v="High"/>
  </r>
  <r>
    <s v="ORD0072"/>
    <x v="188"/>
    <x v="258"/>
    <x v="4"/>
    <x v="4"/>
    <x v="3"/>
    <x v="0"/>
    <x v="0"/>
    <n v="3"/>
    <n v="1856"/>
    <n v="20"/>
    <n v="4454.3999999999996"/>
    <n v="1034789.9900000001"/>
    <n v="2320.1569282511214"/>
    <n v="1003"/>
    <s v="High"/>
  </r>
  <r>
    <s v="ORD0597"/>
    <x v="22"/>
    <x v="259"/>
    <x v="2"/>
    <x v="4"/>
    <x v="2"/>
    <x v="2"/>
    <x v="1"/>
    <n v="2"/>
    <n v="2778"/>
    <n v="20"/>
    <n v="4444.8"/>
    <n v="1030335.59"/>
    <n v="2315.3608764044943"/>
    <n v="1000"/>
    <s v="High"/>
  </r>
  <r>
    <s v="ORD0362"/>
    <x v="65"/>
    <x v="30"/>
    <x v="3"/>
    <x v="4"/>
    <x v="0"/>
    <x v="0"/>
    <x v="3"/>
    <n v="2"/>
    <n v="2329"/>
    <n v="5"/>
    <n v="4425.1000000000004"/>
    <n v="1025890.7899999999"/>
    <n v="2310.5648423423422"/>
    <n v="998"/>
    <s v="High"/>
  </r>
  <r>
    <s v="ORD0932"/>
    <x v="285"/>
    <x v="24"/>
    <x v="4"/>
    <x v="1"/>
    <x v="2"/>
    <x v="1"/>
    <x v="2"/>
    <n v="1"/>
    <n v="4888"/>
    <n v="10"/>
    <n v="4399.2"/>
    <n v="1021465.69"/>
    <n v="2305.7916252821669"/>
    <n v="996"/>
    <s v="High"/>
  </r>
  <r>
    <s v="ORD0319"/>
    <x v="286"/>
    <x v="65"/>
    <x v="2"/>
    <x v="3"/>
    <x v="2"/>
    <x v="3"/>
    <x v="3"/>
    <n v="5"/>
    <n v="1057"/>
    <n v="17"/>
    <n v="4386.55"/>
    <n v="1017066.4899999999"/>
    <n v="2301.0554072398186"/>
    <n v="995"/>
    <s v="High"/>
  </r>
  <r>
    <s v="ORD0049"/>
    <x v="221"/>
    <x v="120"/>
    <x v="4"/>
    <x v="6"/>
    <x v="4"/>
    <x v="2"/>
    <x v="3"/>
    <n v="3"/>
    <n v="1535"/>
    <n v="5"/>
    <n v="4374.75"/>
    <n v="1012679.94"/>
    <n v="2296.3263945578228"/>
    <n v="990"/>
    <s v="High"/>
  </r>
  <r>
    <s v="ORD0690"/>
    <x v="262"/>
    <x v="260"/>
    <x v="2"/>
    <x v="0"/>
    <x v="0"/>
    <x v="3"/>
    <x v="3"/>
    <n v="3"/>
    <n v="1557"/>
    <n v="7"/>
    <n v="4344.03"/>
    <n v="1008305.19"/>
    <n v="2291.6027045454543"/>
    <n v="987"/>
    <s v="High"/>
  </r>
  <r>
    <s v="ORD0057"/>
    <x v="48"/>
    <x v="187"/>
    <x v="3"/>
    <x v="2"/>
    <x v="3"/>
    <x v="2"/>
    <x v="3"/>
    <n v="4"/>
    <n v="1463"/>
    <n v="26"/>
    <n v="4330.4799999999996"/>
    <n v="1003961.16"/>
    <n v="2286.9274715261959"/>
    <n v="984"/>
    <s v="High"/>
  </r>
  <r>
    <s v="ORD0555"/>
    <x v="157"/>
    <x v="117"/>
    <x v="2"/>
    <x v="4"/>
    <x v="1"/>
    <x v="1"/>
    <x v="0"/>
    <n v="3"/>
    <n v="1441"/>
    <n v="0"/>
    <n v="4323"/>
    <n v="999630.67999999993"/>
    <n v="2282.261826484018"/>
    <n v="980"/>
    <s v="High"/>
  </r>
  <r>
    <s v="ORD0040"/>
    <x v="227"/>
    <x v="162"/>
    <x v="3"/>
    <x v="3"/>
    <x v="1"/>
    <x v="3"/>
    <x v="0"/>
    <n v="5"/>
    <n v="1213"/>
    <n v="29"/>
    <n v="4306.1499999999996"/>
    <n v="995307.67999999993"/>
    <n v="2277.5919450800916"/>
    <n v="977"/>
    <s v="High"/>
  </r>
  <r>
    <s v="ORD0814"/>
    <x v="212"/>
    <x v="242"/>
    <x v="4"/>
    <x v="5"/>
    <x v="4"/>
    <x v="2"/>
    <x v="1"/>
    <n v="3"/>
    <n v="1860"/>
    <n v="23"/>
    <n v="4296.6000000000004"/>
    <n v="991001.53"/>
    <n v="2272.9392889908258"/>
    <n v="972"/>
    <s v="High"/>
  </r>
  <r>
    <s v="ORD0867"/>
    <x v="221"/>
    <x v="35"/>
    <x v="1"/>
    <x v="3"/>
    <x v="0"/>
    <x v="2"/>
    <x v="1"/>
    <n v="4"/>
    <n v="1426"/>
    <n v="25"/>
    <n v="4278"/>
    <n v="986704.93"/>
    <n v="2268.2871954022989"/>
    <n v="969"/>
    <s v="High"/>
  </r>
  <r>
    <s v="ORD0504"/>
    <x v="21"/>
    <x v="261"/>
    <x v="4"/>
    <x v="1"/>
    <x v="0"/>
    <x v="0"/>
    <x v="3"/>
    <n v="1"/>
    <n v="4268"/>
    <n v="0"/>
    <n v="4268"/>
    <n v="982426.93000000017"/>
    <n v="2263.6565207373274"/>
    <n v="965"/>
    <s v="High"/>
  </r>
  <r>
    <s v="ORD0409"/>
    <x v="223"/>
    <x v="71"/>
    <x v="4"/>
    <x v="1"/>
    <x v="0"/>
    <x v="2"/>
    <x v="0"/>
    <n v="3"/>
    <n v="1959"/>
    <n v="28"/>
    <n v="4231.4399999999996"/>
    <n v="978158.93000000017"/>
    <n v="2259.0275519630491"/>
    <n v="964"/>
    <s v="High"/>
  </r>
  <r>
    <s v="ORD0939"/>
    <x v="246"/>
    <x v="262"/>
    <x v="4"/>
    <x v="0"/>
    <x v="4"/>
    <x v="1"/>
    <x v="3"/>
    <n v="1"/>
    <n v="4951"/>
    <n v="15"/>
    <n v="4208.3500000000004"/>
    <n v="973927.49000000011"/>
    <n v="2254.4617824074076"/>
    <n v="961"/>
    <s v="High"/>
  </r>
  <r>
    <s v="ORD0561"/>
    <x v="51"/>
    <x v="238"/>
    <x v="3"/>
    <x v="3"/>
    <x v="2"/>
    <x v="2"/>
    <x v="3"/>
    <n v="5"/>
    <n v="988"/>
    <n v="15"/>
    <n v="4199"/>
    <n v="969719.14000000013"/>
    <n v="2249.9283990719259"/>
    <n v="960"/>
    <s v="High"/>
  </r>
  <r>
    <s v="ORD0949"/>
    <x v="14"/>
    <x v="202"/>
    <x v="3"/>
    <x v="2"/>
    <x v="2"/>
    <x v="4"/>
    <x v="0"/>
    <n v="3"/>
    <n v="1908"/>
    <n v="27"/>
    <n v="4178.5200000000004"/>
    <n v="965520.14000000013"/>
    <n v="2245.3956744186048"/>
    <n v="955"/>
    <s v="High"/>
  </r>
  <r>
    <s v="ORD0863"/>
    <x v="273"/>
    <x v="198"/>
    <x v="1"/>
    <x v="2"/>
    <x v="2"/>
    <x v="0"/>
    <x v="0"/>
    <n v="2"/>
    <n v="2150"/>
    <n v="3"/>
    <n v="4171"/>
    <n v="961341.62"/>
    <n v="2240.8895571095572"/>
    <n v="952"/>
    <s v="High"/>
  </r>
  <r>
    <s v="ORD0892"/>
    <x v="134"/>
    <x v="103"/>
    <x v="0"/>
    <x v="0"/>
    <x v="1"/>
    <x v="3"/>
    <x v="1"/>
    <n v="2"/>
    <n v="2600"/>
    <n v="20"/>
    <n v="4160"/>
    <n v="957170.62"/>
    <n v="2236.3799532710282"/>
    <n v="950"/>
    <s v="High"/>
  </r>
  <r>
    <s v="ORD0768"/>
    <x v="174"/>
    <x v="263"/>
    <x v="3"/>
    <x v="2"/>
    <x v="4"/>
    <x v="1"/>
    <x v="2"/>
    <n v="2"/>
    <n v="2386"/>
    <n v="13"/>
    <n v="4151.6400000000003"/>
    <n v="953010.62000000011"/>
    <n v="2231.8749882903985"/>
    <n v="948"/>
    <s v="High"/>
  </r>
  <r>
    <s v="ORD0129"/>
    <x v="79"/>
    <x v="112"/>
    <x v="4"/>
    <x v="2"/>
    <x v="3"/>
    <x v="4"/>
    <x v="1"/>
    <n v="3"/>
    <n v="1529"/>
    <n v="10"/>
    <n v="4128.3"/>
    <n v="948858.98"/>
    <n v="2227.3684976525819"/>
    <n v="946"/>
    <s v="High"/>
  </r>
  <r>
    <s v="ORD0759"/>
    <x v="158"/>
    <x v="89"/>
    <x v="4"/>
    <x v="3"/>
    <x v="2"/>
    <x v="2"/>
    <x v="0"/>
    <n v="4"/>
    <n v="1154"/>
    <n v="11"/>
    <n v="4108.24"/>
    <n v="944730.68"/>
    <n v="2222.895717647059"/>
    <n v="943"/>
    <s v="High"/>
  </r>
  <r>
    <s v="ORD0874"/>
    <x v="76"/>
    <x v="105"/>
    <x v="3"/>
    <x v="1"/>
    <x v="1"/>
    <x v="0"/>
    <x v="1"/>
    <n v="1"/>
    <n v="4775"/>
    <n v="14"/>
    <n v="4106.5"/>
    <n v="940622.44000000006"/>
    <n v="2218.4491509433965"/>
    <n v="939"/>
    <s v="High"/>
  </r>
  <r>
    <s v="ORD0411"/>
    <x v="228"/>
    <x v="239"/>
    <x v="0"/>
    <x v="4"/>
    <x v="3"/>
    <x v="2"/>
    <x v="0"/>
    <n v="2"/>
    <n v="2414"/>
    <n v="15"/>
    <n v="4103.8"/>
    <n v="936515.94"/>
    <n v="2213.9856737588652"/>
    <n v="938"/>
    <s v="High"/>
  </r>
  <r>
    <s v="ORD0087"/>
    <x v="287"/>
    <x v="101"/>
    <x v="4"/>
    <x v="2"/>
    <x v="4"/>
    <x v="4"/>
    <x v="2"/>
    <n v="1"/>
    <n v="4500"/>
    <n v="9"/>
    <n v="4095"/>
    <n v="932412.14"/>
    <n v="2209.5074407582938"/>
    <n v="936"/>
    <s v="High"/>
  </r>
  <r>
    <s v="ORD0927"/>
    <x v="36"/>
    <x v="217"/>
    <x v="0"/>
    <x v="0"/>
    <x v="1"/>
    <x v="4"/>
    <x v="0"/>
    <n v="2"/>
    <n v="2045"/>
    <n v="0"/>
    <n v="4090"/>
    <n v="928317.14"/>
    <n v="2205.0288361045132"/>
    <n v="935"/>
    <s v="High"/>
  </r>
  <r>
    <s v="ORD0102"/>
    <x v="123"/>
    <x v="110"/>
    <x v="4"/>
    <x v="2"/>
    <x v="3"/>
    <x v="4"/>
    <x v="2"/>
    <n v="3"/>
    <n v="1547"/>
    <n v="12"/>
    <n v="4084.08"/>
    <n v="924227.14"/>
    <n v="2200.5408095238095"/>
    <n v="933"/>
    <s v="High"/>
  </r>
  <r>
    <s v="ORD0548"/>
    <x v="288"/>
    <x v="112"/>
    <x v="4"/>
    <x v="2"/>
    <x v="4"/>
    <x v="2"/>
    <x v="3"/>
    <n v="5"/>
    <n v="995"/>
    <n v="18"/>
    <n v="4079.5"/>
    <n v="920143.06"/>
    <n v="2196.0454892601433"/>
    <n v="930"/>
    <s v="High"/>
  </r>
  <r>
    <s v="ORD0454"/>
    <x v="13"/>
    <x v="175"/>
    <x v="1"/>
    <x v="3"/>
    <x v="1"/>
    <x v="3"/>
    <x v="3"/>
    <n v="5"/>
    <n v="1019"/>
    <n v="20"/>
    <n v="4076"/>
    <n v="916063.56000000017"/>
    <n v="2191.5396172248807"/>
    <n v="925"/>
    <s v="High"/>
  </r>
  <r>
    <s v="ORD0304"/>
    <x v="236"/>
    <x v="84"/>
    <x v="0"/>
    <x v="2"/>
    <x v="0"/>
    <x v="0"/>
    <x v="0"/>
    <n v="1"/>
    <n v="4334"/>
    <n v="6"/>
    <n v="4073.96"/>
    <n v="911987.56"/>
    <n v="2187.0205275779376"/>
    <n v="920"/>
    <s v="High"/>
  </r>
  <r>
    <s v="ORD0754"/>
    <x v="122"/>
    <x v="10"/>
    <x v="2"/>
    <x v="2"/>
    <x v="1"/>
    <x v="4"/>
    <x v="1"/>
    <n v="1"/>
    <n v="4523"/>
    <n v="10"/>
    <n v="4070.7"/>
    <n v="907913.60000000009"/>
    <n v="2182.4846153846156"/>
    <n v="919"/>
    <s v="High"/>
  </r>
  <r>
    <s v="ORD0611"/>
    <x v="189"/>
    <x v="31"/>
    <x v="4"/>
    <x v="1"/>
    <x v="0"/>
    <x v="1"/>
    <x v="2"/>
    <n v="2"/>
    <n v="2233"/>
    <n v="9"/>
    <n v="4064.06"/>
    <n v="903842.90000000014"/>
    <n v="2177.9346987951812"/>
    <n v="918"/>
    <s v="High"/>
  </r>
  <r>
    <s v="ORD0393"/>
    <x v="234"/>
    <x v="15"/>
    <x v="0"/>
    <x v="1"/>
    <x v="3"/>
    <x v="4"/>
    <x v="1"/>
    <n v="2"/>
    <n v="2304"/>
    <n v="12"/>
    <n v="4055.04"/>
    <n v="899778.8400000002"/>
    <n v="2173.3788405797104"/>
    <n v="916"/>
    <s v="High"/>
  </r>
  <r>
    <s v="ORD0241"/>
    <x v="121"/>
    <x v="153"/>
    <x v="1"/>
    <x v="0"/>
    <x v="1"/>
    <x v="4"/>
    <x v="2"/>
    <n v="1"/>
    <n v="4752"/>
    <n v="15"/>
    <n v="4039.2"/>
    <n v="895723.80000000016"/>
    <n v="2168.8227602905572"/>
    <n v="914"/>
    <s v="High"/>
  </r>
  <r>
    <s v="ORD0268"/>
    <x v="184"/>
    <x v="264"/>
    <x v="1"/>
    <x v="6"/>
    <x v="3"/>
    <x v="3"/>
    <x v="1"/>
    <n v="1"/>
    <n v="4338"/>
    <n v="7"/>
    <n v="4034.34"/>
    <n v="891684.60000000021"/>
    <n v="2164.2830097087385"/>
    <n v="913"/>
    <s v="High"/>
  </r>
  <r>
    <s v="ORD0442"/>
    <x v="289"/>
    <x v="53"/>
    <x v="4"/>
    <x v="1"/>
    <x v="0"/>
    <x v="3"/>
    <x v="3"/>
    <n v="1"/>
    <n v="4033"/>
    <n v="0"/>
    <n v="4033"/>
    <n v="887650.26000000024"/>
    <n v="2159.7329927007304"/>
    <n v="912"/>
    <s v="High"/>
  </r>
  <r>
    <s v="ORD0840"/>
    <x v="68"/>
    <x v="259"/>
    <x v="1"/>
    <x v="3"/>
    <x v="1"/>
    <x v="3"/>
    <x v="0"/>
    <n v="1"/>
    <n v="4722"/>
    <n v="15"/>
    <n v="4013.7"/>
    <n v="883617.26000000024"/>
    <n v="2155.1640487804884"/>
    <n v="911"/>
    <s v="High"/>
  </r>
  <r>
    <s v="ORD0920"/>
    <x v="290"/>
    <x v="258"/>
    <x v="0"/>
    <x v="0"/>
    <x v="3"/>
    <x v="4"/>
    <x v="0"/>
    <n v="2"/>
    <n v="2059"/>
    <n v="3"/>
    <n v="3994.46"/>
    <n v="879603.56000000017"/>
    <n v="2150.6199511002451"/>
    <n v="910"/>
    <s v="High"/>
  </r>
  <r>
    <s v="ORD0602"/>
    <x v="44"/>
    <x v="34"/>
    <x v="0"/>
    <x v="6"/>
    <x v="1"/>
    <x v="2"/>
    <x v="0"/>
    <n v="4"/>
    <n v="1104"/>
    <n v="11"/>
    <n v="3930.24"/>
    <n v="875609.10000000021"/>
    <n v="2146.1007352941183"/>
    <n v="908"/>
    <s v="High"/>
  </r>
  <r>
    <s v="ORD0793"/>
    <x v="291"/>
    <x v="63"/>
    <x v="0"/>
    <x v="4"/>
    <x v="0"/>
    <x v="4"/>
    <x v="1"/>
    <n v="5"/>
    <n v="1028"/>
    <n v="24"/>
    <n v="3906.4"/>
    <n v="871678.86000000034"/>
    <n v="2141.7171007371016"/>
    <n v="904"/>
    <s v="High"/>
  </r>
  <r>
    <s v="ORD0788"/>
    <x v="163"/>
    <x v="93"/>
    <x v="4"/>
    <x v="4"/>
    <x v="0"/>
    <x v="0"/>
    <x v="1"/>
    <n v="1"/>
    <n v="4153"/>
    <n v="6"/>
    <n v="3903.82"/>
    <n v="867772.46000000031"/>
    <n v="2137.3705911330057"/>
    <n v="899"/>
    <s v="High"/>
  </r>
  <r>
    <s v="ORD0496"/>
    <x v="128"/>
    <x v="53"/>
    <x v="0"/>
    <x v="2"/>
    <x v="4"/>
    <x v="2"/>
    <x v="3"/>
    <n v="3"/>
    <n v="1754"/>
    <n v="26"/>
    <n v="3893.88"/>
    <n v="863868.64000000036"/>
    <n v="2133.008987654322"/>
    <n v="898"/>
    <s v="High"/>
  </r>
  <r>
    <s v="ORD0366"/>
    <x v="248"/>
    <x v="147"/>
    <x v="1"/>
    <x v="2"/>
    <x v="1"/>
    <x v="3"/>
    <x v="3"/>
    <n v="1"/>
    <n v="4123"/>
    <n v="6"/>
    <n v="3875.62"/>
    <n v="859974.76000000036"/>
    <n v="2128.6503960396049"/>
    <n v="895"/>
    <s v="High"/>
  </r>
  <r>
    <s v="ORD0798"/>
    <x v="292"/>
    <x v="95"/>
    <x v="0"/>
    <x v="1"/>
    <x v="1"/>
    <x v="4"/>
    <x v="3"/>
    <n v="5"/>
    <n v="1072"/>
    <n v="28"/>
    <n v="3859.2"/>
    <n v="856099.14000000036"/>
    <n v="2124.3154838709688"/>
    <n v="894"/>
    <s v="High"/>
  </r>
  <r>
    <s v="ORD0997"/>
    <x v="293"/>
    <x v="3"/>
    <x v="0"/>
    <x v="6"/>
    <x v="1"/>
    <x v="1"/>
    <x v="3"/>
    <n v="4"/>
    <n v="1378"/>
    <n v="30"/>
    <n v="3858.4"/>
    <n v="852239.94000000029"/>
    <n v="2119.9998507462692"/>
    <n v="889"/>
    <s v="High"/>
  </r>
  <r>
    <s v="ORD0437"/>
    <x v="205"/>
    <x v="0"/>
    <x v="1"/>
    <x v="2"/>
    <x v="0"/>
    <x v="3"/>
    <x v="2"/>
    <n v="5"/>
    <n v="777"/>
    <n v="1"/>
    <n v="3846.15"/>
    <n v="848381.54000000039"/>
    <n v="2115.6646882793029"/>
    <n v="885"/>
    <s v="High"/>
  </r>
  <r>
    <s v="ORD0605"/>
    <x v="218"/>
    <x v="221"/>
    <x v="4"/>
    <x v="3"/>
    <x v="2"/>
    <x v="0"/>
    <x v="1"/>
    <n v="1"/>
    <n v="4208"/>
    <n v="9"/>
    <n v="3829.28"/>
    <n v="844535.39000000036"/>
    <n v="2111.3384750000009"/>
    <n v="880"/>
    <s v="High"/>
  </r>
  <r>
    <s v="ORD0837"/>
    <x v="294"/>
    <x v="239"/>
    <x v="0"/>
    <x v="1"/>
    <x v="3"/>
    <x v="2"/>
    <x v="2"/>
    <n v="1"/>
    <n v="4969"/>
    <n v="23"/>
    <n v="3826.13"/>
    <n v="840706.11000000034"/>
    <n v="2107.0328571428581"/>
    <n v="879"/>
    <s v="High"/>
  </r>
  <r>
    <s v="ORD0617"/>
    <x v="83"/>
    <x v="177"/>
    <x v="4"/>
    <x v="6"/>
    <x v="4"/>
    <x v="0"/>
    <x v="0"/>
    <n v="1"/>
    <n v="4023"/>
    <n v="5"/>
    <n v="3821.85"/>
    <n v="836879.98000000045"/>
    <n v="2102.7135175879407"/>
    <n v="878"/>
    <s v="High"/>
  </r>
  <r>
    <s v="ORD0460"/>
    <x v="295"/>
    <x v="220"/>
    <x v="1"/>
    <x v="6"/>
    <x v="2"/>
    <x v="3"/>
    <x v="2"/>
    <n v="1"/>
    <n v="4775"/>
    <n v="20"/>
    <n v="3820"/>
    <n v="833058.13000000035"/>
    <n v="2098.3831989924442"/>
    <n v="877"/>
    <s v="High"/>
  </r>
  <r>
    <s v="ORD0624"/>
    <x v="200"/>
    <x v="120"/>
    <x v="2"/>
    <x v="6"/>
    <x v="4"/>
    <x v="3"/>
    <x v="3"/>
    <n v="3"/>
    <n v="1308"/>
    <n v="3"/>
    <n v="3806.28"/>
    <n v="829238.13000000024"/>
    <n v="2094.0356818181826"/>
    <n v="876"/>
    <s v="High"/>
  </r>
  <r>
    <s v="ORD0219"/>
    <x v="182"/>
    <x v="236"/>
    <x v="3"/>
    <x v="1"/>
    <x v="1"/>
    <x v="1"/>
    <x v="3"/>
    <n v="2"/>
    <n v="2536"/>
    <n v="25"/>
    <n v="3804"/>
    <n v="825431.85000000033"/>
    <n v="2089.7008860759502"/>
    <n v="873"/>
    <s v="High"/>
  </r>
  <r>
    <s v="ORD0446"/>
    <x v="86"/>
    <x v="191"/>
    <x v="0"/>
    <x v="5"/>
    <x v="2"/>
    <x v="4"/>
    <x v="0"/>
    <n v="2"/>
    <n v="2568"/>
    <n v="26"/>
    <n v="3800.64"/>
    <n v="821627.85000000033"/>
    <n v="2085.3498730964475"/>
    <n v="871"/>
    <s v="High"/>
  </r>
  <r>
    <s v="ORD0784"/>
    <x v="87"/>
    <x v="246"/>
    <x v="0"/>
    <x v="5"/>
    <x v="2"/>
    <x v="4"/>
    <x v="1"/>
    <n v="2"/>
    <n v="2462"/>
    <n v="23"/>
    <n v="3791.48"/>
    <n v="817827.21000000031"/>
    <n v="2080.9852671755734"/>
    <n v="869"/>
    <s v="High"/>
  </r>
  <r>
    <s v="ORD0879"/>
    <x v="99"/>
    <x v="55"/>
    <x v="2"/>
    <x v="4"/>
    <x v="1"/>
    <x v="2"/>
    <x v="3"/>
    <n v="2"/>
    <n v="1888"/>
    <n v="0"/>
    <n v="3776"/>
    <n v="814035.73000000021"/>
    <n v="2076.621760204082"/>
    <n v="867"/>
    <s v="High"/>
  </r>
  <r>
    <s v="ORD0387"/>
    <x v="36"/>
    <x v="151"/>
    <x v="1"/>
    <x v="2"/>
    <x v="2"/>
    <x v="0"/>
    <x v="0"/>
    <n v="5"/>
    <n v="1031"/>
    <n v="27"/>
    <n v="3763.15"/>
    <n v="810259.73000000033"/>
    <n v="2072.2755242966759"/>
    <n v="865"/>
    <s v="High"/>
  </r>
  <r>
    <s v="ORD0735"/>
    <x v="113"/>
    <x v="180"/>
    <x v="0"/>
    <x v="2"/>
    <x v="0"/>
    <x v="3"/>
    <x v="3"/>
    <n v="2"/>
    <n v="2613"/>
    <n v="28"/>
    <n v="3762.72"/>
    <n v="806496.58000000019"/>
    <n v="2067.9399487179494"/>
    <n v="860"/>
    <s v="High"/>
  </r>
  <r>
    <s v="ORD0230"/>
    <x v="143"/>
    <x v="115"/>
    <x v="4"/>
    <x v="4"/>
    <x v="0"/>
    <x v="4"/>
    <x v="2"/>
    <n v="1"/>
    <n v="4477"/>
    <n v="16"/>
    <n v="3760.68"/>
    <n v="802733.86000000022"/>
    <n v="2063.583187660669"/>
    <n v="858"/>
    <s v="High"/>
  </r>
  <r>
    <s v="ORD0335"/>
    <x v="114"/>
    <x v="47"/>
    <x v="1"/>
    <x v="5"/>
    <x v="1"/>
    <x v="2"/>
    <x v="2"/>
    <n v="2"/>
    <n v="1856"/>
    <n v="0"/>
    <n v="3712"/>
    <n v="798973.18000000017"/>
    <n v="2059.2092268041242"/>
    <n v="857"/>
    <s v="High"/>
  </r>
  <r>
    <s v="ORD0074"/>
    <x v="296"/>
    <x v="39"/>
    <x v="2"/>
    <x v="5"/>
    <x v="2"/>
    <x v="2"/>
    <x v="2"/>
    <n v="1"/>
    <n v="4330"/>
    <n v="15"/>
    <n v="3680.5"/>
    <n v="795261.18000000017"/>
    <n v="2054.9384496124035"/>
    <n v="855"/>
    <s v="High"/>
  </r>
  <r>
    <s v="ORD0962"/>
    <x v="295"/>
    <x v="265"/>
    <x v="3"/>
    <x v="6"/>
    <x v="2"/>
    <x v="4"/>
    <x v="0"/>
    <n v="5"/>
    <n v="968"/>
    <n v="24"/>
    <n v="3678.4"/>
    <n v="791580.68000000017"/>
    <n v="2050.7271502590679"/>
    <n v="854"/>
    <s v="High"/>
  </r>
  <r>
    <s v="ORD0915"/>
    <x v="12"/>
    <x v="123"/>
    <x v="1"/>
    <x v="1"/>
    <x v="3"/>
    <x v="0"/>
    <x v="1"/>
    <n v="5"/>
    <n v="885"/>
    <n v="17"/>
    <n v="3672.75"/>
    <n v="787902.28000000014"/>
    <n v="2046.499428571429"/>
    <n v="849"/>
    <s v="High"/>
  </r>
  <r>
    <s v="ORD0151"/>
    <x v="202"/>
    <x v="104"/>
    <x v="1"/>
    <x v="6"/>
    <x v="3"/>
    <x v="4"/>
    <x v="0"/>
    <n v="2"/>
    <n v="2433"/>
    <n v="25"/>
    <n v="3649.5"/>
    <n v="784229.53000000014"/>
    <n v="2042.264401041667"/>
    <n v="844"/>
    <s v="High"/>
  </r>
  <r>
    <s v="ORD0974"/>
    <x v="30"/>
    <x v="173"/>
    <x v="1"/>
    <x v="4"/>
    <x v="1"/>
    <x v="0"/>
    <x v="0"/>
    <n v="4"/>
    <n v="1084"/>
    <n v="16"/>
    <n v="3642.24"/>
    <n v="780580.03000000014"/>
    <n v="2038.0679634464755"/>
    <n v="842"/>
    <s v="High"/>
  </r>
  <r>
    <s v="ORD0381"/>
    <x v="222"/>
    <x v="174"/>
    <x v="1"/>
    <x v="5"/>
    <x v="1"/>
    <x v="4"/>
    <x v="2"/>
    <n v="2"/>
    <n v="1937"/>
    <n v="6"/>
    <n v="3641.56"/>
    <n v="776937.79000000015"/>
    <n v="2033.8685602094245"/>
    <n v="838"/>
    <s v="High"/>
  </r>
  <r>
    <s v="ORD0229"/>
    <x v="270"/>
    <x v="67"/>
    <x v="2"/>
    <x v="6"/>
    <x v="2"/>
    <x v="4"/>
    <x v="1"/>
    <n v="1"/>
    <n v="4604"/>
    <n v="21"/>
    <n v="3637.16"/>
    <n v="773296.23000000021"/>
    <n v="2029.6488976377959"/>
    <n v="836"/>
    <s v="High"/>
  </r>
  <r>
    <s v="ORD0626"/>
    <x v="206"/>
    <x v="106"/>
    <x v="2"/>
    <x v="5"/>
    <x v="1"/>
    <x v="4"/>
    <x v="3"/>
    <n v="2"/>
    <n v="1855"/>
    <n v="2"/>
    <n v="3635.8"/>
    <n v="769659.07000000007"/>
    <n v="2025.418605263158"/>
    <n v="835"/>
    <s v="High"/>
  </r>
  <r>
    <s v="ORD0153"/>
    <x v="297"/>
    <x v="82"/>
    <x v="4"/>
    <x v="3"/>
    <x v="4"/>
    <x v="1"/>
    <x v="0"/>
    <n v="3"/>
    <n v="1391"/>
    <n v="13"/>
    <n v="3630.51"/>
    <n v="766023.27000000014"/>
    <n v="2021.1695778364119"/>
    <n v="833"/>
    <s v="High"/>
  </r>
  <r>
    <s v="ORD0350"/>
    <x v="298"/>
    <x v="59"/>
    <x v="2"/>
    <x v="0"/>
    <x v="2"/>
    <x v="1"/>
    <x v="1"/>
    <n v="2"/>
    <n v="2481"/>
    <n v="27"/>
    <n v="3622.26"/>
    <n v="762392.76000000013"/>
    <n v="2016.9120634920639"/>
    <n v="830"/>
    <s v="High"/>
  </r>
  <r>
    <s v="ORD0458"/>
    <x v="92"/>
    <x v="167"/>
    <x v="2"/>
    <x v="2"/>
    <x v="3"/>
    <x v="0"/>
    <x v="3"/>
    <n v="2"/>
    <n v="1984"/>
    <n v="9"/>
    <n v="3610.88"/>
    <n v="758770.5"/>
    <n v="2012.6538461538462"/>
    <n v="828"/>
    <s v="High"/>
  </r>
  <r>
    <s v="ORD0955"/>
    <x v="143"/>
    <x v="237"/>
    <x v="3"/>
    <x v="0"/>
    <x v="0"/>
    <x v="0"/>
    <x v="0"/>
    <n v="1"/>
    <n v="4444"/>
    <n v="19"/>
    <n v="3599.64"/>
    <n v="755159.61999999988"/>
    <n v="2008.4032446808508"/>
    <n v="826"/>
    <s v="High"/>
  </r>
  <r>
    <s v="ORD0050"/>
    <x v="51"/>
    <x v="78"/>
    <x v="4"/>
    <x v="0"/>
    <x v="2"/>
    <x v="3"/>
    <x v="0"/>
    <n v="3"/>
    <n v="1462"/>
    <n v="18"/>
    <n v="3596.52"/>
    <n v="751559.97999999986"/>
    <n v="2004.1599466666662"/>
    <n v="825"/>
    <s v="High"/>
  </r>
  <r>
    <s v="ORD0208"/>
    <x v="50"/>
    <x v="102"/>
    <x v="2"/>
    <x v="0"/>
    <x v="3"/>
    <x v="4"/>
    <x v="2"/>
    <n v="4"/>
    <n v="914"/>
    <n v="2"/>
    <n v="3582.88"/>
    <n v="747963.45999999985"/>
    <n v="1999.9022994652403"/>
    <n v="822"/>
    <s v="High"/>
  </r>
  <r>
    <s v="ORD0963"/>
    <x v="136"/>
    <x v="234"/>
    <x v="3"/>
    <x v="6"/>
    <x v="0"/>
    <x v="2"/>
    <x v="3"/>
    <n v="2"/>
    <n v="2262"/>
    <n v="21"/>
    <n v="3573.96"/>
    <n v="744380.58"/>
    <n v="1995.6583914209114"/>
    <n v="818"/>
    <s v="High"/>
  </r>
  <r>
    <s v="ORD0600"/>
    <x v="121"/>
    <x v="266"/>
    <x v="0"/>
    <x v="2"/>
    <x v="1"/>
    <x v="3"/>
    <x v="1"/>
    <n v="3"/>
    <n v="1487"/>
    <n v="20"/>
    <n v="3568.8"/>
    <n v="740806.62"/>
    <n v="1991.4156451612903"/>
    <n v="816"/>
    <s v="High"/>
  </r>
  <r>
    <s v="ORD0542"/>
    <x v="124"/>
    <x v="219"/>
    <x v="4"/>
    <x v="2"/>
    <x v="4"/>
    <x v="2"/>
    <x v="2"/>
    <n v="2"/>
    <n v="2315"/>
    <n v="23"/>
    <n v="3565.1"/>
    <n v="737237.82"/>
    <n v="1987.1639353099729"/>
    <n v="813"/>
    <s v="High"/>
  </r>
  <r>
    <s v="ORD0606"/>
    <x v="0"/>
    <x v="111"/>
    <x v="4"/>
    <x v="0"/>
    <x v="0"/>
    <x v="0"/>
    <x v="1"/>
    <n v="5"/>
    <n v="848"/>
    <n v="16"/>
    <n v="3561.6"/>
    <n v="733672.71999999986"/>
    <n v="1982.8992432432428"/>
    <n v="811"/>
    <s v="High"/>
  </r>
  <r>
    <s v="ORD0160"/>
    <x v="167"/>
    <x v="267"/>
    <x v="1"/>
    <x v="1"/>
    <x v="1"/>
    <x v="2"/>
    <x v="1"/>
    <n v="5"/>
    <n v="866"/>
    <n v="18"/>
    <n v="3550.6"/>
    <n v="730111.11999999988"/>
    <n v="1978.6209214092137"/>
    <n v="806"/>
    <s v="High"/>
  </r>
  <r>
    <s v="ORD0778"/>
    <x v="298"/>
    <x v="3"/>
    <x v="3"/>
    <x v="6"/>
    <x v="0"/>
    <x v="2"/>
    <x v="2"/>
    <n v="3"/>
    <n v="1438"/>
    <n v="18"/>
    <n v="3537.48"/>
    <n v="726560.5199999999"/>
    <n v="1974.3492391304346"/>
    <n v="801"/>
    <s v="High"/>
  </r>
  <r>
    <s v="ORD0354"/>
    <x v="299"/>
    <x v="26"/>
    <x v="3"/>
    <x v="3"/>
    <x v="2"/>
    <x v="0"/>
    <x v="3"/>
    <n v="1"/>
    <n v="3571"/>
    <n v="1"/>
    <n v="3535.29"/>
    <n v="723023.03999999992"/>
    <n v="1970.0900272479562"/>
    <n v="798"/>
    <s v="High"/>
  </r>
  <r>
    <s v="ORD0749"/>
    <x v="223"/>
    <x v="143"/>
    <x v="4"/>
    <x v="0"/>
    <x v="0"/>
    <x v="2"/>
    <x v="3"/>
    <n v="2"/>
    <n v="1767"/>
    <n v="0"/>
    <n v="3534"/>
    <n v="719487.74999999988"/>
    <n v="1965.8135245901635"/>
    <n v="797"/>
    <s v="High"/>
  </r>
  <r>
    <s v="ORD0518"/>
    <x v="259"/>
    <x v="100"/>
    <x v="4"/>
    <x v="6"/>
    <x v="3"/>
    <x v="0"/>
    <x v="2"/>
    <n v="5"/>
    <n v="892"/>
    <n v="21"/>
    <n v="3523.4"/>
    <n v="715953.74999999977"/>
    <n v="1961.5171232876705"/>
    <n v="795"/>
    <s v="High"/>
  </r>
  <r>
    <s v="ORD0308"/>
    <x v="300"/>
    <x v="25"/>
    <x v="1"/>
    <x v="0"/>
    <x v="1"/>
    <x v="3"/>
    <x v="0"/>
    <n v="4"/>
    <n v="917"/>
    <n v="4"/>
    <n v="3521.28"/>
    <n v="712430.34999999974"/>
    <n v="1957.2262362637355"/>
    <n v="790"/>
    <s v="High"/>
  </r>
  <r>
    <s v="ORD0926"/>
    <x v="134"/>
    <x v="146"/>
    <x v="3"/>
    <x v="5"/>
    <x v="4"/>
    <x v="2"/>
    <x v="0"/>
    <n v="3"/>
    <n v="1290"/>
    <n v="10"/>
    <n v="3483"/>
    <n v="708909.06999999972"/>
    <n v="1952.9175482093656"/>
    <n v="786"/>
    <s v="High"/>
  </r>
  <r>
    <s v="ORD0359"/>
    <x v="301"/>
    <x v="226"/>
    <x v="1"/>
    <x v="6"/>
    <x v="2"/>
    <x v="0"/>
    <x v="2"/>
    <n v="3"/>
    <n v="1206"/>
    <n v="4"/>
    <n v="3473.28"/>
    <n v="705426.0699999996"/>
    <n v="1948.6908011049713"/>
    <n v="783"/>
    <s v="High"/>
  </r>
  <r>
    <s v="ORD0517"/>
    <x v="244"/>
    <x v="226"/>
    <x v="0"/>
    <x v="3"/>
    <x v="1"/>
    <x v="1"/>
    <x v="2"/>
    <n v="5"/>
    <n v="898"/>
    <n v="23"/>
    <n v="3457.3"/>
    <n v="701952.78999999969"/>
    <n v="1944.467562326869"/>
    <n v="780"/>
    <s v="High"/>
  </r>
  <r>
    <s v="ORD0117"/>
    <x v="142"/>
    <x v="240"/>
    <x v="4"/>
    <x v="3"/>
    <x v="3"/>
    <x v="4"/>
    <x v="1"/>
    <n v="3"/>
    <n v="1618"/>
    <n v="29"/>
    <n v="3446.34"/>
    <n v="698495.48999999976"/>
    <n v="1940.2652499999992"/>
    <n v="775"/>
    <s v="High"/>
  </r>
  <r>
    <s v="ORD0876"/>
    <x v="80"/>
    <x v="70"/>
    <x v="0"/>
    <x v="6"/>
    <x v="0"/>
    <x v="0"/>
    <x v="3"/>
    <n v="2"/>
    <n v="2266"/>
    <n v="24"/>
    <n v="3444.32"/>
    <n v="695049.14999999967"/>
    <n v="1936.0700557103055"/>
    <n v="772"/>
    <s v="High"/>
  </r>
  <r>
    <s v="ORD0529"/>
    <x v="37"/>
    <x v="24"/>
    <x v="0"/>
    <x v="6"/>
    <x v="0"/>
    <x v="4"/>
    <x v="3"/>
    <n v="4"/>
    <n v="1148"/>
    <n v="25"/>
    <n v="3444"/>
    <n v="691604.82999999961"/>
    <n v="1931.857067039105"/>
    <n v="770"/>
    <s v="High"/>
  </r>
  <r>
    <s v="ORD0128"/>
    <x v="289"/>
    <x v="200"/>
    <x v="3"/>
    <x v="5"/>
    <x v="3"/>
    <x v="2"/>
    <x v="3"/>
    <n v="5"/>
    <n v="871"/>
    <n v="21"/>
    <n v="3440.45"/>
    <n v="688160.82999999961"/>
    <n v="1927.6213725490186"/>
    <n v="766"/>
    <s v="High"/>
  </r>
  <r>
    <s v="ORD0541"/>
    <x v="296"/>
    <x v="57"/>
    <x v="1"/>
    <x v="3"/>
    <x v="4"/>
    <x v="1"/>
    <x v="0"/>
    <n v="2"/>
    <n v="1716"/>
    <n v="0"/>
    <n v="3432"/>
    <n v="684720.37999999954"/>
    <n v="1923.371853932583"/>
    <n v="761"/>
    <s v="High"/>
  </r>
  <r>
    <s v="ORD0986"/>
    <x v="89"/>
    <x v="268"/>
    <x v="4"/>
    <x v="4"/>
    <x v="1"/>
    <x v="3"/>
    <x v="2"/>
    <n v="2"/>
    <n v="2448"/>
    <n v="30"/>
    <n v="3427.2"/>
    <n v="681288.37999999966"/>
    <n v="1919.1221971830976"/>
    <n v="759"/>
    <s v="High"/>
  </r>
  <r>
    <s v="ORD0487"/>
    <x v="150"/>
    <x v="91"/>
    <x v="4"/>
    <x v="4"/>
    <x v="2"/>
    <x v="4"/>
    <x v="2"/>
    <n v="5"/>
    <n v="936"/>
    <n v="27"/>
    <n v="3416.4"/>
    <n v="677861.17999999959"/>
    <n v="1914.8620903954791"/>
    <n v="757"/>
    <s v="High"/>
  </r>
  <r>
    <s v="ORD0706"/>
    <x v="261"/>
    <x v="10"/>
    <x v="4"/>
    <x v="6"/>
    <x v="1"/>
    <x v="3"/>
    <x v="1"/>
    <n v="2"/>
    <n v="1743"/>
    <n v="2"/>
    <n v="3416.28"/>
    <n v="674444.7799999998"/>
    <n v="1910.608441926345"/>
    <n v="752"/>
    <s v="High"/>
  </r>
  <r>
    <s v="ORD0290"/>
    <x v="259"/>
    <x v="121"/>
    <x v="0"/>
    <x v="4"/>
    <x v="2"/>
    <x v="3"/>
    <x v="3"/>
    <n v="1"/>
    <n v="3826"/>
    <n v="11"/>
    <n v="3405.14"/>
    <n v="671028.49999999977"/>
    <n v="1906.3309659090903"/>
    <n v="750"/>
    <s v="High"/>
  </r>
  <r>
    <s v="ORD0618"/>
    <x v="116"/>
    <x v="265"/>
    <x v="3"/>
    <x v="2"/>
    <x v="4"/>
    <x v="1"/>
    <x v="1"/>
    <n v="2"/>
    <n v="1830"/>
    <n v="7"/>
    <n v="3403.8"/>
    <n v="667623.35999999975"/>
    <n v="1902.060854700854"/>
    <n v="749"/>
    <s v="High"/>
  </r>
  <r>
    <s v="ORD0236"/>
    <x v="18"/>
    <x v="242"/>
    <x v="4"/>
    <x v="4"/>
    <x v="4"/>
    <x v="0"/>
    <x v="3"/>
    <n v="1"/>
    <n v="3473"/>
    <n v="2"/>
    <n v="3403.54"/>
    <n v="664219.55999999982"/>
    <n v="1897.7701714285708"/>
    <n v="747"/>
    <s v="High"/>
  </r>
  <r>
    <s v="ORD0822"/>
    <x v="272"/>
    <x v="136"/>
    <x v="3"/>
    <x v="0"/>
    <x v="0"/>
    <x v="3"/>
    <x v="2"/>
    <n v="2"/>
    <n v="2154"/>
    <n v="21"/>
    <n v="3403.32"/>
    <n v="660816.0199999999"/>
    <n v="1893.4556446991401"/>
    <n v="746"/>
    <s v="High"/>
  </r>
  <r>
    <s v="ORD0582"/>
    <x v="61"/>
    <x v="63"/>
    <x v="2"/>
    <x v="1"/>
    <x v="0"/>
    <x v="0"/>
    <x v="1"/>
    <n v="2"/>
    <n v="1932"/>
    <n v="12"/>
    <n v="3400.32"/>
    <n v="657412.70000000007"/>
    <n v="1889.1169540229887"/>
    <n v="744"/>
    <s v="High"/>
  </r>
  <r>
    <s v="ORD0663"/>
    <x v="159"/>
    <x v="207"/>
    <x v="3"/>
    <x v="6"/>
    <x v="3"/>
    <x v="1"/>
    <x v="0"/>
    <n v="2"/>
    <n v="2073"/>
    <n v="18"/>
    <n v="3399.72"/>
    <n v="654012.38"/>
    <n v="1884.761902017291"/>
    <n v="742"/>
    <s v="High"/>
  </r>
  <r>
    <s v="ORD0361"/>
    <x v="197"/>
    <x v="39"/>
    <x v="3"/>
    <x v="0"/>
    <x v="0"/>
    <x v="2"/>
    <x v="3"/>
    <n v="4"/>
    <n v="845"/>
    <n v="0"/>
    <n v="3380"/>
    <n v="650612.66"/>
    <n v="1880.3834104046243"/>
    <n v="740"/>
    <s v="High"/>
  </r>
  <r>
    <s v="ORD0902"/>
    <x v="58"/>
    <x v="173"/>
    <x v="4"/>
    <x v="0"/>
    <x v="2"/>
    <x v="1"/>
    <x v="0"/>
    <n v="1"/>
    <n v="4502"/>
    <n v="25"/>
    <n v="3376.5"/>
    <n v="647232.66"/>
    <n v="1876.0366956521741"/>
    <n v="736"/>
    <s v="High"/>
  </r>
  <r>
    <s v="ORD0604"/>
    <x v="180"/>
    <x v="52"/>
    <x v="1"/>
    <x v="4"/>
    <x v="3"/>
    <x v="3"/>
    <x v="2"/>
    <n v="2"/>
    <n v="2034"/>
    <n v="17"/>
    <n v="3376.44"/>
    <n v="643856.16"/>
    <n v="1871.6748837209304"/>
    <n v="735"/>
    <s v="High"/>
  </r>
  <r>
    <s v="ORD0062"/>
    <x v="129"/>
    <x v="168"/>
    <x v="3"/>
    <x v="6"/>
    <x v="3"/>
    <x v="3"/>
    <x v="2"/>
    <n v="1"/>
    <n v="4242"/>
    <n v="21"/>
    <n v="3351.18"/>
    <n v="640479.72"/>
    <n v="1867.2878134110786"/>
    <n v="733"/>
    <s v="High"/>
  </r>
  <r>
    <s v="ORD0865"/>
    <x v="1"/>
    <x v="198"/>
    <x v="4"/>
    <x v="5"/>
    <x v="1"/>
    <x v="4"/>
    <x v="1"/>
    <n v="1"/>
    <n v="3932"/>
    <n v="15"/>
    <n v="3342.2"/>
    <n v="637128.54"/>
    <n v="1862.9489473684212"/>
    <n v="732"/>
    <s v="High"/>
  </r>
  <r>
    <s v="ORD0171"/>
    <x v="18"/>
    <x v="4"/>
    <x v="0"/>
    <x v="3"/>
    <x v="0"/>
    <x v="3"/>
    <x v="3"/>
    <n v="1"/>
    <n v="3396"/>
    <n v="2"/>
    <n v="3328.08"/>
    <n v="633786.34"/>
    <n v="1858.6109677419354"/>
    <n v="731"/>
    <s v="High"/>
  </r>
  <r>
    <s v="ORD0162"/>
    <x v="118"/>
    <x v="94"/>
    <x v="4"/>
    <x v="5"/>
    <x v="0"/>
    <x v="4"/>
    <x v="3"/>
    <n v="2"/>
    <n v="1926"/>
    <n v="14"/>
    <n v="3312.72"/>
    <n v="630458.26"/>
    <n v="1854.289"/>
    <n v="730"/>
    <s v="High"/>
  </r>
  <r>
    <s v="ORD0320"/>
    <x v="218"/>
    <x v="30"/>
    <x v="3"/>
    <x v="0"/>
    <x v="2"/>
    <x v="0"/>
    <x v="3"/>
    <n v="5"/>
    <n v="807"/>
    <n v="18"/>
    <n v="3308.7"/>
    <n v="627145.53999999992"/>
    <n v="1849.986843657817"/>
    <n v="728"/>
    <s v="High"/>
  </r>
  <r>
    <s v="ORD0404"/>
    <x v="29"/>
    <x v="61"/>
    <x v="4"/>
    <x v="3"/>
    <x v="2"/>
    <x v="0"/>
    <x v="2"/>
    <n v="1"/>
    <n v="4557"/>
    <n v="28"/>
    <n v="3281.04"/>
    <n v="623836.84"/>
    <n v="1845.6711242603549"/>
    <n v="723"/>
    <s v="High"/>
  </r>
  <r>
    <s v="ORD0482"/>
    <x v="35"/>
    <x v="76"/>
    <x v="3"/>
    <x v="0"/>
    <x v="1"/>
    <x v="4"/>
    <x v="1"/>
    <n v="1"/>
    <n v="4149"/>
    <n v="21"/>
    <n v="3277.71"/>
    <n v="620555.79999999993"/>
    <n v="1841.4118694362016"/>
    <n v="722"/>
    <s v="High"/>
  </r>
  <r>
    <s v="ORD0302"/>
    <x v="302"/>
    <x v="269"/>
    <x v="1"/>
    <x v="6"/>
    <x v="3"/>
    <x v="2"/>
    <x v="0"/>
    <n v="3"/>
    <n v="1101"/>
    <n v="1"/>
    <n v="3269.97"/>
    <n v="617278.08999999985"/>
    <n v="1837.1371726190471"/>
    <n v="721"/>
    <s v="High"/>
  </r>
  <r>
    <s v="ORD0170"/>
    <x v="100"/>
    <x v="51"/>
    <x v="4"/>
    <x v="6"/>
    <x v="4"/>
    <x v="0"/>
    <x v="1"/>
    <n v="2"/>
    <n v="2000"/>
    <n v="19"/>
    <n v="3240"/>
    <n v="614008.12"/>
    <n v="1832.8600597014924"/>
    <n v="718"/>
    <s v="High"/>
  </r>
  <r>
    <s v="ORD0852"/>
    <x v="302"/>
    <x v="229"/>
    <x v="3"/>
    <x v="6"/>
    <x v="4"/>
    <x v="1"/>
    <x v="3"/>
    <n v="1"/>
    <n v="4421"/>
    <n v="27"/>
    <n v="3227.33"/>
    <n v="610768.12"/>
    <n v="1828.6470658682636"/>
    <n v="716"/>
    <s v="High"/>
  </r>
  <r>
    <s v="ORD0774"/>
    <x v="154"/>
    <x v="226"/>
    <x v="4"/>
    <x v="2"/>
    <x v="2"/>
    <x v="3"/>
    <x v="0"/>
    <n v="5"/>
    <n v="740"/>
    <n v="13"/>
    <n v="3219"/>
    <n v="607540.79"/>
    <n v="1824.4468168168169"/>
    <n v="715"/>
    <s v="High"/>
  </r>
  <r>
    <s v="ORD0906"/>
    <x v="194"/>
    <x v="193"/>
    <x v="4"/>
    <x v="5"/>
    <x v="3"/>
    <x v="3"/>
    <x v="2"/>
    <n v="1"/>
    <n v="4223"/>
    <n v="24"/>
    <n v="3209.48"/>
    <n v="604321.78999999992"/>
    <n v="1820.2463554216865"/>
    <n v="710"/>
    <s v="High"/>
  </r>
  <r>
    <s v="ORD0252"/>
    <x v="138"/>
    <x v="185"/>
    <x v="0"/>
    <x v="1"/>
    <x v="1"/>
    <x v="3"/>
    <x v="1"/>
    <n v="2"/>
    <n v="2259"/>
    <n v="29"/>
    <n v="3207.78"/>
    <n v="601112.30999999994"/>
    <n v="1816.0492749244711"/>
    <n v="709"/>
    <s v="High"/>
  </r>
  <r>
    <s v="ORD0791"/>
    <x v="236"/>
    <x v="249"/>
    <x v="1"/>
    <x v="6"/>
    <x v="2"/>
    <x v="2"/>
    <x v="1"/>
    <n v="3"/>
    <n v="1402"/>
    <n v="24"/>
    <n v="3196.56"/>
    <n v="597904.5299999998"/>
    <n v="1811.8319090909085"/>
    <n v="707"/>
    <s v="High"/>
  </r>
  <r>
    <s v="ORD0341"/>
    <x v="262"/>
    <x v="133"/>
    <x v="3"/>
    <x v="4"/>
    <x v="4"/>
    <x v="3"/>
    <x v="0"/>
    <n v="3"/>
    <n v="1197"/>
    <n v="11"/>
    <n v="3195.99"/>
    <n v="594707.96999999986"/>
    <n v="1807.6230091185405"/>
    <n v="704"/>
    <s v="High"/>
  </r>
  <r>
    <s v="ORD0653"/>
    <x v="141"/>
    <x v="84"/>
    <x v="4"/>
    <x v="4"/>
    <x v="3"/>
    <x v="4"/>
    <x v="1"/>
    <n v="1"/>
    <n v="4044"/>
    <n v="21"/>
    <n v="3194.76"/>
    <n v="591511.98"/>
    <n v="1803.3901829268293"/>
    <n v="701"/>
    <s v="High"/>
  </r>
  <r>
    <s v="ORD0118"/>
    <x v="250"/>
    <x v="136"/>
    <x v="4"/>
    <x v="2"/>
    <x v="3"/>
    <x v="0"/>
    <x v="2"/>
    <n v="1"/>
    <n v="4229"/>
    <n v="25"/>
    <n v="3171.75"/>
    <n v="588317.22"/>
    <n v="1799.1352293577982"/>
    <n v="700"/>
    <s v="High"/>
  </r>
  <r>
    <s v="ORD0816"/>
    <x v="154"/>
    <x v="209"/>
    <x v="1"/>
    <x v="3"/>
    <x v="0"/>
    <x v="0"/>
    <x v="3"/>
    <n v="5"/>
    <n v="893"/>
    <n v="29"/>
    <n v="3170.15"/>
    <n v="585145.47000000009"/>
    <n v="1794.9247546012273"/>
    <n v="699"/>
    <s v="High"/>
  </r>
  <r>
    <s v="ORD0850"/>
    <x v="296"/>
    <x v="155"/>
    <x v="3"/>
    <x v="0"/>
    <x v="2"/>
    <x v="1"/>
    <x v="3"/>
    <n v="1"/>
    <n v="4224"/>
    <n v="25"/>
    <n v="3168"/>
    <n v="581975.31999999995"/>
    <n v="1790.6932923076922"/>
    <n v="694"/>
    <s v="High"/>
  </r>
  <r>
    <s v="ORD0192"/>
    <x v="90"/>
    <x v="222"/>
    <x v="4"/>
    <x v="0"/>
    <x v="4"/>
    <x v="0"/>
    <x v="0"/>
    <n v="5"/>
    <n v="904"/>
    <n v="30"/>
    <n v="3164"/>
    <n v="578807.31999999995"/>
    <n v="1786.4423456790121"/>
    <n v="693"/>
    <s v="High"/>
  </r>
  <r>
    <s v="ORD0301"/>
    <x v="93"/>
    <x v="30"/>
    <x v="4"/>
    <x v="5"/>
    <x v="4"/>
    <x v="4"/>
    <x v="1"/>
    <n v="5"/>
    <n v="753"/>
    <n v="16"/>
    <n v="3162.6"/>
    <n v="575643.31999999995"/>
    <n v="1782.1774613003095"/>
    <n v="688"/>
    <s v="High"/>
  </r>
  <r>
    <s v="ORD0054"/>
    <x v="199"/>
    <x v="162"/>
    <x v="3"/>
    <x v="2"/>
    <x v="1"/>
    <x v="1"/>
    <x v="2"/>
    <n v="3"/>
    <n v="1223"/>
    <n v="14"/>
    <n v="3155.34"/>
    <n v="572480.71999999986"/>
    <n v="1777.8904347826083"/>
    <n v="683"/>
    <s v="High"/>
  </r>
  <r>
    <s v="ORD0232"/>
    <x v="303"/>
    <x v="163"/>
    <x v="2"/>
    <x v="3"/>
    <x v="1"/>
    <x v="4"/>
    <x v="1"/>
    <n v="5"/>
    <n v="708"/>
    <n v="11"/>
    <n v="3150.6"/>
    <n v="569325.38"/>
    <n v="1773.5993146417445"/>
    <n v="680"/>
    <s v="High"/>
  </r>
  <r>
    <s v="ORD0679"/>
    <x v="219"/>
    <x v="94"/>
    <x v="4"/>
    <x v="1"/>
    <x v="0"/>
    <x v="3"/>
    <x v="0"/>
    <n v="2"/>
    <n v="1606"/>
    <n v="2"/>
    <n v="3147.76"/>
    <n v="566174.77999999991"/>
    <n v="1769.2961874999996"/>
    <n v="675"/>
    <s v="High"/>
  </r>
  <r>
    <s v="ORD0422"/>
    <x v="296"/>
    <x v="225"/>
    <x v="3"/>
    <x v="0"/>
    <x v="3"/>
    <x v="4"/>
    <x v="3"/>
    <n v="1"/>
    <n v="4032"/>
    <n v="22"/>
    <n v="3144.96"/>
    <n v="563027.0199999999"/>
    <n v="1764.9749843260186"/>
    <n v="673"/>
    <s v="High"/>
  </r>
  <r>
    <s v="ORD0907"/>
    <x v="15"/>
    <x v="7"/>
    <x v="0"/>
    <x v="6"/>
    <x v="4"/>
    <x v="3"/>
    <x v="1"/>
    <n v="3"/>
    <n v="1342"/>
    <n v="22"/>
    <n v="3140.28"/>
    <n v="559882.06000000006"/>
    <n v="1760.6354088050316"/>
    <n v="672"/>
    <s v="High"/>
  </r>
  <r>
    <s v="ORD0689"/>
    <x v="149"/>
    <x v="137"/>
    <x v="0"/>
    <x v="6"/>
    <x v="1"/>
    <x v="0"/>
    <x v="1"/>
    <n v="5"/>
    <n v="837"/>
    <n v="25"/>
    <n v="3138.75"/>
    <n v="556741.78000000014"/>
    <n v="1756.2832176656157"/>
    <n v="669"/>
    <s v="High"/>
  </r>
  <r>
    <s v="ORD0655"/>
    <x v="27"/>
    <x v="245"/>
    <x v="2"/>
    <x v="5"/>
    <x v="4"/>
    <x v="0"/>
    <x v="2"/>
    <n v="2"/>
    <n v="1782"/>
    <n v="12"/>
    <n v="3136.32"/>
    <n v="553603.03000000014"/>
    <n v="1751.9083227848105"/>
    <n v="664"/>
    <s v="High"/>
  </r>
  <r>
    <s v="ORD0325"/>
    <x v="1"/>
    <x v="113"/>
    <x v="2"/>
    <x v="6"/>
    <x v="3"/>
    <x v="2"/>
    <x v="0"/>
    <n v="1"/>
    <n v="3132"/>
    <n v="0"/>
    <n v="3132"/>
    <n v="550466.7100000002"/>
    <n v="1747.5133650793657"/>
    <n v="662"/>
    <s v="High"/>
  </r>
  <r>
    <s v="ORD0221"/>
    <x v="45"/>
    <x v="119"/>
    <x v="3"/>
    <x v="1"/>
    <x v="4"/>
    <x v="4"/>
    <x v="3"/>
    <n v="5"/>
    <n v="728"/>
    <n v="14"/>
    <n v="3130.4"/>
    <n v="547334.71000000008"/>
    <n v="1743.1041719745226"/>
    <n v="661"/>
    <s v="High"/>
  </r>
  <r>
    <s v="ORD0084"/>
    <x v="155"/>
    <x v="125"/>
    <x v="3"/>
    <x v="1"/>
    <x v="3"/>
    <x v="4"/>
    <x v="0"/>
    <n v="4"/>
    <n v="987"/>
    <n v="21"/>
    <n v="3118.92"/>
    <n v="544204.31000000006"/>
    <n v="1738.6719169329076"/>
    <n v="656"/>
    <s v="High"/>
  </r>
  <r>
    <s v="ORD0789"/>
    <x v="131"/>
    <x v="166"/>
    <x v="4"/>
    <x v="2"/>
    <x v="0"/>
    <x v="4"/>
    <x v="1"/>
    <n v="4"/>
    <n v="1053"/>
    <n v="26"/>
    <n v="3116.88"/>
    <n v="541085.39000000013"/>
    <n v="1734.2480448717954"/>
    <n v="652"/>
    <s v="High"/>
  </r>
  <r>
    <s v="ORD0209"/>
    <x v="304"/>
    <x v="249"/>
    <x v="3"/>
    <x v="1"/>
    <x v="1"/>
    <x v="1"/>
    <x v="2"/>
    <n v="2"/>
    <n v="1824"/>
    <n v="15"/>
    <n v="3100.8"/>
    <n v="537968.51"/>
    <n v="1729.8022829581994"/>
    <n v="648"/>
    <s v="High"/>
  </r>
  <r>
    <s v="ORD0513"/>
    <x v="305"/>
    <x v="179"/>
    <x v="2"/>
    <x v="0"/>
    <x v="1"/>
    <x v="2"/>
    <x v="2"/>
    <n v="1"/>
    <n v="3951"/>
    <n v="22"/>
    <n v="3081.78"/>
    <n v="534867.71"/>
    <n v="1725.3797096774192"/>
    <n v="646"/>
    <s v="High"/>
  </r>
  <r>
    <s v="ORD0825"/>
    <x v="306"/>
    <x v="220"/>
    <x v="2"/>
    <x v="5"/>
    <x v="0"/>
    <x v="2"/>
    <x v="2"/>
    <n v="1"/>
    <n v="3655"/>
    <n v="16"/>
    <n v="3070.2"/>
    <n v="531785.93000000017"/>
    <n v="1720.9900647249196"/>
    <n v="645"/>
    <s v="High"/>
  </r>
  <r>
    <s v="ORD0413"/>
    <x v="304"/>
    <x v="98"/>
    <x v="2"/>
    <x v="0"/>
    <x v="1"/>
    <x v="2"/>
    <x v="0"/>
    <n v="2"/>
    <n v="1565"/>
    <n v="2"/>
    <n v="3067.4"/>
    <n v="528715.73"/>
    <n v="1716.609512987013"/>
    <n v="644"/>
    <s v="High"/>
  </r>
  <r>
    <s v="ORD0044"/>
    <x v="154"/>
    <x v="3"/>
    <x v="1"/>
    <x v="3"/>
    <x v="4"/>
    <x v="2"/>
    <x v="2"/>
    <n v="3"/>
    <n v="1457"/>
    <n v="30"/>
    <n v="3059.7"/>
    <n v="525648.32999999984"/>
    <n v="1712.2095439739408"/>
    <n v="642"/>
    <s v="High"/>
  </r>
  <r>
    <s v="ORD0036"/>
    <x v="149"/>
    <x v="109"/>
    <x v="0"/>
    <x v="0"/>
    <x v="2"/>
    <x v="3"/>
    <x v="1"/>
    <n v="1"/>
    <n v="3640"/>
    <n v="16"/>
    <n v="3057.6"/>
    <n v="522588.62999999989"/>
    <n v="1707.8059803921565"/>
    <n v="639"/>
    <s v="High"/>
  </r>
  <r>
    <s v="ORD0817"/>
    <x v="201"/>
    <x v="225"/>
    <x v="1"/>
    <x v="1"/>
    <x v="1"/>
    <x v="3"/>
    <x v="0"/>
    <n v="1"/>
    <n v="3666"/>
    <n v="17"/>
    <n v="3042.78"/>
    <n v="519531.02999999991"/>
    <n v="1703.380426229508"/>
    <n v="638"/>
    <s v="High"/>
  </r>
  <r>
    <s v="ORD0406"/>
    <x v="295"/>
    <x v="156"/>
    <x v="4"/>
    <x v="4"/>
    <x v="0"/>
    <x v="0"/>
    <x v="1"/>
    <n v="4"/>
    <n v="783"/>
    <n v="3"/>
    <n v="3038.04"/>
    <n v="516488.24999999988"/>
    <n v="1698.9745065789471"/>
    <n v="637"/>
    <s v="High"/>
  </r>
  <r>
    <s v="ORD0080"/>
    <x v="21"/>
    <x v="59"/>
    <x v="1"/>
    <x v="4"/>
    <x v="1"/>
    <x v="1"/>
    <x v="0"/>
    <n v="2"/>
    <n v="1608"/>
    <n v="6"/>
    <n v="3023.04"/>
    <n v="513450.2099999999"/>
    <n v="1694.5551485148512"/>
    <n v="633"/>
    <s v="High"/>
  </r>
  <r>
    <s v="ORD0175"/>
    <x v="268"/>
    <x v="140"/>
    <x v="0"/>
    <x v="2"/>
    <x v="0"/>
    <x v="1"/>
    <x v="1"/>
    <n v="3"/>
    <n v="1126"/>
    <n v="11"/>
    <n v="3006.42"/>
    <n v="510427.16999999993"/>
    <n v="1690.1561920529798"/>
    <n v="631"/>
    <s v="High"/>
  </r>
  <r>
    <s v="ORD0862"/>
    <x v="281"/>
    <x v="181"/>
    <x v="1"/>
    <x v="2"/>
    <x v="1"/>
    <x v="4"/>
    <x v="1"/>
    <n v="5"/>
    <n v="798"/>
    <n v="25"/>
    <n v="2992.5"/>
    <n v="507420.74999999994"/>
    <n v="1685.7832225913619"/>
    <n v="628"/>
    <s v="Low"/>
  </r>
  <r>
    <s v="ORD0930"/>
    <x v="229"/>
    <x v="127"/>
    <x v="1"/>
    <x v="5"/>
    <x v="0"/>
    <x v="1"/>
    <x v="3"/>
    <n v="1"/>
    <n v="3595"/>
    <n v="17"/>
    <n v="2983.85"/>
    <n v="504428.24999999994"/>
    <n v="1681.4274999999998"/>
    <n v="623"/>
    <s v="Low"/>
  </r>
  <r>
    <s v="ORD0174"/>
    <x v="59"/>
    <x v="156"/>
    <x v="2"/>
    <x v="0"/>
    <x v="2"/>
    <x v="3"/>
    <x v="0"/>
    <n v="1"/>
    <n v="4242"/>
    <n v="30"/>
    <n v="2969.4"/>
    <n v="501444.4"/>
    <n v="1677.0715719063546"/>
    <n v="622"/>
    <s v="Low"/>
  </r>
  <r>
    <s v="ORD0149"/>
    <x v="118"/>
    <x v="265"/>
    <x v="4"/>
    <x v="3"/>
    <x v="4"/>
    <x v="3"/>
    <x v="3"/>
    <n v="2"/>
    <n v="1712"/>
    <n v="14"/>
    <n v="2944.64"/>
    <n v="498475"/>
    <n v="1672.734899328859"/>
    <n v="621"/>
    <s v="Low"/>
  </r>
  <r>
    <s v="ORD0184"/>
    <x v="126"/>
    <x v="42"/>
    <x v="3"/>
    <x v="4"/>
    <x v="4"/>
    <x v="3"/>
    <x v="1"/>
    <n v="1"/>
    <n v="3948"/>
    <n v="26"/>
    <n v="2921.52"/>
    <n v="495530.36000000004"/>
    <n v="1668.4523905723906"/>
    <n v="619"/>
    <s v="Low"/>
  </r>
  <r>
    <s v="ORD0310"/>
    <x v="126"/>
    <x v="153"/>
    <x v="0"/>
    <x v="6"/>
    <x v="1"/>
    <x v="1"/>
    <x v="0"/>
    <n v="4"/>
    <n v="1043"/>
    <n v="30"/>
    <n v="2920.4"/>
    <n v="492608.84"/>
    <n v="1664.2190540540541"/>
    <n v="618"/>
    <s v="Low"/>
  </r>
  <r>
    <s v="ORD0478"/>
    <x v="126"/>
    <x v="179"/>
    <x v="3"/>
    <x v="2"/>
    <x v="1"/>
    <x v="1"/>
    <x v="0"/>
    <n v="5"/>
    <n v="647"/>
    <n v="10"/>
    <n v="2911.5"/>
    <n v="489688.43999999994"/>
    <n v="1659.9608135593219"/>
    <n v="614"/>
    <s v="Low"/>
  </r>
  <r>
    <s v="ORD0792"/>
    <x v="232"/>
    <x v="121"/>
    <x v="3"/>
    <x v="0"/>
    <x v="0"/>
    <x v="4"/>
    <x v="0"/>
    <n v="4"/>
    <n v="876"/>
    <n v="17"/>
    <n v="2908.32"/>
    <n v="486776.94"/>
    <n v="1655.7038775510205"/>
    <n v="609"/>
    <s v="Low"/>
  </r>
  <r>
    <s v="ORD0497"/>
    <x v="126"/>
    <x v="127"/>
    <x v="2"/>
    <x v="3"/>
    <x v="0"/>
    <x v="3"/>
    <x v="2"/>
    <n v="4"/>
    <n v="857"/>
    <n v="16"/>
    <n v="2879.52"/>
    <n v="483868.61999999994"/>
    <n v="1651.428737201365"/>
    <n v="605"/>
    <s v="Low"/>
  </r>
  <r>
    <s v="ORD0212"/>
    <x v="114"/>
    <x v="258"/>
    <x v="1"/>
    <x v="4"/>
    <x v="2"/>
    <x v="1"/>
    <x v="3"/>
    <n v="1"/>
    <n v="3505"/>
    <n v="18"/>
    <n v="2874.1"/>
    <n v="480989.09999999992"/>
    <n v="1647.2229452054792"/>
    <n v="601"/>
    <s v="Low"/>
  </r>
  <r>
    <s v="ORD0683"/>
    <x v="307"/>
    <x v="255"/>
    <x v="0"/>
    <x v="6"/>
    <x v="3"/>
    <x v="0"/>
    <x v="0"/>
    <n v="3"/>
    <n v="1111"/>
    <n v="14"/>
    <n v="2866.38"/>
    <n v="478114.99999999988"/>
    <n v="1643.0068728522333"/>
    <n v="600"/>
    <s v="Low"/>
  </r>
  <r>
    <s v="ORD0919"/>
    <x v="308"/>
    <x v="60"/>
    <x v="1"/>
    <x v="0"/>
    <x v="0"/>
    <x v="0"/>
    <x v="3"/>
    <n v="1"/>
    <n v="2969"/>
    <n v="4"/>
    <n v="2850.24"/>
    <n v="475248.61999999988"/>
    <n v="1638.7883448275859"/>
    <n v="597"/>
    <s v="Low"/>
  </r>
  <r>
    <s v="ORD0186"/>
    <x v="95"/>
    <x v="115"/>
    <x v="0"/>
    <x v="0"/>
    <x v="1"/>
    <x v="4"/>
    <x v="0"/>
    <n v="5"/>
    <n v="739"/>
    <n v="23"/>
    <n v="2845.15"/>
    <n v="472398.37999999989"/>
    <n v="1634.596470588235"/>
    <n v="596"/>
    <s v="Low"/>
  </r>
  <r>
    <s v="ORD0037"/>
    <x v="301"/>
    <x v="239"/>
    <x v="0"/>
    <x v="3"/>
    <x v="1"/>
    <x v="0"/>
    <x v="1"/>
    <n v="2"/>
    <n v="1542"/>
    <n v="8"/>
    <n v="2837.28"/>
    <n v="469553.22999999986"/>
    <n v="1630.3931597222218"/>
    <n v="591"/>
    <s v="Low"/>
  </r>
  <r>
    <s v="ORD0826"/>
    <x v="117"/>
    <x v="133"/>
    <x v="3"/>
    <x v="0"/>
    <x v="0"/>
    <x v="1"/>
    <x v="2"/>
    <n v="1"/>
    <n v="2895"/>
    <n v="2"/>
    <n v="2837.1"/>
    <n v="466715.94999999984"/>
    <n v="1626.1879790940761"/>
    <n v="589"/>
    <s v="Low"/>
  </r>
  <r>
    <s v="ORD0024"/>
    <x v="186"/>
    <x v="210"/>
    <x v="4"/>
    <x v="6"/>
    <x v="0"/>
    <x v="4"/>
    <x v="3"/>
    <n v="2"/>
    <n v="1569"/>
    <n v="10"/>
    <n v="2824.2"/>
    <n v="463878.84999999986"/>
    <n v="1621.9540209790205"/>
    <n v="588"/>
    <s v="Low"/>
  </r>
  <r>
    <s v="ORD0871"/>
    <x v="204"/>
    <x v="241"/>
    <x v="4"/>
    <x v="5"/>
    <x v="4"/>
    <x v="2"/>
    <x v="3"/>
    <n v="1"/>
    <n v="3180"/>
    <n v="12"/>
    <n v="2798.4"/>
    <n v="461054.64999999985"/>
    <n v="1617.7356140350871"/>
    <n v="586"/>
    <s v="Low"/>
  </r>
  <r>
    <s v="ORD0666"/>
    <x v="238"/>
    <x v="247"/>
    <x v="2"/>
    <x v="3"/>
    <x v="3"/>
    <x v="3"/>
    <x v="2"/>
    <n v="1"/>
    <n v="3629"/>
    <n v="23"/>
    <n v="2794.33"/>
    <n v="458256.24999999988"/>
    <n v="1613.5783450704221"/>
    <n v="585"/>
    <s v="Low"/>
  </r>
  <r>
    <s v="ORD0256"/>
    <x v="78"/>
    <x v="117"/>
    <x v="4"/>
    <x v="3"/>
    <x v="2"/>
    <x v="0"/>
    <x v="0"/>
    <n v="2"/>
    <n v="1744"/>
    <n v="20"/>
    <n v="2790.4"/>
    <n v="455461.91999999993"/>
    <n v="1609.4060777385157"/>
    <n v="584"/>
    <s v="Low"/>
  </r>
  <r>
    <s v="ORD0743"/>
    <x v="288"/>
    <x v="42"/>
    <x v="0"/>
    <x v="4"/>
    <x v="0"/>
    <x v="4"/>
    <x v="2"/>
    <n v="4"/>
    <n v="850"/>
    <n v="18"/>
    <n v="2788"/>
    <n v="452671.51999999996"/>
    <n v="1605.2181560283686"/>
    <n v="582"/>
    <s v="Low"/>
  </r>
  <r>
    <s v="ORD0250"/>
    <x v="309"/>
    <x v="270"/>
    <x v="1"/>
    <x v="3"/>
    <x v="4"/>
    <x v="4"/>
    <x v="2"/>
    <n v="1"/>
    <n v="3357"/>
    <n v="17"/>
    <n v="2786.31"/>
    <n v="449883.52"/>
    <n v="1601.0089679715304"/>
    <n v="578"/>
    <s v="Low"/>
  </r>
  <r>
    <s v="ORD0511"/>
    <x v="13"/>
    <x v="225"/>
    <x v="4"/>
    <x v="5"/>
    <x v="3"/>
    <x v="1"/>
    <x v="1"/>
    <n v="3"/>
    <n v="1067"/>
    <n v="13"/>
    <n v="2784.87"/>
    <n v="447097.21"/>
    <n v="1596.77575"/>
    <n v="577"/>
    <s v="Low"/>
  </r>
  <r>
    <s v="ORD0757"/>
    <x v="308"/>
    <x v="86"/>
    <x v="1"/>
    <x v="3"/>
    <x v="4"/>
    <x v="3"/>
    <x v="3"/>
    <n v="2"/>
    <n v="1529"/>
    <n v="9"/>
    <n v="2782.78"/>
    <n v="444312.34"/>
    <n v="1592.517347670251"/>
    <n v="574"/>
    <s v="Low"/>
  </r>
  <r>
    <s v="ORD0794"/>
    <x v="117"/>
    <x v="26"/>
    <x v="0"/>
    <x v="2"/>
    <x v="0"/>
    <x v="0"/>
    <x v="0"/>
    <n v="1"/>
    <n v="3968"/>
    <n v="30"/>
    <n v="2777.6"/>
    <n v="441529.56"/>
    <n v="1588.2358273381294"/>
    <n v="572"/>
    <s v="Low"/>
  </r>
  <r>
    <s v="ORD0670"/>
    <x v="215"/>
    <x v="41"/>
    <x v="2"/>
    <x v="4"/>
    <x v="3"/>
    <x v="1"/>
    <x v="0"/>
    <n v="3"/>
    <n v="1027"/>
    <n v="10"/>
    <n v="2772.9"/>
    <n v="438751.95999999996"/>
    <n v="1583.9420938628157"/>
    <n v="571"/>
    <s v="Low"/>
  </r>
  <r>
    <s v="ORD0008"/>
    <x v="85"/>
    <x v="5"/>
    <x v="2"/>
    <x v="2"/>
    <x v="4"/>
    <x v="2"/>
    <x v="0"/>
    <n v="1"/>
    <n v="2884"/>
    <n v="4"/>
    <n v="2768.64"/>
    <n v="435979.06"/>
    <n v="1579.6342753623189"/>
    <n v="568"/>
    <s v="Low"/>
  </r>
  <r>
    <s v="ORD0673"/>
    <x v="12"/>
    <x v="92"/>
    <x v="0"/>
    <x v="5"/>
    <x v="0"/>
    <x v="4"/>
    <x v="0"/>
    <n v="2"/>
    <n v="1613"/>
    <n v="15"/>
    <n v="2742.1"/>
    <n v="433210.42"/>
    <n v="1575.3106181818182"/>
    <n v="567"/>
    <s v="Low"/>
  </r>
  <r>
    <s v="ORD0947"/>
    <x v="178"/>
    <x v="121"/>
    <x v="0"/>
    <x v="3"/>
    <x v="0"/>
    <x v="4"/>
    <x v="0"/>
    <n v="1"/>
    <n v="2980"/>
    <n v="8"/>
    <n v="2741.6"/>
    <n v="430468.32"/>
    <n v="1571.0522627737228"/>
    <n v="565"/>
    <s v="Low"/>
  </r>
  <r>
    <s v="ORD0646"/>
    <x v="247"/>
    <x v="6"/>
    <x v="3"/>
    <x v="6"/>
    <x v="4"/>
    <x v="3"/>
    <x v="2"/>
    <n v="4"/>
    <n v="729"/>
    <n v="6"/>
    <n v="2741.04"/>
    <n v="427726.72000000003"/>
    <n v="1566.7645421245422"/>
    <n v="564"/>
    <s v="Low"/>
  </r>
  <r>
    <s v="ORD0147"/>
    <x v="261"/>
    <x v="170"/>
    <x v="3"/>
    <x v="3"/>
    <x v="2"/>
    <x v="2"/>
    <x v="3"/>
    <n v="4"/>
    <n v="761"/>
    <n v="10"/>
    <n v="2739.6"/>
    <n v="424985.68000000005"/>
    <n v="1562.4473529411766"/>
    <n v="560"/>
    <s v="Low"/>
  </r>
  <r>
    <s v="ORD0168"/>
    <x v="120"/>
    <x v="169"/>
    <x v="0"/>
    <x v="6"/>
    <x v="1"/>
    <x v="1"/>
    <x v="3"/>
    <n v="2"/>
    <n v="1610"/>
    <n v="15"/>
    <n v="2737"/>
    <n v="422246.08"/>
    <n v="1558.1036162361625"/>
    <n v="556"/>
    <s v="Low"/>
  </r>
  <r>
    <s v="ORD0934"/>
    <x v="32"/>
    <x v="251"/>
    <x v="2"/>
    <x v="5"/>
    <x v="3"/>
    <x v="4"/>
    <x v="0"/>
    <n v="4"/>
    <n v="735"/>
    <n v="7"/>
    <n v="2734.2"/>
    <n v="419509.08"/>
    <n v="1553.7373333333335"/>
    <n v="554"/>
    <s v="Low"/>
  </r>
  <r>
    <s v="ORD0392"/>
    <x v="103"/>
    <x v="259"/>
    <x v="3"/>
    <x v="6"/>
    <x v="4"/>
    <x v="0"/>
    <x v="0"/>
    <n v="1"/>
    <n v="3130"/>
    <n v="13"/>
    <n v="2723.1"/>
    <n v="416774.88000000006"/>
    <n v="1549.3489962825281"/>
    <n v="550"/>
    <s v="Low"/>
  </r>
  <r>
    <s v="ORD0917"/>
    <x v="60"/>
    <x v="23"/>
    <x v="1"/>
    <x v="1"/>
    <x v="3"/>
    <x v="1"/>
    <x v="1"/>
    <n v="1"/>
    <n v="3240"/>
    <n v="16"/>
    <n v="2721.6"/>
    <n v="414051.78"/>
    <n v="1544.9693283582092"/>
    <n v="549"/>
    <s v="Low"/>
  </r>
  <r>
    <s v="ORD0802"/>
    <x v="310"/>
    <x v="166"/>
    <x v="2"/>
    <x v="1"/>
    <x v="1"/>
    <x v="1"/>
    <x v="2"/>
    <n v="1"/>
    <n v="3572"/>
    <n v="24"/>
    <n v="2714.72"/>
    <n v="411330.18000000005"/>
    <n v="1540.5624719101127"/>
    <n v="548"/>
    <s v="Low"/>
  </r>
  <r>
    <s v="ORD0772"/>
    <x v="114"/>
    <x v="271"/>
    <x v="4"/>
    <x v="3"/>
    <x v="1"/>
    <x v="3"/>
    <x v="2"/>
    <n v="1"/>
    <n v="2856"/>
    <n v="5"/>
    <n v="2713.2"/>
    <n v="408615.46"/>
    <n v="1536.1483458646617"/>
    <n v="547"/>
    <s v="Low"/>
  </r>
  <r>
    <s v="ORD0337"/>
    <x v="311"/>
    <x v="110"/>
    <x v="2"/>
    <x v="5"/>
    <x v="1"/>
    <x v="2"/>
    <x v="0"/>
    <n v="3"/>
    <n v="1199"/>
    <n v="25"/>
    <n v="2697.75"/>
    <n v="405902.26"/>
    <n v="1531.7066415094339"/>
    <n v="546"/>
    <s v="Low"/>
  </r>
  <r>
    <s v="ORD0761"/>
    <x v="118"/>
    <x v="19"/>
    <x v="1"/>
    <x v="4"/>
    <x v="0"/>
    <x v="4"/>
    <x v="0"/>
    <n v="4"/>
    <n v="862"/>
    <n v="22"/>
    <n v="2689.44"/>
    <n v="403204.51"/>
    <n v="1527.2898106060607"/>
    <n v="543"/>
    <s v="Low"/>
  </r>
  <r>
    <s v="ORD0306"/>
    <x v="159"/>
    <x v="130"/>
    <x v="0"/>
    <x v="4"/>
    <x v="4"/>
    <x v="0"/>
    <x v="2"/>
    <n v="1"/>
    <n v="3123"/>
    <n v="14"/>
    <n v="2685.78"/>
    <n v="400515.07"/>
    <n v="1522.870988593156"/>
    <n v="539"/>
    <s v="Low"/>
  </r>
  <r>
    <s v="ORD0843"/>
    <x v="38"/>
    <x v="272"/>
    <x v="0"/>
    <x v="4"/>
    <x v="2"/>
    <x v="3"/>
    <x v="1"/>
    <n v="5"/>
    <n v="625"/>
    <n v="15"/>
    <n v="2656.25"/>
    <n v="397829.28999999992"/>
    <n v="1518.4324045801525"/>
    <n v="538"/>
    <s v="Low"/>
  </r>
  <r>
    <s v="ORD0536"/>
    <x v="255"/>
    <x v="127"/>
    <x v="2"/>
    <x v="6"/>
    <x v="0"/>
    <x v="4"/>
    <x v="2"/>
    <n v="1"/>
    <n v="2672"/>
    <n v="1"/>
    <n v="2645.28"/>
    <n v="395173.03999999992"/>
    <n v="1514.0729501915705"/>
    <n v="533"/>
    <s v="Low"/>
  </r>
  <r>
    <s v="ORD0227"/>
    <x v="200"/>
    <x v="149"/>
    <x v="4"/>
    <x v="4"/>
    <x v="0"/>
    <x v="2"/>
    <x v="0"/>
    <n v="2"/>
    <n v="1715"/>
    <n v="23"/>
    <n v="2641.1"/>
    <n v="392527.75999999995"/>
    <n v="1509.7221538461536"/>
    <n v="532"/>
    <s v="Low"/>
  </r>
  <r>
    <s v="ORD0111"/>
    <x v="48"/>
    <x v="23"/>
    <x v="0"/>
    <x v="6"/>
    <x v="1"/>
    <x v="4"/>
    <x v="2"/>
    <n v="1"/>
    <n v="2898"/>
    <n v="9"/>
    <n v="2637.18"/>
    <n v="389886.65999999992"/>
    <n v="1505.3538996138993"/>
    <n v="530"/>
    <s v="Low"/>
  </r>
  <r>
    <s v="ORD0987"/>
    <x v="259"/>
    <x v="53"/>
    <x v="4"/>
    <x v="4"/>
    <x v="2"/>
    <x v="0"/>
    <x v="1"/>
    <n v="3"/>
    <n v="943"/>
    <n v="7"/>
    <n v="2630.97"/>
    <n v="387249.47999999992"/>
    <n v="1500.9669767441858"/>
    <n v="529"/>
    <s v="Low"/>
  </r>
  <r>
    <s v="ORD0658"/>
    <x v="244"/>
    <x v="28"/>
    <x v="0"/>
    <x v="5"/>
    <x v="3"/>
    <x v="3"/>
    <x v="3"/>
    <n v="1"/>
    <n v="3020"/>
    <n v="13"/>
    <n v="2627.4"/>
    <n v="384618.51"/>
    <n v="1496.5700778210116"/>
    <n v="526"/>
    <s v="Low"/>
  </r>
  <r>
    <s v="ORD0258"/>
    <x v="28"/>
    <x v="130"/>
    <x v="2"/>
    <x v="6"/>
    <x v="1"/>
    <x v="1"/>
    <x v="3"/>
    <n v="4"/>
    <n v="827"/>
    <n v="21"/>
    <n v="2613.3200000000002"/>
    <n v="381991.11"/>
    <n v="1492.1527734374999"/>
    <n v="525"/>
    <s v="Low"/>
  </r>
  <r>
    <s v="ORD0164"/>
    <x v="144"/>
    <x v="187"/>
    <x v="0"/>
    <x v="0"/>
    <x v="4"/>
    <x v="3"/>
    <x v="2"/>
    <n v="1"/>
    <n v="2797"/>
    <n v="7"/>
    <n v="2601.21"/>
    <n v="379377.79"/>
    <n v="1487.7560392156861"/>
    <n v="521"/>
    <s v="Low"/>
  </r>
  <r>
    <s v="ORD0619"/>
    <x v="181"/>
    <x v="165"/>
    <x v="0"/>
    <x v="6"/>
    <x v="2"/>
    <x v="2"/>
    <x v="3"/>
    <n v="5"/>
    <n v="658"/>
    <n v="21"/>
    <n v="2599.1"/>
    <n v="376776.5799999999"/>
    <n v="1483.3723622047239"/>
    <n v="520"/>
    <s v="Low"/>
  </r>
  <r>
    <s v="ORD0758"/>
    <x v="309"/>
    <x v="273"/>
    <x v="0"/>
    <x v="3"/>
    <x v="2"/>
    <x v="3"/>
    <x v="3"/>
    <n v="1"/>
    <n v="2727"/>
    <n v="5"/>
    <n v="2590.65"/>
    <n v="374177.47999999992"/>
    <n v="1478.9623715415016"/>
    <n v="515"/>
    <s v="Low"/>
  </r>
  <r>
    <s v="ORD0756"/>
    <x v="6"/>
    <x v="224"/>
    <x v="0"/>
    <x v="3"/>
    <x v="3"/>
    <x v="0"/>
    <x v="3"/>
    <n v="3"/>
    <n v="871"/>
    <n v="1"/>
    <n v="2586.87"/>
    <n v="371586.82999999996"/>
    <n v="1474.5509126984125"/>
    <n v="514"/>
    <s v="Low"/>
  </r>
  <r>
    <s v="ORD0257"/>
    <x v="255"/>
    <x v="221"/>
    <x v="4"/>
    <x v="3"/>
    <x v="3"/>
    <x v="2"/>
    <x v="0"/>
    <n v="1"/>
    <n v="3592"/>
    <n v="28"/>
    <n v="2586.2399999999998"/>
    <n v="368999.96"/>
    <n v="1470.1193625498008"/>
    <n v="511"/>
    <s v="Low"/>
  </r>
  <r>
    <s v="ORD0661"/>
    <x v="52"/>
    <x v="95"/>
    <x v="0"/>
    <x v="3"/>
    <x v="3"/>
    <x v="4"/>
    <x v="1"/>
    <n v="1"/>
    <n v="2805"/>
    <n v="8"/>
    <n v="2580.6"/>
    <n v="366413.72"/>
    <n v="1465.6548799999998"/>
    <n v="510"/>
    <s v="Low"/>
  </r>
  <r>
    <s v="ORD0834"/>
    <x v="312"/>
    <x v="187"/>
    <x v="1"/>
    <x v="0"/>
    <x v="3"/>
    <x v="3"/>
    <x v="3"/>
    <n v="5"/>
    <n v="674"/>
    <n v="24"/>
    <n v="2561.1999999999998"/>
    <n v="363833.12"/>
    <n v="1461.1771887550201"/>
    <n v="509"/>
    <s v="Low"/>
  </r>
  <r>
    <s v="ORD0875"/>
    <x v="14"/>
    <x v="158"/>
    <x v="1"/>
    <x v="4"/>
    <x v="1"/>
    <x v="3"/>
    <x v="0"/>
    <n v="4"/>
    <n v="801"/>
    <n v="21"/>
    <n v="2531.16"/>
    <n v="361271.92000000004"/>
    <n v="1456.741612903226"/>
    <n v="504"/>
    <s v="Low"/>
  </r>
  <r>
    <s v="ORD0492"/>
    <x v="287"/>
    <x v="158"/>
    <x v="2"/>
    <x v="5"/>
    <x v="3"/>
    <x v="3"/>
    <x v="2"/>
    <n v="1"/>
    <n v="2857"/>
    <n v="12"/>
    <n v="2514.16"/>
    <n v="358740.76"/>
    <n v="1452.3917408906882"/>
    <n v="500"/>
    <s v="Low"/>
  </r>
  <r>
    <s v="ORD0091"/>
    <x v="116"/>
    <x v="153"/>
    <x v="2"/>
    <x v="0"/>
    <x v="0"/>
    <x v="0"/>
    <x v="1"/>
    <n v="3"/>
    <n v="908"/>
    <n v="8"/>
    <n v="2506.08"/>
    <n v="356226.60000000003"/>
    <n v="1448.0756097560977"/>
    <n v="499"/>
    <s v="Low"/>
  </r>
  <r>
    <s v="ORD0945"/>
    <x v="256"/>
    <x v="135"/>
    <x v="1"/>
    <x v="0"/>
    <x v="0"/>
    <x v="0"/>
    <x v="2"/>
    <n v="2"/>
    <n v="1261"/>
    <n v="1"/>
    <n v="2496.7800000000002"/>
    <n v="353720.52"/>
    <n v="1443.757224489796"/>
    <n v="496"/>
    <s v="Low"/>
  </r>
  <r>
    <s v="ORD0502"/>
    <x v="296"/>
    <x v="223"/>
    <x v="0"/>
    <x v="3"/>
    <x v="2"/>
    <x v="1"/>
    <x v="1"/>
    <n v="2"/>
    <n v="1461"/>
    <n v="15"/>
    <n v="2483.6999999999998"/>
    <n v="351223.74"/>
    <n v="1439.4415573770491"/>
    <n v="494"/>
    <s v="Low"/>
  </r>
  <r>
    <s v="ORD0744"/>
    <x v="267"/>
    <x v="216"/>
    <x v="0"/>
    <x v="2"/>
    <x v="4"/>
    <x v="2"/>
    <x v="2"/>
    <n v="3"/>
    <n v="951"/>
    <n v="13"/>
    <n v="2482.11"/>
    <n v="348740.04000000004"/>
    <n v="1435.1441975308644"/>
    <n v="492"/>
    <s v="Low"/>
  </r>
  <r>
    <s v="ORD0724"/>
    <x v="117"/>
    <x v="11"/>
    <x v="4"/>
    <x v="5"/>
    <x v="0"/>
    <x v="4"/>
    <x v="2"/>
    <n v="1"/>
    <n v="3354"/>
    <n v="26"/>
    <n v="2481.96"/>
    <n v="346257.93"/>
    <n v="1430.8178925619834"/>
    <n v="489"/>
    <s v="Low"/>
  </r>
  <r>
    <s v="ORD0810"/>
    <x v="39"/>
    <x v="9"/>
    <x v="1"/>
    <x v="2"/>
    <x v="3"/>
    <x v="4"/>
    <x v="1"/>
    <n v="5"/>
    <n v="661"/>
    <n v="25"/>
    <n v="2478.75"/>
    <n v="343775.97000000003"/>
    <n v="1426.4563070539421"/>
    <n v="488"/>
    <s v="Low"/>
  </r>
  <r>
    <s v="ORD0364"/>
    <x v="39"/>
    <x v="274"/>
    <x v="3"/>
    <x v="1"/>
    <x v="2"/>
    <x v="3"/>
    <x v="3"/>
    <n v="1"/>
    <n v="3534"/>
    <n v="30"/>
    <n v="2473.8000000000002"/>
    <n v="341297.22000000003"/>
    <n v="1422.0717500000001"/>
    <n v="483"/>
    <s v="Low"/>
  </r>
  <r>
    <s v="ORD0898"/>
    <x v="66"/>
    <x v="184"/>
    <x v="1"/>
    <x v="0"/>
    <x v="0"/>
    <x v="4"/>
    <x v="2"/>
    <n v="1"/>
    <n v="2987"/>
    <n v="18"/>
    <n v="2449.34"/>
    <n v="338823.42000000004"/>
    <n v="1417.6712133891215"/>
    <n v="482"/>
    <s v="Low"/>
  </r>
  <r>
    <s v="ORD0466"/>
    <x v="180"/>
    <x v="187"/>
    <x v="3"/>
    <x v="2"/>
    <x v="2"/>
    <x v="2"/>
    <x v="1"/>
    <n v="1"/>
    <n v="2959"/>
    <n v="18"/>
    <n v="2426.38"/>
    <n v="336374.08"/>
    <n v="1413.3364705882354"/>
    <n v="481"/>
    <s v="Low"/>
  </r>
  <r>
    <s v="ORD0105"/>
    <x v="313"/>
    <x v="162"/>
    <x v="1"/>
    <x v="2"/>
    <x v="1"/>
    <x v="1"/>
    <x v="1"/>
    <n v="1"/>
    <n v="2476"/>
    <n v="3"/>
    <n v="2401.7199999999998"/>
    <n v="333947.7"/>
    <n v="1409.0620253164557"/>
    <n v="480"/>
    <s v="Low"/>
  </r>
  <r>
    <s v="ORD0566"/>
    <x v="85"/>
    <x v="49"/>
    <x v="1"/>
    <x v="2"/>
    <x v="1"/>
    <x v="1"/>
    <x v="1"/>
    <n v="1"/>
    <n v="2520"/>
    <n v="5"/>
    <n v="2394"/>
    <n v="331545.98"/>
    <n v="1404.8558474576271"/>
    <n v="479"/>
    <s v="Low"/>
  </r>
  <r>
    <s v="ORD0833"/>
    <x v="215"/>
    <x v="275"/>
    <x v="3"/>
    <x v="2"/>
    <x v="1"/>
    <x v="0"/>
    <x v="3"/>
    <n v="3"/>
    <n v="995"/>
    <n v="20"/>
    <n v="2388"/>
    <n v="329151.98"/>
    <n v="1400.6467234042552"/>
    <n v="478"/>
    <s v="Low"/>
  </r>
  <r>
    <s v="ORD0887"/>
    <x v="158"/>
    <x v="276"/>
    <x v="1"/>
    <x v="6"/>
    <x v="1"/>
    <x v="4"/>
    <x v="0"/>
    <n v="3"/>
    <n v="934"/>
    <n v="15"/>
    <n v="2381.6999999999998"/>
    <n v="326763.98"/>
    <n v="1396.4272649572649"/>
    <n v="475"/>
    <s v="Low"/>
  </r>
  <r>
    <s v="ORD0592"/>
    <x v="132"/>
    <x v="170"/>
    <x v="2"/>
    <x v="6"/>
    <x v="3"/>
    <x v="0"/>
    <x v="0"/>
    <n v="1"/>
    <n v="2672"/>
    <n v="11"/>
    <n v="2378.08"/>
    <n v="324382.27999999997"/>
    <n v="1392.1986266094418"/>
    <n v="472"/>
    <s v="Low"/>
  </r>
  <r>
    <s v="ORD0993"/>
    <x v="280"/>
    <x v="79"/>
    <x v="1"/>
    <x v="6"/>
    <x v="4"/>
    <x v="1"/>
    <x v="0"/>
    <n v="4"/>
    <n v="792"/>
    <n v="25"/>
    <n v="2376"/>
    <n v="322004.2"/>
    <n v="1387.9491379310346"/>
    <n v="471"/>
    <s v="Low"/>
  </r>
  <r>
    <s v="ORD0214"/>
    <x v="176"/>
    <x v="54"/>
    <x v="1"/>
    <x v="6"/>
    <x v="3"/>
    <x v="2"/>
    <x v="1"/>
    <n v="5"/>
    <n v="614"/>
    <n v="23"/>
    <n v="2363.9"/>
    <n v="319628.2"/>
    <n v="1383.6718614718616"/>
    <n v="467"/>
    <s v="Low"/>
  </r>
  <r>
    <s v="ORD0289"/>
    <x v="274"/>
    <x v="225"/>
    <x v="4"/>
    <x v="2"/>
    <x v="0"/>
    <x v="0"/>
    <x v="2"/>
    <n v="1"/>
    <n v="2803"/>
    <n v="16"/>
    <n v="2354.52"/>
    <n v="317264.30000000005"/>
    <n v="1379.4100000000003"/>
    <n v="462"/>
    <s v="Low"/>
  </r>
  <r>
    <s v="ORD0632"/>
    <x v="314"/>
    <x v="162"/>
    <x v="1"/>
    <x v="3"/>
    <x v="2"/>
    <x v="4"/>
    <x v="1"/>
    <n v="1"/>
    <n v="2721"/>
    <n v="14"/>
    <n v="2340.06"/>
    <n v="314909.78000000009"/>
    <n v="1375.1518777292581"/>
    <n v="461"/>
    <s v="Low"/>
  </r>
  <r>
    <s v="ORD0215"/>
    <x v="138"/>
    <x v="94"/>
    <x v="0"/>
    <x v="2"/>
    <x v="0"/>
    <x v="2"/>
    <x v="2"/>
    <n v="5"/>
    <n v="550"/>
    <n v="15"/>
    <n v="2337.5"/>
    <n v="312569.72000000003"/>
    <n v="1370.9198245614036"/>
    <n v="460"/>
    <s v="Low"/>
  </r>
  <r>
    <s v="ORD0032"/>
    <x v="137"/>
    <x v="175"/>
    <x v="0"/>
    <x v="4"/>
    <x v="0"/>
    <x v="1"/>
    <x v="3"/>
    <n v="4"/>
    <n v="757"/>
    <n v="23"/>
    <n v="2331.56"/>
    <n v="310232.22000000009"/>
    <n v="1366.6617621145379"/>
    <n v="455"/>
    <s v="Low"/>
  </r>
  <r>
    <s v="ORD0152"/>
    <x v="315"/>
    <x v="28"/>
    <x v="3"/>
    <x v="4"/>
    <x v="0"/>
    <x v="0"/>
    <x v="0"/>
    <n v="1"/>
    <n v="2590"/>
    <n v="10"/>
    <n v="2331"/>
    <n v="307900.65999999997"/>
    <n v="1362.3923008849556"/>
    <n v="451"/>
    <s v="Low"/>
  </r>
  <r>
    <s v="ORD0085"/>
    <x v="32"/>
    <x v="142"/>
    <x v="4"/>
    <x v="0"/>
    <x v="0"/>
    <x v="4"/>
    <x v="1"/>
    <n v="1"/>
    <n v="2330"/>
    <n v="0"/>
    <n v="2330"/>
    <n v="305569.65999999997"/>
    <n v="1358.0873777777776"/>
    <n v="450"/>
    <s v="Low"/>
  </r>
  <r>
    <s v="ORD0972"/>
    <x v="44"/>
    <x v="234"/>
    <x v="3"/>
    <x v="2"/>
    <x v="3"/>
    <x v="3"/>
    <x v="2"/>
    <n v="3"/>
    <n v="835"/>
    <n v="7"/>
    <n v="2329.65"/>
    <n v="303239.65999999997"/>
    <n v="1353.748482142857"/>
    <n v="449"/>
    <s v="Low"/>
  </r>
  <r>
    <s v="ORD0766"/>
    <x v="129"/>
    <x v="211"/>
    <x v="4"/>
    <x v="3"/>
    <x v="0"/>
    <x v="1"/>
    <x v="3"/>
    <n v="1"/>
    <n v="2542"/>
    <n v="9"/>
    <n v="2313.2199999999998"/>
    <n v="300910.00999999995"/>
    <n v="1349.3722421524662"/>
    <n v="446"/>
    <s v="Low"/>
  </r>
  <r>
    <s v="ORD0052"/>
    <x v="316"/>
    <x v="277"/>
    <x v="1"/>
    <x v="5"/>
    <x v="1"/>
    <x v="2"/>
    <x v="3"/>
    <n v="1"/>
    <n v="3081"/>
    <n v="25"/>
    <n v="2310.75"/>
    <n v="298596.78999999992"/>
    <n v="1345.0305855855852"/>
    <n v="445"/>
    <s v="Low"/>
  </r>
  <r>
    <s v="ORD0259"/>
    <x v="280"/>
    <x v="128"/>
    <x v="2"/>
    <x v="3"/>
    <x v="4"/>
    <x v="3"/>
    <x v="1"/>
    <n v="4"/>
    <n v="788"/>
    <n v="27"/>
    <n v="2300.96"/>
    <n v="296286.03999999992"/>
    <n v="1340.6608144796376"/>
    <n v="444"/>
    <s v="Low"/>
  </r>
  <r>
    <s v="ORD0334"/>
    <x v="46"/>
    <x v="128"/>
    <x v="1"/>
    <x v="6"/>
    <x v="1"/>
    <x v="2"/>
    <x v="2"/>
    <n v="2"/>
    <n v="1531"/>
    <n v="25"/>
    <n v="2296.5"/>
    <n v="293985.07999999996"/>
    <n v="1336.295818181818"/>
    <n v="440"/>
    <s v="Low"/>
  </r>
  <r>
    <s v="ORD0244"/>
    <x v="317"/>
    <x v="160"/>
    <x v="3"/>
    <x v="5"/>
    <x v="3"/>
    <x v="1"/>
    <x v="3"/>
    <n v="2"/>
    <n v="1479"/>
    <n v="23"/>
    <n v="2277.66"/>
    <n v="291688.5799999999"/>
    <n v="1331.9113242009128"/>
    <n v="438"/>
    <s v="Low"/>
  </r>
  <r>
    <s v="ORD0640"/>
    <x v="191"/>
    <x v="240"/>
    <x v="2"/>
    <x v="1"/>
    <x v="1"/>
    <x v="3"/>
    <x v="1"/>
    <n v="2"/>
    <n v="1304"/>
    <n v="13"/>
    <n v="2268.96"/>
    <n v="289410.91999999993"/>
    <n v="1327.5730275229355"/>
    <n v="436"/>
    <s v="Low"/>
  </r>
  <r>
    <s v="ORD0637"/>
    <x v="318"/>
    <x v="78"/>
    <x v="1"/>
    <x v="2"/>
    <x v="2"/>
    <x v="4"/>
    <x v="3"/>
    <n v="1"/>
    <n v="3188"/>
    <n v="29"/>
    <n v="2263.48"/>
    <n v="287141.95999999985"/>
    <n v="1323.2348387096768"/>
    <n v="434"/>
    <s v="Low"/>
  </r>
  <r>
    <s v="ORD0983"/>
    <x v="213"/>
    <x v="264"/>
    <x v="4"/>
    <x v="3"/>
    <x v="1"/>
    <x v="3"/>
    <x v="2"/>
    <n v="1"/>
    <n v="2721"/>
    <n v="17"/>
    <n v="2258.4299999999998"/>
    <n v="284878.47999999992"/>
    <n v="1318.8818518518515"/>
    <n v="433"/>
    <s v="Low"/>
  </r>
  <r>
    <s v="ORD0116"/>
    <x v="8"/>
    <x v="101"/>
    <x v="1"/>
    <x v="4"/>
    <x v="4"/>
    <x v="4"/>
    <x v="1"/>
    <n v="2"/>
    <n v="1163"/>
    <n v="3"/>
    <n v="2256.2199999999998"/>
    <n v="282620.04999999993"/>
    <n v="1314.5118604651159"/>
    <n v="432"/>
    <s v="Low"/>
  </r>
  <r>
    <s v="ORD0126"/>
    <x v="89"/>
    <x v="57"/>
    <x v="0"/>
    <x v="5"/>
    <x v="4"/>
    <x v="4"/>
    <x v="2"/>
    <n v="5"/>
    <n v="556"/>
    <n v="19"/>
    <n v="2251.8000000000002"/>
    <n v="280363.8299999999"/>
    <n v="1310.1113551401866"/>
    <n v="430"/>
    <s v="Low"/>
  </r>
  <r>
    <s v="ORD0180"/>
    <x v="31"/>
    <x v="189"/>
    <x v="4"/>
    <x v="5"/>
    <x v="3"/>
    <x v="1"/>
    <x v="3"/>
    <n v="1"/>
    <n v="2320"/>
    <n v="3"/>
    <n v="2250.4"/>
    <n v="278112.02999999991"/>
    <n v="1305.6902816901404"/>
    <n v="425"/>
    <s v="Low"/>
  </r>
  <r>
    <s v="ORD0988"/>
    <x v="243"/>
    <x v="244"/>
    <x v="0"/>
    <x v="2"/>
    <x v="1"/>
    <x v="2"/>
    <x v="2"/>
    <n v="1"/>
    <n v="3124"/>
    <n v="28"/>
    <n v="2249.2800000000002"/>
    <n v="275861.62999999989"/>
    <n v="1301.2341037735844"/>
    <n v="424"/>
    <s v="Low"/>
  </r>
  <r>
    <s v="ORD0194"/>
    <x v="319"/>
    <x v="71"/>
    <x v="0"/>
    <x v="5"/>
    <x v="0"/>
    <x v="4"/>
    <x v="1"/>
    <n v="2"/>
    <n v="1367"/>
    <n v="18"/>
    <n v="2241.88"/>
    <n v="273612.34999999998"/>
    <n v="1296.7409952606633"/>
    <n v="423"/>
    <s v="Low"/>
  </r>
  <r>
    <s v="ORD0293"/>
    <x v="49"/>
    <x v="143"/>
    <x v="1"/>
    <x v="6"/>
    <x v="2"/>
    <x v="4"/>
    <x v="3"/>
    <n v="4"/>
    <n v="751"/>
    <n v="26"/>
    <n v="2222.96"/>
    <n v="271370.46999999991"/>
    <n v="1292.240333333333"/>
    <n v="421"/>
    <s v="Low"/>
  </r>
  <r>
    <s v="ORD0388"/>
    <x v="320"/>
    <x v="89"/>
    <x v="2"/>
    <x v="0"/>
    <x v="2"/>
    <x v="0"/>
    <x v="3"/>
    <n v="1"/>
    <n v="2554"/>
    <n v="13"/>
    <n v="2221.98"/>
    <n v="269147.51"/>
    <n v="1287.7871291866029"/>
    <n v="417"/>
    <s v="Low"/>
  </r>
  <r>
    <s v="ORD0069"/>
    <x v="13"/>
    <x v="129"/>
    <x v="1"/>
    <x v="3"/>
    <x v="0"/>
    <x v="2"/>
    <x v="1"/>
    <n v="5"/>
    <n v="443"/>
    <n v="0"/>
    <n v="2215"/>
    <n v="266925.52999999997"/>
    <n v="1283.2958173076922"/>
    <n v="416"/>
    <s v="Low"/>
  </r>
  <r>
    <s v="ORD0629"/>
    <x v="22"/>
    <x v="249"/>
    <x v="0"/>
    <x v="4"/>
    <x v="0"/>
    <x v="0"/>
    <x v="2"/>
    <n v="2"/>
    <n v="1482"/>
    <n v="26"/>
    <n v="2193.36"/>
    <n v="264710.52999999997"/>
    <n v="1278.7948309178742"/>
    <n v="411"/>
    <s v="Low"/>
  </r>
  <r>
    <s v="ORD0051"/>
    <x v="91"/>
    <x v="184"/>
    <x v="1"/>
    <x v="3"/>
    <x v="4"/>
    <x v="4"/>
    <x v="2"/>
    <n v="2"/>
    <n v="1305"/>
    <n v="16"/>
    <n v="2192.4"/>
    <n v="262517.17"/>
    <n v="1274.3551941747571"/>
    <n v="409"/>
    <s v="Low"/>
  </r>
  <r>
    <s v="ORD0172"/>
    <x v="321"/>
    <x v="277"/>
    <x v="3"/>
    <x v="4"/>
    <x v="4"/>
    <x v="1"/>
    <x v="3"/>
    <n v="1"/>
    <n v="2224"/>
    <n v="3"/>
    <n v="2157.2800000000002"/>
    <n v="260324.77000000002"/>
    <n v="1269.8769268292683"/>
    <n v="407"/>
    <s v="Low"/>
  </r>
  <r>
    <s v="ORD0352"/>
    <x v="197"/>
    <x v="220"/>
    <x v="1"/>
    <x v="1"/>
    <x v="3"/>
    <x v="1"/>
    <x v="3"/>
    <n v="3"/>
    <n v="1014"/>
    <n v="30"/>
    <n v="2129.4"/>
    <n v="258167.49000000002"/>
    <n v="1265.526911764706"/>
    <n v="406"/>
    <s v="Low"/>
  </r>
  <r>
    <s v="ORD0034"/>
    <x v="216"/>
    <x v="238"/>
    <x v="3"/>
    <x v="3"/>
    <x v="1"/>
    <x v="0"/>
    <x v="1"/>
    <n v="1"/>
    <n v="2182"/>
    <n v="4"/>
    <n v="2094.7199999999998"/>
    <n v="256038.08999999997"/>
    <n v="1261.2713793103446"/>
    <n v="403"/>
    <s v="Low"/>
  </r>
  <r>
    <s v="ORD0127"/>
    <x v="215"/>
    <x v="278"/>
    <x v="4"/>
    <x v="4"/>
    <x v="2"/>
    <x v="1"/>
    <x v="2"/>
    <n v="2"/>
    <n v="1198"/>
    <n v="14"/>
    <n v="2060.56"/>
    <n v="253943.36999999997"/>
    <n v="1257.1453960396038"/>
    <n v="402"/>
    <s v="Low"/>
  </r>
  <r>
    <s v="ORD0890"/>
    <x v="214"/>
    <x v="91"/>
    <x v="4"/>
    <x v="3"/>
    <x v="2"/>
    <x v="4"/>
    <x v="1"/>
    <n v="1"/>
    <n v="2208"/>
    <n v="8"/>
    <n v="2031.36"/>
    <n v="251882.80999999997"/>
    <n v="1253.1483084577112"/>
    <n v="400"/>
    <s v="Low"/>
  </r>
  <r>
    <s v="ORD0977"/>
    <x v="237"/>
    <x v="132"/>
    <x v="3"/>
    <x v="4"/>
    <x v="4"/>
    <x v="2"/>
    <x v="3"/>
    <n v="2"/>
    <n v="1390"/>
    <n v="28"/>
    <n v="2001.6"/>
    <n v="249851.45"/>
    <n v="1249.2572500000001"/>
    <n v="399"/>
    <s v="Low"/>
  </r>
  <r>
    <s v="ORD0755"/>
    <x v="322"/>
    <x v="279"/>
    <x v="2"/>
    <x v="0"/>
    <x v="2"/>
    <x v="4"/>
    <x v="2"/>
    <n v="2"/>
    <n v="1060"/>
    <n v="6"/>
    <n v="1992.8"/>
    <n v="247849.85"/>
    <n v="1245.4766331658291"/>
    <n v="397"/>
    <s v="Low"/>
  </r>
  <r>
    <s v="ORD0095"/>
    <x v="33"/>
    <x v="214"/>
    <x v="2"/>
    <x v="4"/>
    <x v="4"/>
    <x v="2"/>
    <x v="0"/>
    <n v="3"/>
    <n v="857"/>
    <n v="23"/>
    <n v="1979.67"/>
    <n v="245857.05"/>
    <n v="1241.7022727272727"/>
    <n v="395"/>
    <s v="Low"/>
  </r>
  <r>
    <s v="ORD0819"/>
    <x v="320"/>
    <x v="51"/>
    <x v="0"/>
    <x v="5"/>
    <x v="2"/>
    <x v="2"/>
    <x v="3"/>
    <n v="1"/>
    <n v="2221"/>
    <n v="11"/>
    <n v="1976.69"/>
    <n v="243877.37999999998"/>
    <n v="1237.9562436548222"/>
    <n v="392"/>
    <s v="Low"/>
  </r>
  <r>
    <s v="ORD0855"/>
    <x v="323"/>
    <x v="55"/>
    <x v="0"/>
    <x v="3"/>
    <x v="3"/>
    <x v="3"/>
    <x v="0"/>
    <n v="1"/>
    <n v="2628"/>
    <n v="25"/>
    <n v="1971"/>
    <n v="241900.69"/>
    <n v="1234.187193877551"/>
    <n v="391"/>
    <s v="Low"/>
  </r>
  <r>
    <s v="ORD0247"/>
    <x v="239"/>
    <x v="23"/>
    <x v="3"/>
    <x v="1"/>
    <x v="2"/>
    <x v="4"/>
    <x v="2"/>
    <n v="2"/>
    <n v="1005"/>
    <n v="2"/>
    <n v="1969.8"/>
    <n v="239929.68999999997"/>
    <n v="1230.4086666666665"/>
    <n v="390"/>
    <s v="Low"/>
  </r>
  <r>
    <s v="ORD0693"/>
    <x v="161"/>
    <x v="260"/>
    <x v="1"/>
    <x v="0"/>
    <x v="4"/>
    <x v="2"/>
    <x v="0"/>
    <n v="1"/>
    <n v="2403"/>
    <n v="19"/>
    <n v="1946.43"/>
    <n v="237959.89"/>
    <n v="1226.5973711340207"/>
    <n v="388"/>
    <s v="Low"/>
  </r>
  <r>
    <s v="ORD0524"/>
    <x v="4"/>
    <x v="124"/>
    <x v="2"/>
    <x v="0"/>
    <x v="0"/>
    <x v="1"/>
    <x v="2"/>
    <n v="2"/>
    <n v="1128"/>
    <n v="14"/>
    <n v="1940.16"/>
    <n v="236013.46000000002"/>
    <n v="1222.8676683937824"/>
    <n v="387"/>
    <s v="Low"/>
  </r>
  <r>
    <s v="ORD0641"/>
    <x v="176"/>
    <x v="120"/>
    <x v="2"/>
    <x v="5"/>
    <x v="3"/>
    <x v="1"/>
    <x v="2"/>
    <n v="1"/>
    <n v="2104"/>
    <n v="8"/>
    <n v="1935.68"/>
    <n v="234073.30000000002"/>
    <n v="1219.1317708333333"/>
    <n v="385"/>
    <s v="Low"/>
  </r>
  <r>
    <s v="ORD0317"/>
    <x v="126"/>
    <x v="159"/>
    <x v="3"/>
    <x v="0"/>
    <x v="3"/>
    <x v="0"/>
    <x v="0"/>
    <n v="3"/>
    <n v="672"/>
    <n v="4"/>
    <n v="1935.36"/>
    <n v="232137.62000000002"/>
    <n v="1215.3802094240839"/>
    <n v="384"/>
    <s v="Low"/>
  </r>
  <r>
    <s v="ORD0720"/>
    <x v="245"/>
    <x v="177"/>
    <x v="4"/>
    <x v="1"/>
    <x v="3"/>
    <x v="3"/>
    <x v="3"/>
    <n v="1"/>
    <n v="2032"/>
    <n v="5"/>
    <n v="1930.4"/>
    <n v="230202.26000000004"/>
    <n v="1211.5908421052634"/>
    <n v="381"/>
    <s v="Low"/>
  </r>
  <r>
    <s v="ORD0745"/>
    <x v="253"/>
    <x v="65"/>
    <x v="1"/>
    <x v="6"/>
    <x v="2"/>
    <x v="1"/>
    <x v="1"/>
    <n v="2"/>
    <n v="1135"/>
    <n v="15"/>
    <n v="1929.5"/>
    <n v="228271.86000000002"/>
    <n v="1207.787619047619"/>
    <n v="380"/>
    <s v="Low"/>
  </r>
  <r>
    <s v="ORD0620"/>
    <x v="193"/>
    <x v="37"/>
    <x v="2"/>
    <x v="6"/>
    <x v="0"/>
    <x v="4"/>
    <x v="1"/>
    <n v="3"/>
    <n v="722"/>
    <n v="11"/>
    <n v="1927.74"/>
    <n v="226342.36000000004"/>
    <n v="1203.9487234042556"/>
    <n v="378"/>
    <s v="Low"/>
  </r>
  <r>
    <s v="ORD0829"/>
    <x v="64"/>
    <x v="280"/>
    <x v="3"/>
    <x v="1"/>
    <x v="1"/>
    <x v="1"/>
    <x v="1"/>
    <n v="1"/>
    <n v="2592"/>
    <n v="26"/>
    <n v="1918.08"/>
    <n v="224414.62000000002"/>
    <n v="1200.078181818182"/>
    <n v="375"/>
    <s v="Low"/>
  </r>
  <r>
    <s v="ORD0246"/>
    <x v="324"/>
    <x v="225"/>
    <x v="2"/>
    <x v="2"/>
    <x v="4"/>
    <x v="4"/>
    <x v="3"/>
    <n v="1"/>
    <n v="2365"/>
    <n v="19"/>
    <n v="1915.65"/>
    <n v="222496.54000000004"/>
    <n v="1196.2179569892476"/>
    <n v="374"/>
    <s v="Low"/>
  </r>
  <r>
    <s v="ORD0484"/>
    <x v="184"/>
    <x v="159"/>
    <x v="3"/>
    <x v="5"/>
    <x v="4"/>
    <x v="2"/>
    <x v="1"/>
    <n v="1"/>
    <n v="2163"/>
    <n v="12"/>
    <n v="1903.44"/>
    <n v="220580.89"/>
    <n v="1192.3291351351352"/>
    <n v="373"/>
    <s v="Low"/>
  </r>
  <r>
    <s v="ORD0739"/>
    <x v="218"/>
    <x v="281"/>
    <x v="0"/>
    <x v="1"/>
    <x v="0"/>
    <x v="3"/>
    <x v="1"/>
    <n v="1"/>
    <n v="2291"/>
    <n v="17"/>
    <n v="1901.53"/>
    <n v="218677.45"/>
    <n v="1188.4644021739132"/>
    <n v="372"/>
    <s v="Low"/>
  </r>
  <r>
    <s v="ORD0933"/>
    <x v="224"/>
    <x v="217"/>
    <x v="2"/>
    <x v="4"/>
    <x v="0"/>
    <x v="2"/>
    <x v="3"/>
    <n v="1"/>
    <n v="1976"/>
    <n v="4"/>
    <n v="1896.96"/>
    <n v="216775.92000000004"/>
    <n v="1184.5678688524592"/>
    <n v="371"/>
    <s v="Low"/>
  </r>
  <r>
    <s v="ORD0660"/>
    <x v="308"/>
    <x v="254"/>
    <x v="0"/>
    <x v="1"/>
    <x v="4"/>
    <x v="3"/>
    <x v="3"/>
    <n v="1"/>
    <n v="2366"/>
    <n v="20"/>
    <n v="1892.8"/>
    <n v="214878.96000000002"/>
    <n v="1180.6536263736266"/>
    <n v="370"/>
    <s v="Low"/>
  </r>
  <r>
    <s v="ORD0451"/>
    <x v="134"/>
    <x v="165"/>
    <x v="4"/>
    <x v="0"/>
    <x v="1"/>
    <x v="0"/>
    <x v="1"/>
    <n v="5"/>
    <n v="420"/>
    <n v="10"/>
    <n v="1890"/>
    <n v="212986.16"/>
    <n v="1176.7191160220996"/>
    <n v="369"/>
    <s v="Low"/>
  </r>
  <r>
    <s v="ORD0923"/>
    <x v="96"/>
    <x v="171"/>
    <x v="4"/>
    <x v="3"/>
    <x v="3"/>
    <x v="4"/>
    <x v="3"/>
    <n v="3"/>
    <n v="858"/>
    <n v="27"/>
    <n v="1879.02"/>
    <n v="211096.16"/>
    <n v="1172.7564444444445"/>
    <n v="364"/>
    <s v="Low"/>
  </r>
  <r>
    <s v="ORD0675"/>
    <x v="216"/>
    <x v="277"/>
    <x v="0"/>
    <x v="5"/>
    <x v="2"/>
    <x v="4"/>
    <x v="3"/>
    <n v="3"/>
    <n v="854"/>
    <n v="27"/>
    <n v="1870.26"/>
    <n v="209217.14"/>
    <n v="1168.810837988827"/>
    <n v="361"/>
    <s v="Low"/>
  </r>
  <r>
    <s v="ORD0358"/>
    <x v="164"/>
    <x v="33"/>
    <x v="4"/>
    <x v="2"/>
    <x v="0"/>
    <x v="1"/>
    <x v="0"/>
    <n v="1"/>
    <n v="2250"/>
    <n v="17"/>
    <n v="1867.5"/>
    <n v="207346.88000000003"/>
    <n v="1164.8701123595508"/>
    <n v="358"/>
    <s v="Low"/>
  </r>
  <r>
    <s v="ORD0785"/>
    <x v="146"/>
    <x v="224"/>
    <x v="4"/>
    <x v="3"/>
    <x v="2"/>
    <x v="0"/>
    <x v="1"/>
    <n v="5"/>
    <n v="487"/>
    <n v="24"/>
    <n v="1850.6"/>
    <n v="205479.38000000003"/>
    <n v="1160.9004519774014"/>
    <n v="357"/>
    <s v="Low"/>
  </r>
  <r>
    <s v="ORD0346"/>
    <x v="42"/>
    <x v="251"/>
    <x v="1"/>
    <x v="5"/>
    <x v="3"/>
    <x v="1"/>
    <x v="1"/>
    <n v="1"/>
    <n v="2567"/>
    <n v="28"/>
    <n v="1848.24"/>
    <n v="203628.78000000003"/>
    <n v="1156.9817045454547"/>
    <n v="352"/>
    <s v="Low"/>
  </r>
  <r>
    <s v="ORD0444"/>
    <x v="40"/>
    <x v="9"/>
    <x v="3"/>
    <x v="3"/>
    <x v="3"/>
    <x v="2"/>
    <x v="1"/>
    <n v="5"/>
    <n v="440"/>
    <n v="16"/>
    <n v="1848"/>
    <n v="201780.54"/>
    <n v="1153.0316571428573"/>
    <n v="351"/>
    <s v="Low"/>
  </r>
  <r>
    <s v="ORD0338"/>
    <x v="121"/>
    <x v="220"/>
    <x v="4"/>
    <x v="5"/>
    <x v="0"/>
    <x v="1"/>
    <x v="0"/>
    <n v="1"/>
    <n v="2123"/>
    <n v="13"/>
    <n v="1847.01"/>
    <n v="199932.54"/>
    <n v="1149.0375862068965"/>
    <n v="346"/>
    <s v="Low"/>
  </r>
  <r>
    <s v="ORD0538"/>
    <x v="120"/>
    <x v="274"/>
    <x v="4"/>
    <x v="1"/>
    <x v="4"/>
    <x v="4"/>
    <x v="1"/>
    <n v="1"/>
    <n v="2462"/>
    <n v="25"/>
    <n v="1846.5"/>
    <n v="198085.53000000003"/>
    <n v="1145.0030635838152"/>
    <n v="345"/>
    <s v="Low"/>
  </r>
  <r>
    <s v="ORD0408"/>
    <x v="12"/>
    <x v="102"/>
    <x v="2"/>
    <x v="4"/>
    <x v="4"/>
    <x v="3"/>
    <x v="3"/>
    <n v="4"/>
    <n v="599"/>
    <n v="23"/>
    <n v="1844.92"/>
    <n v="196239.03"/>
    <n v="1140.9245930232557"/>
    <n v="344"/>
    <s v="Low"/>
  </r>
  <r>
    <s v="ORD0278"/>
    <x v="235"/>
    <x v="116"/>
    <x v="1"/>
    <x v="4"/>
    <x v="1"/>
    <x v="0"/>
    <x v="1"/>
    <n v="1"/>
    <n v="2190"/>
    <n v="16"/>
    <n v="1839.6"/>
    <n v="194394.11"/>
    <n v="1136.8076608187134"/>
    <n v="340"/>
    <s v="Low"/>
  </r>
  <r>
    <s v="ORD0586"/>
    <x v="45"/>
    <x v="281"/>
    <x v="2"/>
    <x v="1"/>
    <x v="1"/>
    <x v="2"/>
    <x v="3"/>
    <n v="2"/>
    <n v="1022"/>
    <n v="10"/>
    <n v="1839.6"/>
    <n v="192554.50999999998"/>
    <n v="1132.6735882352939"/>
    <n v="339"/>
    <s v="Low"/>
  </r>
  <r>
    <s v="ORD0866"/>
    <x v="248"/>
    <x v="225"/>
    <x v="2"/>
    <x v="5"/>
    <x v="1"/>
    <x v="2"/>
    <x v="2"/>
    <n v="5"/>
    <n v="370"/>
    <n v="1"/>
    <n v="1831.5"/>
    <n v="190714.91"/>
    <n v="1128.4905917159763"/>
    <n v="337"/>
    <s v="Low"/>
  </r>
  <r>
    <s v="ORD0483"/>
    <x v="207"/>
    <x v="277"/>
    <x v="0"/>
    <x v="2"/>
    <x v="3"/>
    <x v="1"/>
    <x v="3"/>
    <n v="1"/>
    <n v="2347"/>
    <n v="22"/>
    <n v="1830.66"/>
    <n v="188883.40999999997"/>
    <n v="1124.3060119047618"/>
    <n v="332"/>
    <s v="Low"/>
  </r>
  <r>
    <s v="ORD0985"/>
    <x v="191"/>
    <x v="282"/>
    <x v="0"/>
    <x v="0"/>
    <x v="0"/>
    <x v="0"/>
    <x v="1"/>
    <n v="1"/>
    <n v="2103"/>
    <n v="13"/>
    <n v="1829.61"/>
    <n v="187052.74999999994"/>
    <n v="1120.0763473053889"/>
    <n v="331"/>
    <s v="Low"/>
  </r>
  <r>
    <s v="ORD0262"/>
    <x v="233"/>
    <x v="215"/>
    <x v="1"/>
    <x v="2"/>
    <x v="1"/>
    <x v="3"/>
    <x v="1"/>
    <n v="1"/>
    <n v="1967"/>
    <n v="7"/>
    <n v="1829.31"/>
    <n v="185223.13999999996"/>
    <n v="1115.8020481927708"/>
    <n v="330"/>
    <s v="Low"/>
  </r>
  <r>
    <s v="ORD0025"/>
    <x v="217"/>
    <x v="154"/>
    <x v="4"/>
    <x v="5"/>
    <x v="4"/>
    <x v="1"/>
    <x v="0"/>
    <n v="1"/>
    <n v="1988"/>
    <n v="8"/>
    <n v="1828.96"/>
    <n v="183393.82999999996"/>
    <n v="1111.4777575757573"/>
    <n v="329"/>
    <s v="Low"/>
  </r>
  <r>
    <s v="ORD0965"/>
    <x v="244"/>
    <x v="283"/>
    <x v="0"/>
    <x v="0"/>
    <x v="3"/>
    <x v="3"/>
    <x v="1"/>
    <n v="3"/>
    <n v="802"/>
    <n v="24"/>
    <n v="1828.56"/>
    <n v="181564.86999999994"/>
    <n v="1107.1028658536582"/>
    <n v="328"/>
    <s v="Low"/>
  </r>
  <r>
    <s v="ORD0560"/>
    <x v="228"/>
    <x v="231"/>
    <x v="1"/>
    <x v="3"/>
    <x v="1"/>
    <x v="1"/>
    <x v="1"/>
    <n v="2"/>
    <n v="1075"/>
    <n v="15"/>
    <n v="1827.5"/>
    <n v="179736.30999999994"/>
    <n v="1102.6767484662573"/>
    <n v="325"/>
    <s v="Low"/>
  </r>
  <r>
    <s v="ORD0368"/>
    <x v="69"/>
    <x v="186"/>
    <x v="2"/>
    <x v="2"/>
    <x v="1"/>
    <x v="2"/>
    <x v="0"/>
    <n v="5"/>
    <n v="397"/>
    <n v="8"/>
    <n v="1826.2"/>
    <n v="177908.80999999994"/>
    <n v="1098.2025308641971"/>
    <n v="323"/>
    <s v="Low"/>
  </r>
  <r>
    <s v="ORD0345"/>
    <x v="241"/>
    <x v="284"/>
    <x v="4"/>
    <x v="0"/>
    <x v="0"/>
    <x v="4"/>
    <x v="0"/>
    <n v="2"/>
    <n v="960"/>
    <n v="5"/>
    <n v="1824"/>
    <n v="176082.60999999996"/>
    <n v="1093.6808074534158"/>
    <n v="318"/>
    <s v="Low"/>
  </r>
  <r>
    <s v="ORD0751"/>
    <x v="159"/>
    <x v="184"/>
    <x v="1"/>
    <x v="2"/>
    <x v="2"/>
    <x v="3"/>
    <x v="1"/>
    <n v="4"/>
    <n v="640"/>
    <n v="29"/>
    <n v="1817.6"/>
    <n v="174258.60999999996"/>
    <n v="1089.1163124999998"/>
    <n v="316"/>
    <s v="Low"/>
  </r>
  <r>
    <s v="ORD0911"/>
    <x v="81"/>
    <x v="145"/>
    <x v="4"/>
    <x v="4"/>
    <x v="2"/>
    <x v="1"/>
    <x v="3"/>
    <n v="2"/>
    <n v="1147"/>
    <n v="21"/>
    <n v="1812.26"/>
    <n v="172441.00999999992"/>
    <n v="1084.5346540880498"/>
    <n v="312"/>
    <s v="Low"/>
  </r>
  <r>
    <s v="ORD0697"/>
    <x v="51"/>
    <x v="21"/>
    <x v="4"/>
    <x v="1"/>
    <x v="1"/>
    <x v="2"/>
    <x v="3"/>
    <n v="2"/>
    <n v="910"/>
    <n v="1"/>
    <n v="1801.8"/>
    <n v="170628.74999999994"/>
    <n v="1079.9287974683541"/>
    <n v="310"/>
    <s v="Low"/>
  </r>
  <r>
    <s v="ORD0519"/>
    <x v="83"/>
    <x v="40"/>
    <x v="3"/>
    <x v="6"/>
    <x v="4"/>
    <x v="1"/>
    <x v="3"/>
    <n v="2"/>
    <n v="988"/>
    <n v="9"/>
    <n v="1798.16"/>
    <n v="168826.94999999995"/>
    <n v="1075.3308917197448"/>
    <n v="308"/>
    <s v="Low"/>
  </r>
  <r>
    <s v="ORD0891"/>
    <x v="325"/>
    <x v="111"/>
    <x v="1"/>
    <x v="6"/>
    <x v="4"/>
    <x v="1"/>
    <x v="3"/>
    <n v="5"/>
    <n v="484"/>
    <n v="26"/>
    <n v="1790.8"/>
    <n v="167028.78999999998"/>
    <n v="1070.6973717948717"/>
    <n v="306"/>
    <s v="Low"/>
  </r>
  <r>
    <s v="ORD0531"/>
    <x v="294"/>
    <x v="275"/>
    <x v="3"/>
    <x v="3"/>
    <x v="0"/>
    <x v="1"/>
    <x v="1"/>
    <n v="3"/>
    <n v="719"/>
    <n v="17"/>
    <n v="1790.31"/>
    <n v="165237.99"/>
    <n v="1066.0515483870968"/>
    <n v="301"/>
    <s v="Low"/>
  </r>
  <r>
    <s v="ORD1000"/>
    <x v="326"/>
    <x v="1"/>
    <x v="2"/>
    <x v="6"/>
    <x v="4"/>
    <x v="4"/>
    <x v="0"/>
    <n v="1"/>
    <n v="1936"/>
    <n v="8"/>
    <n v="1781.12"/>
    <n v="163447.67999999999"/>
    <n v="1061.3485714285714"/>
    <n v="298"/>
    <s v="Low"/>
  </r>
  <r>
    <s v="ORD0717"/>
    <x v="327"/>
    <x v="264"/>
    <x v="2"/>
    <x v="1"/>
    <x v="0"/>
    <x v="1"/>
    <x v="1"/>
    <n v="1"/>
    <n v="2061"/>
    <n v="14"/>
    <n v="1772.46"/>
    <n v="161666.56"/>
    <n v="1056.644183006536"/>
    <n v="297"/>
    <s v="Low"/>
  </r>
  <r>
    <s v="ORD0500"/>
    <x v="247"/>
    <x v="228"/>
    <x v="1"/>
    <x v="2"/>
    <x v="3"/>
    <x v="4"/>
    <x v="0"/>
    <n v="5"/>
    <n v="356"/>
    <n v="1"/>
    <n v="1762.2"/>
    <n v="159894.1"/>
    <n v="1051.9348684210527"/>
    <n v="296"/>
    <s v="Low"/>
  </r>
  <r>
    <s v="ORD0514"/>
    <x v="108"/>
    <x v="50"/>
    <x v="2"/>
    <x v="3"/>
    <x v="1"/>
    <x v="1"/>
    <x v="3"/>
    <n v="1"/>
    <n v="1834"/>
    <n v="4"/>
    <n v="1760.64"/>
    <n v="158131.90000000002"/>
    <n v="1047.2311258278148"/>
    <n v="291"/>
    <s v="Low"/>
  </r>
  <r>
    <s v="ORD0465"/>
    <x v="117"/>
    <x v="75"/>
    <x v="1"/>
    <x v="3"/>
    <x v="2"/>
    <x v="1"/>
    <x v="1"/>
    <n v="1"/>
    <n v="2058"/>
    <n v="15"/>
    <n v="1749.3"/>
    <n v="156371.26000000004"/>
    <n v="1042.4750666666669"/>
    <n v="290"/>
    <s v="Low"/>
  </r>
  <r>
    <s v="ORD0099"/>
    <x v="253"/>
    <x v="117"/>
    <x v="2"/>
    <x v="1"/>
    <x v="1"/>
    <x v="2"/>
    <x v="3"/>
    <n v="2"/>
    <n v="1075"/>
    <n v="19"/>
    <n v="1741.5"/>
    <n v="154621.96000000005"/>
    <n v="1037.7312751677855"/>
    <n v="289"/>
    <s v="Low"/>
  </r>
  <r>
    <s v="ORD0013"/>
    <x v="255"/>
    <x v="76"/>
    <x v="1"/>
    <x v="0"/>
    <x v="2"/>
    <x v="0"/>
    <x v="0"/>
    <n v="1"/>
    <n v="2073"/>
    <n v="16"/>
    <n v="1741.32"/>
    <n v="152880.46000000005"/>
    <n v="1032.9760810810815"/>
    <n v="287"/>
    <s v="Low"/>
  </r>
  <r>
    <s v="ORD0265"/>
    <x v="155"/>
    <x v="153"/>
    <x v="1"/>
    <x v="4"/>
    <x v="1"/>
    <x v="3"/>
    <x v="2"/>
    <n v="1"/>
    <n v="2314"/>
    <n v="25"/>
    <n v="1735.5"/>
    <n v="151139.14000000007"/>
    <n v="1028.1574149659868"/>
    <n v="286"/>
    <s v="Low"/>
  </r>
  <r>
    <s v="ORD0285"/>
    <x v="181"/>
    <x v="250"/>
    <x v="0"/>
    <x v="1"/>
    <x v="3"/>
    <x v="3"/>
    <x v="0"/>
    <n v="1"/>
    <n v="2178"/>
    <n v="21"/>
    <n v="1720.62"/>
    <n v="149403.64000000007"/>
    <n v="1023.3126027397266"/>
    <n v="285"/>
    <s v="Low"/>
  </r>
  <r>
    <s v="ORD0786"/>
    <x v="31"/>
    <x v="165"/>
    <x v="2"/>
    <x v="5"/>
    <x v="2"/>
    <x v="4"/>
    <x v="0"/>
    <n v="4"/>
    <n v="494"/>
    <n v="14"/>
    <n v="1699.36"/>
    <n v="147683.02000000005"/>
    <n v="1018.5035862068969"/>
    <n v="284"/>
    <s v="Low"/>
  </r>
  <r>
    <s v="ORD0425"/>
    <x v="193"/>
    <x v="197"/>
    <x v="2"/>
    <x v="4"/>
    <x v="2"/>
    <x v="1"/>
    <x v="1"/>
    <n v="3"/>
    <n v="744"/>
    <n v="24"/>
    <n v="1696.32"/>
    <n v="145983.66000000006"/>
    <n v="1013.7754166666671"/>
    <n v="280"/>
    <s v="Low"/>
  </r>
  <r>
    <s v="ORD0187"/>
    <x v="279"/>
    <x v="205"/>
    <x v="0"/>
    <x v="4"/>
    <x v="0"/>
    <x v="3"/>
    <x v="3"/>
    <n v="1"/>
    <n v="2068"/>
    <n v="18"/>
    <n v="1695.76"/>
    <n v="144287.34000000008"/>
    <n v="1009.0023776223782"/>
    <n v="277"/>
    <s v="Low"/>
  </r>
  <r>
    <s v="ORD0124"/>
    <x v="54"/>
    <x v="178"/>
    <x v="0"/>
    <x v="1"/>
    <x v="1"/>
    <x v="0"/>
    <x v="0"/>
    <n v="1"/>
    <n v="1721"/>
    <n v="2"/>
    <n v="1686.58"/>
    <n v="142591.58000000007"/>
    <n v="1004.1660563380287"/>
    <n v="276"/>
    <s v="Low"/>
  </r>
  <r>
    <s v="ORD0648"/>
    <x v="283"/>
    <x v="259"/>
    <x v="1"/>
    <x v="3"/>
    <x v="1"/>
    <x v="3"/>
    <x v="3"/>
    <n v="5"/>
    <n v="372"/>
    <n v="10"/>
    <n v="1674"/>
    <n v="140905.00000000006"/>
    <n v="999.32624113475219"/>
    <n v="275"/>
    <s v="Low"/>
  </r>
  <r>
    <s v="ORD0550"/>
    <x v="169"/>
    <x v="185"/>
    <x v="4"/>
    <x v="0"/>
    <x v="4"/>
    <x v="0"/>
    <x v="0"/>
    <n v="2"/>
    <n v="861"/>
    <n v="3"/>
    <n v="1670.34"/>
    <n v="139231.00000000003"/>
    <n v="994.50714285714309"/>
    <n v="270"/>
    <s v="Low"/>
  </r>
  <r>
    <s v="ORD0248"/>
    <x v="328"/>
    <x v="164"/>
    <x v="2"/>
    <x v="2"/>
    <x v="1"/>
    <x v="4"/>
    <x v="3"/>
    <n v="3"/>
    <n v="636"/>
    <n v="13"/>
    <n v="1659.96"/>
    <n v="137560.66000000003"/>
    <n v="989.64503597122325"/>
    <n v="268"/>
    <s v="Low"/>
  </r>
  <r>
    <s v="ORD0742"/>
    <x v="329"/>
    <x v="149"/>
    <x v="1"/>
    <x v="2"/>
    <x v="3"/>
    <x v="3"/>
    <x v="1"/>
    <n v="1"/>
    <n v="1702"/>
    <n v="3"/>
    <n v="1650.94"/>
    <n v="135900.70000000001"/>
    <n v="984.78768115942034"/>
    <n v="265"/>
    <s v="Low"/>
  </r>
  <r>
    <s v="ORD0156"/>
    <x v="217"/>
    <x v="174"/>
    <x v="2"/>
    <x v="4"/>
    <x v="0"/>
    <x v="0"/>
    <x v="3"/>
    <n v="1"/>
    <n v="2012"/>
    <n v="18"/>
    <n v="1649.84"/>
    <n v="134249.76"/>
    <n v="979.92525547445257"/>
    <n v="264"/>
    <s v="Low"/>
  </r>
  <r>
    <s v="ORD0599"/>
    <x v="66"/>
    <x v="48"/>
    <x v="4"/>
    <x v="2"/>
    <x v="4"/>
    <x v="4"/>
    <x v="2"/>
    <n v="2"/>
    <n v="820"/>
    <n v="0"/>
    <n v="1640"/>
    <n v="132599.92000000004"/>
    <n v="974.99941176470622"/>
    <n v="263"/>
    <s v="Low"/>
  </r>
  <r>
    <s v="ORD0179"/>
    <x v="128"/>
    <x v="222"/>
    <x v="4"/>
    <x v="2"/>
    <x v="1"/>
    <x v="0"/>
    <x v="1"/>
    <n v="1"/>
    <n v="1817"/>
    <n v="10"/>
    <n v="1635.3"/>
    <n v="130959.92000000001"/>
    <n v="970.07348148148162"/>
    <n v="261"/>
    <s v="Low"/>
  </r>
  <r>
    <s v="ORD0467"/>
    <x v="65"/>
    <x v="182"/>
    <x v="0"/>
    <x v="2"/>
    <x v="2"/>
    <x v="4"/>
    <x v="1"/>
    <n v="1"/>
    <n v="1645"/>
    <n v="1"/>
    <n v="1628.55"/>
    <n v="129324.62000000001"/>
    <n v="965.10910447761205"/>
    <n v="260"/>
    <s v="Low"/>
  </r>
  <r>
    <s v="ORD0688"/>
    <x v="41"/>
    <x v="279"/>
    <x v="3"/>
    <x v="6"/>
    <x v="0"/>
    <x v="3"/>
    <x v="1"/>
    <n v="1"/>
    <n v="2034"/>
    <n v="20"/>
    <n v="1627.2"/>
    <n v="127696.06999999999"/>
    <n v="960.1208270676691"/>
    <n v="259"/>
    <s v="Low"/>
  </r>
  <r>
    <s v="ORD0635"/>
    <x v="317"/>
    <x v="217"/>
    <x v="0"/>
    <x v="6"/>
    <x v="3"/>
    <x v="3"/>
    <x v="1"/>
    <n v="3"/>
    <n v="728"/>
    <n v="26"/>
    <n v="1616.16"/>
    <n v="126068.87000000001"/>
    <n v="955.06719696969708"/>
    <n v="258"/>
    <s v="Low"/>
  </r>
  <r>
    <s v="ORD0450"/>
    <x v="34"/>
    <x v="254"/>
    <x v="4"/>
    <x v="4"/>
    <x v="1"/>
    <x v="0"/>
    <x v="1"/>
    <n v="1"/>
    <n v="1627"/>
    <n v="1"/>
    <n v="1610.73"/>
    <n v="124452.71"/>
    <n v="950.0206870229008"/>
    <n v="255"/>
    <s v="Low"/>
  </r>
  <r>
    <s v="ORD0532"/>
    <x v="330"/>
    <x v="171"/>
    <x v="4"/>
    <x v="5"/>
    <x v="2"/>
    <x v="2"/>
    <x v="0"/>
    <n v="2"/>
    <n v="839"/>
    <n v="5"/>
    <n v="1594.1"/>
    <n v="122841.98000000003"/>
    <n v="944.93830769230783"/>
    <n v="254"/>
    <s v="Low"/>
  </r>
  <r>
    <s v="ORD0588"/>
    <x v="287"/>
    <x v="186"/>
    <x v="1"/>
    <x v="4"/>
    <x v="3"/>
    <x v="0"/>
    <x v="2"/>
    <n v="1"/>
    <n v="1639"/>
    <n v="3"/>
    <n v="1589.83"/>
    <n v="121247.88000000002"/>
    <n v="939.90604651162801"/>
    <n v="252"/>
    <s v="Low"/>
  </r>
  <r>
    <s v="ORD0836"/>
    <x v="140"/>
    <x v="3"/>
    <x v="3"/>
    <x v="1"/>
    <x v="1"/>
    <x v="3"/>
    <x v="0"/>
    <n v="2"/>
    <n v="887"/>
    <n v="11"/>
    <n v="1578.86"/>
    <n v="119658.05"/>
    <n v="934.82851562500002"/>
    <n v="251"/>
    <s v="Low"/>
  </r>
  <r>
    <s v="ORD0900"/>
    <x v="182"/>
    <x v="157"/>
    <x v="4"/>
    <x v="1"/>
    <x v="1"/>
    <x v="0"/>
    <x v="2"/>
    <n v="4"/>
    <n v="406"/>
    <n v="3"/>
    <n v="1575.28"/>
    <n v="118079.19000000003"/>
    <n v="929.75740157480345"/>
    <n v="249"/>
    <s v="Low"/>
  </r>
  <r>
    <s v="ORD0109"/>
    <x v="180"/>
    <x v="179"/>
    <x v="3"/>
    <x v="0"/>
    <x v="2"/>
    <x v="0"/>
    <x v="0"/>
    <n v="4"/>
    <n v="457"/>
    <n v="14"/>
    <n v="1572.08"/>
    <n v="116503.91000000003"/>
    <n v="924.63420634920658"/>
    <n v="245"/>
    <s v="Low"/>
  </r>
  <r>
    <s v="ORD0493"/>
    <x v="230"/>
    <x v="146"/>
    <x v="2"/>
    <x v="6"/>
    <x v="3"/>
    <x v="2"/>
    <x v="2"/>
    <n v="3"/>
    <n v="608"/>
    <n v="14"/>
    <n v="1568.64"/>
    <n v="114931.83000000003"/>
    <n v="919.45464000000027"/>
    <n v="241"/>
    <s v="Low"/>
  </r>
  <r>
    <s v="ORD0530"/>
    <x v="321"/>
    <x v="219"/>
    <x v="3"/>
    <x v="1"/>
    <x v="4"/>
    <x v="2"/>
    <x v="1"/>
    <n v="2"/>
    <n v="1091"/>
    <n v="29"/>
    <n v="1549.22"/>
    <n v="113363.19000000003"/>
    <n v="914.21927419354859"/>
    <n v="238"/>
    <s v="Low"/>
  </r>
  <r>
    <s v="ORD0647"/>
    <x v="240"/>
    <x v="34"/>
    <x v="4"/>
    <x v="5"/>
    <x v="3"/>
    <x v="1"/>
    <x v="3"/>
    <n v="1"/>
    <n v="1691"/>
    <n v="9"/>
    <n v="1538.81"/>
    <n v="111813.97000000004"/>
    <n v="909.05666666666707"/>
    <n v="236"/>
    <s v="Low"/>
  </r>
  <r>
    <s v="ORD0943"/>
    <x v="331"/>
    <x v="196"/>
    <x v="0"/>
    <x v="4"/>
    <x v="0"/>
    <x v="0"/>
    <x v="0"/>
    <n v="1"/>
    <n v="1589"/>
    <n v="4"/>
    <n v="1525.44"/>
    <n v="110275.16000000005"/>
    <n v="903.89475409836109"/>
    <n v="235"/>
    <s v="Low"/>
  </r>
  <r>
    <s v="ORD0888"/>
    <x v="172"/>
    <x v="47"/>
    <x v="1"/>
    <x v="5"/>
    <x v="4"/>
    <x v="2"/>
    <x v="0"/>
    <n v="3"/>
    <n v="549"/>
    <n v="8"/>
    <n v="1515.24"/>
    <n v="108749.72000000003"/>
    <n v="898.75801652892585"/>
    <n v="234"/>
    <s v="Low"/>
  </r>
  <r>
    <s v="ORD0137"/>
    <x v="247"/>
    <x v="222"/>
    <x v="1"/>
    <x v="1"/>
    <x v="3"/>
    <x v="2"/>
    <x v="0"/>
    <n v="2"/>
    <n v="760"/>
    <n v="1"/>
    <n v="1504.8"/>
    <n v="107234.48000000004"/>
    <n v="893.62066666666703"/>
    <n v="231"/>
    <s v="Low"/>
  </r>
  <r>
    <s v="ORD0088"/>
    <x v="242"/>
    <x v="80"/>
    <x v="1"/>
    <x v="1"/>
    <x v="4"/>
    <x v="1"/>
    <x v="2"/>
    <n v="3"/>
    <n v="533"/>
    <n v="6"/>
    <n v="1503.06"/>
    <n v="105729.68000000005"/>
    <n v="888.48470588235341"/>
    <n v="229"/>
    <s v="Low"/>
  </r>
  <r>
    <s v="ORD0092"/>
    <x v="76"/>
    <x v="0"/>
    <x v="2"/>
    <x v="2"/>
    <x v="3"/>
    <x v="3"/>
    <x v="1"/>
    <n v="1"/>
    <n v="2028"/>
    <n v="26"/>
    <n v="1500.72"/>
    <n v="104226.62000000004"/>
    <n v="883.27644067796643"/>
    <n v="226"/>
    <s v="Low"/>
  </r>
  <r>
    <s v="ORD0777"/>
    <x v="272"/>
    <x v="49"/>
    <x v="3"/>
    <x v="2"/>
    <x v="4"/>
    <x v="4"/>
    <x v="3"/>
    <n v="1"/>
    <n v="2000"/>
    <n v="25"/>
    <n v="1500"/>
    <n v="102725.90000000004"/>
    <n v="877.99914529914565"/>
    <n v="225"/>
    <s v="Low"/>
  </r>
  <r>
    <s v="ORD0457"/>
    <x v="306"/>
    <x v="255"/>
    <x v="3"/>
    <x v="6"/>
    <x v="0"/>
    <x v="4"/>
    <x v="1"/>
    <n v="1"/>
    <n v="1562"/>
    <n v="4"/>
    <n v="1499.52"/>
    <n v="101225.90000000001"/>
    <n v="872.6370689655173"/>
    <n v="224"/>
    <s v="Low"/>
  </r>
  <r>
    <s v="ORD0846"/>
    <x v="332"/>
    <x v="56"/>
    <x v="0"/>
    <x v="4"/>
    <x v="0"/>
    <x v="1"/>
    <x v="0"/>
    <n v="1"/>
    <n v="1718"/>
    <n v="14"/>
    <n v="1477.48"/>
    <n v="99726.380000000019"/>
    <n v="867.18591304347842"/>
    <n v="223"/>
    <s v="Low"/>
  </r>
  <r>
    <s v="ORD0439"/>
    <x v="316"/>
    <x v="116"/>
    <x v="2"/>
    <x v="0"/>
    <x v="4"/>
    <x v="1"/>
    <x v="0"/>
    <n v="1"/>
    <n v="1721"/>
    <n v="15"/>
    <n v="1462.85"/>
    <n v="98248.900000000023"/>
    <n v="861.83245614035104"/>
    <n v="222"/>
    <s v="Low"/>
  </r>
  <r>
    <s v="ORD0331"/>
    <x v="281"/>
    <x v="211"/>
    <x v="4"/>
    <x v="5"/>
    <x v="0"/>
    <x v="4"/>
    <x v="0"/>
    <n v="5"/>
    <n v="310"/>
    <n v="6"/>
    <n v="1457"/>
    <n v="96786.050000000017"/>
    <n v="856.51371681415947"/>
    <n v="221"/>
    <s v="Low"/>
  </r>
  <r>
    <s v="ORD0779"/>
    <x v="73"/>
    <x v="271"/>
    <x v="4"/>
    <x v="0"/>
    <x v="3"/>
    <x v="1"/>
    <x v="2"/>
    <n v="3"/>
    <n v="606"/>
    <n v="20"/>
    <n v="1454.4"/>
    <n v="95329.050000000017"/>
    <n v="851.15223214285732"/>
    <n v="216"/>
    <s v="Low"/>
  </r>
  <r>
    <s v="ORD0705"/>
    <x v="75"/>
    <x v="212"/>
    <x v="4"/>
    <x v="4"/>
    <x v="0"/>
    <x v="1"/>
    <x v="3"/>
    <n v="1"/>
    <n v="1730"/>
    <n v="17"/>
    <n v="1435.9"/>
    <n v="93874.650000000009"/>
    <n v="845.7175675675677"/>
    <n v="213"/>
    <s v="Low"/>
  </r>
  <r>
    <s v="ORD0001"/>
    <x v="46"/>
    <x v="285"/>
    <x v="1"/>
    <x v="5"/>
    <x v="2"/>
    <x v="3"/>
    <x v="0"/>
    <n v="1"/>
    <n v="1591"/>
    <n v="12"/>
    <n v="1400.08"/>
    <n v="92438.750000000015"/>
    <n v="840.35227272727286"/>
    <n v="212"/>
    <s v="Low"/>
  </r>
  <r>
    <s v="ORD0445"/>
    <x v="310"/>
    <x v="40"/>
    <x v="2"/>
    <x v="0"/>
    <x v="2"/>
    <x v="0"/>
    <x v="2"/>
    <n v="3"/>
    <n v="473"/>
    <n v="2"/>
    <n v="1390.62"/>
    <n v="91038.670000000013"/>
    <n v="835.21715596330284"/>
    <n v="211"/>
    <s v="Low"/>
  </r>
  <r>
    <s v="ORD0596"/>
    <x v="175"/>
    <x v="242"/>
    <x v="1"/>
    <x v="2"/>
    <x v="0"/>
    <x v="1"/>
    <x v="3"/>
    <n v="1"/>
    <n v="1636"/>
    <n v="15"/>
    <n v="1390.6"/>
    <n v="89648.050000000017"/>
    <n v="830.0745370370372"/>
    <n v="208"/>
    <s v="Low"/>
  </r>
  <r>
    <s v="ORD0225"/>
    <x v="92"/>
    <x v="166"/>
    <x v="3"/>
    <x v="3"/>
    <x v="1"/>
    <x v="1"/>
    <x v="0"/>
    <n v="2"/>
    <n v="690"/>
    <n v="0"/>
    <n v="1380"/>
    <n v="88257.450000000012"/>
    <n v="824.83598130841131"/>
    <n v="207"/>
    <s v="Low"/>
  </r>
  <r>
    <s v="ORD0853"/>
    <x v="170"/>
    <x v="42"/>
    <x v="0"/>
    <x v="2"/>
    <x v="4"/>
    <x v="1"/>
    <x v="2"/>
    <n v="5"/>
    <n v="376"/>
    <n v="27"/>
    <n v="1372.4"/>
    <n v="86877.450000000012"/>
    <n v="819.59858490566046"/>
    <n v="205"/>
    <s v="Low"/>
  </r>
  <r>
    <s v="ORD0860"/>
    <x v="110"/>
    <x v="104"/>
    <x v="0"/>
    <x v="6"/>
    <x v="3"/>
    <x v="0"/>
    <x v="0"/>
    <n v="5"/>
    <n v="276"/>
    <n v="1"/>
    <n v="1366.2"/>
    <n v="85505.050000000017"/>
    <n v="814.33380952380969"/>
    <n v="200"/>
    <s v="Low"/>
  </r>
  <r>
    <s v="ORD0764"/>
    <x v="157"/>
    <x v="251"/>
    <x v="2"/>
    <x v="4"/>
    <x v="1"/>
    <x v="1"/>
    <x v="1"/>
    <n v="2"/>
    <n v="888"/>
    <n v="25"/>
    <n v="1332"/>
    <n v="84138.85"/>
    <n v="809.0274038461539"/>
    <n v="195"/>
    <s v="Low"/>
  </r>
  <r>
    <s v="ORD0830"/>
    <x v="262"/>
    <x v="167"/>
    <x v="1"/>
    <x v="4"/>
    <x v="0"/>
    <x v="3"/>
    <x v="1"/>
    <n v="1"/>
    <n v="1461"/>
    <n v="9"/>
    <n v="1329.51"/>
    <n v="82806.850000000006"/>
    <n v="803.95"/>
    <n v="193"/>
    <s v="Low"/>
  </r>
  <r>
    <s v="ORD0296"/>
    <x v="233"/>
    <x v="247"/>
    <x v="1"/>
    <x v="2"/>
    <x v="3"/>
    <x v="1"/>
    <x v="3"/>
    <n v="1"/>
    <n v="1559"/>
    <n v="16"/>
    <n v="1309.56"/>
    <n v="81477.34"/>
    <n v="798.79745098039211"/>
    <n v="192"/>
    <s v="Low"/>
  </r>
  <r>
    <s v="ORD0323"/>
    <x v="222"/>
    <x v="192"/>
    <x v="2"/>
    <x v="6"/>
    <x v="0"/>
    <x v="4"/>
    <x v="2"/>
    <n v="4"/>
    <n v="343"/>
    <n v="5"/>
    <n v="1303.4000000000001"/>
    <n v="80167.780000000013"/>
    <n v="793.74039603960409"/>
    <n v="191"/>
    <s v="Low"/>
  </r>
  <r>
    <s v="ORD0251"/>
    <x v="203"/>
    <x v="269"/>
    <x v="2"/>
    <x v="3"/>
    <x v="3"/>
    <x v="3"/>
    <x v="0"/>
    <n v="2"/>
    <n v="650"/>
    <n v="1"/>
    <n v="1287"/>
    <n v="78864.38"/>
    <n v="788.64380000000006"/>
    <n v="187"/>
    <s v="Low"/>
  </r>
  <r>
    <s v="ORD0249"/>
    <x v="184"/>
    <x v="38"/>
    <x v="2"/>
    <x v="5"/>
    <x v="3"/>
    <x v="2"/>
    <x v="3"/>
    <n v="4"/>
    <n v="440"/>
    <n v="29"/>
    <n v="1249.5999999999999"/>
    <n v="77577.38"/>
    <n v="783.60989898989908"/>
    <n v="185"/>
    <s v="Low"/>
  </r>
  <r>
    <s v="ORD0944"/>
    <x v="135"/>
    <x v="58"/>
    <x v="4"/>
    <x v="0"/>
    <x v="3"/>
    <x v="4"/>
    <x v="2"/>
    <n v="1"/>
    <n v="1438"/>
    <n v="14"/>
    <n v="1236.68"/>
    <n v="76327.779999999984"/>
    <n v="778.85489795918352"/>
    <n v="181"/>
    <s v="Low"/>
  </r>
  <r>
    <s v="ORD0931"/>
    <x v="311"/>
    <x v="131"/>
    <x v="0"/>
    <x v="5"/>
    <x v="0"/>
    <x v="3"/>
    <x v="3"/>
    <n v="3"/>
    <n v="541"/>
    <n v="25"/>
    <n v="1217.25"/>
    <n v="75091.099999999991"/>
    <n v="774.13505154639165"/>
    <n v="180"/>
    <s v="Low"/>
  </r>
  <r>
    <s v="ORD0311"/>
    <x v="29"/>
    <x v="144"/>
    <x v="1"/>
    <x v="0"/>
    <x v="2"/>
    <x v="2"/>
    <x v="1"/>
    <n v="2"/>
    <n v="825"/>
    <n v="27"/>
    <n v="1204.5"/>
    <n v="73873.849999999991"/>
    <n v="769.51927083333328"/>
    <n v="177"/>
    <s v="Low"/>
  </r>
  <r>
    <s v="ORD0488"/>
    <x v="308"/>
    <x v="264"/>
    <x v="1"/>
    <x v="3"/>
    <x v="0"/>
    <x v="3"/>
    <x v="0"/>
    <n v="3"/>
    <n v="526"/>
    <n v="24"/>
    <n v="1199.28"/>
    <n v="72669.349999999991"/>
    <n v="764.94052631578938"/>
    <n v="175"/>
    <s v="Low"/>
  </r>
  <r>
    <s v="ORD0468"/>
    <x v="209"/>
    <x v="286"/>
    <x v="4"/>
    <x v="2"/>
    <x v="1"/>
    <x v="4"/>
    <x v="0"/>
    <n v="1"/>
    <n v="1468"/>
    <n v="19"/>
    <n v="1189.08"/>
    <n v="71470.069999999992"/>
    <n v="760.31989361702119"/>
    <n v="172"/>
    <s v="Low"/>
  </r>
  <r>
    <s v="ORD0668"/>
    <x v="333"/>
    <x v="89"/>
    <x v="0"/>
    <x v="1"/>
    <x v="2"/>
    <x v="2"/>
    <x v="0"/>
    <n v="1"/>
    <n v="1362"/>
    <n v="13"/>
    <n v="1184.94"/>
    <n v="70280.989999999991"/>
    <n v="755.70956989247304"/>
    <n v="171"/>
    <s v="Low"/>
  </r>
  <r>
    <s v="ORD0704"/>
    <x v="281"/>
    <x v="116"/>
    <x v="4"/>
    <x v="6"/>
    <x v="1"/>
    <x v="2"/>
    <x v="1"/>
    <n v="2"/>
    <n v="596"/>
    <n v="1"/>
    <n v="1180.08"/>
    <n v="69096.05"/>
    <n v="751.04402173913047"/>
    <n v="170"/>
    <s v="Low"/>
  </r>
  <r>
    <s v="ORD0313"/>
    <x v="64"/>
    <x v="74"/>
    <x v="0"/>
    <x v="2"/>
    <x v="3"/>
    <x v="2"/>
    <x v="1"/>
    <n v="3"/>
    <n v="474"/>
    <n v="18"/>
    <n v="1166.04"/>
    <n v="67915.97"/>
    <n v="746.32934065934069"/>
    <n v="168"/>
    <s v="Low"/>
  </r>
  <r>
    <s v="ORD0254"/>
    <x v="273"/>
    <x v="171"/>
    <x v="3"/>
    <x v="1"/>
    <x v="2"/>
    <x v="4"/>
    <x v="3"/>
    <n v="1"/>
    <n v="1651"/>
    <n v="30"/>
    <n v="1155.7"/>
    <n v="66749.929999999993"/>
    <n v="741.66588888888884"/>
    <n v="165"/>
    <s v="Low"/>
  </r>
  <r>
    <s v="ORD0827"/>
    <x v="216"/>
    <x v="3"/>
    <x v="4"/>
    <x v="5"/>
    <x v="1"/>
    <x v="1"/>
    <x v="3"/>
    <n v="1"/>
    <n v="1279"/>
    <n v="10"/>
    <n v="1151.0999999999999"/>
    <n v="65594.229999999967"/>
    <n v="737.01382022471876"/>
    <n v="164"/>
    <s v="Low"/>
  </r>
  <r>
    <s v="ORD0235"/>
    <x v="334"/>
    <x v="104"/>
    <x v="1"/>
    <x v="5"/>
    <x v="2"/>
    <x v="2"/>
    <x v="3"/>
    <n v="2"/>
    <n v="722"/>
    <n v="21"/>
    <n v="1140.76"/>
    <n v="64443.129999999976"/>
    <n v="732.30829545454515"/>
    <n v="163"/>
    <s v="Low"/>
  </r>
  <r>
    <s v="ORD0470"/>
    <x v="114"/>
    <x v="123"/>
    <x v="0"/>
    <x v="2"/>
    <x v="2"/>
    <x v="0"/>
    <x v="0"/>
    <n v="3"/>
    <n v="465"/>
    <n v="19"/>
    <n v="1129.95"/>
    <n v="63302.369999999981"/>
    <n v="727.61344827586186"/>
    <n v="161"/>
    <s v="Low"/>
  </r>
  <r>
    <s v="ORD0567"/>
    <x v="194"/>
    <x v="45"/>
    <x v="3"/>
    <x v="5"/>
    <x v="4"/>
    <x v="3"/>
    <x v="3"/>
    <n v="2"/>
    <n v="587"/>
    <n v="5"/>
    <n v="1115.3"/>
    <n v="62172.419999999976"/>
    <n v="722.93511627906946"/>
    <n v="158"/>
    <s v="Low"/>
  </r>
  <r>
    <s v="ORD0181"/>
    <x v="16"/>
    <x v="106"/>
    <x v="0"/>
    <x v="0"/>
    <x v="2"/>
    <x v="2"/>
    <x v="0"/>
    <n v="2"/>
    <n v="612"/>
    <n v="9"/>
    <n v="1113.8399999999999"/>
    <n v="61057.119999999981"/>
    <n v="718.31905882352919"/>
    <n v="156"/>
    <s v="Low"/>
  </r>
  <r>
    <s v="ORD0438"/>
    <x v="307"/>
    <x v="194"/>
    <x v="1"/>
    <x v="0"/>
    <x v="3"/>
    <x v="1"/>
    <x v="2"/>
    <n v="4"/>
    <n v="322"/>
    <n v="14"/>
    <n v="1107.68"/>
    <n v="59943.279999999977"/>
    <n v="713.61047619047588"/>
    <n v="154"/>
    <s v="Low"/>
  </r>
  <r>
    <s v="ORD0403"/>
    <x v="335"/>
    <x v="60"/>
    <x v="4"/>
    <x v="2"/>
    <x v="2"/>
    <x v="3"/>
    <x v="2"/>
    <n v="2"/>
    <n v="727"/>
    <n v="24"/>
    <n v="1105.04"/>
    <n v="58835.599999999977"/>
    <n v="708.8626506024093"/>
    <n v="150"/>
    <s v="Low"/>
  </r>
  <r>
    <s v="ORD0097"/>
    <x v="336"/>
    <x v="188"/>
    <x v="1"/>
    <x v="6"/>
    <x v="1"/>
    <x v="3"/>
    <x v="3"/>
    <n v="1"/>
    <n v="1427"/>
    <n v="23"/>
    <n v="1098.79"/>
    <n v="57730.559999999976"/>
    <n v="704.03121951219487"/>
    <n v="148"/>
    <s v="Low"/>
  </r>
  <r>
    <s v="ORD0279"/>
    <x v="337"/>
    <x v="25"/>
    <x v="3"/>
    <x v="1"/>
    <x v="3"/>
    <x v="2"/>
    <x v="3"/>
    <n v="2"/>
    <n v="712"/>
    <n v="23"/>
    <n v="1096.48"/>
    <n v="56631.769999999975"/>
    <n v="699.15765432098738"/>
    <n v="147"/>
    <s v="Low"/>
  </r>
  <r>
    <s v="ORD0950"/>
    <x v="107"/>
    <x v="210"/>
    <x v="4"/>
    <x v="0"/>
    <x v="1"/>
    <x v="2"/>
    <x v="0"/>
    <n v="2"/>
    <n v="771"/>
    <n v="29"/>
    <n v="1094.82"/>
    <n v="55535.289999999972"/>
    <n v="694.1911249999996"/>
    <n v="145"/>
    <s v="Low"/>
  </r>
  <r>
    <s v="ORD0801"/>
    <x v="109"/>
    <x v="138"/>
    <x v="2"/>
    <x v="5"/>
    <x v="1"/>
    <x v="0"/>
    <x v="2"/>
    <n v="1"/>
    <n v="1459"/>
    <n v="25"/>
    <n v="1094.25"/>
    <n v="54440.469999999972"/>
    <n v="689.11987341772112"/>
    <n v="143"/>
    <s v="Low"/>
  </r>
  <r>
    <s v="ORD0534"/>
    <x v="229"/>
    <x v="159"/>
    <x v="3"/>
    <x v="2"/>
    <x v="1"/>
    <x v="4"/>
    <x v="1"/>
    <n v="1"/>
    <n v="1267"/>
    <n v="14"/>
    <n v="1089.6199999999999"/>
    <n v="53346.219999999972"/>
    <n v="683.92589743589713"/>
    <n v="142"/>
    <s v="Low"/>
  </r>
  <r>
    <s v="ORD0428"/>
    <x v="26"/>
    <x v="48"/>
    <x v="2"/>
    <x v="6"/>
    <x v="0"/>
    <x v="1"/>
    <x v="3"/>
    <n v="2"/>
    <n v="598"/>
    <n v="10"/>
    <n v="1076.4000000000001"/>
    <n v="52256.599999999969"/>
    <n v="678.6571428571425"/>
    <n v="141"/>
    <s v="Low"/>
  </r>
  <r>
    <s v="ORD0253"/>
    <x v="157"/>
    <x v="87"/>
    <x v="3"/>
    <x v="4"/>
    <x v="2"/>
    <x v="1"/>
    <x v="0"/>
    <n v="1"/>
    <n v="1079"/>
    <n v="3"/>
    <n v="1046.6300000000001"/>
    <n v="51180.199999999968"/>
    <n v="673.42368421052595"/>
    <n v="139"/>
    <s v="Low"/>
  </r>
  <r>
    <s v="ORD0370"/>
    <x v="27"/>
    <x v="106"/>
    <x v="4"/>
    <x v="6"/>
    <x v="2"/>
    <x v="4"/>
    <x v="1"/>
    <n v="2"/>
    <n v="669"/>
    <n v="22"/>
    <n v="1043.6400000000001"/>
    <n v="50133.569999999971"/>
    <n v="668.44759999999962"/>
    <n v="138"/>
    <s v="Low"/>
  </r>
  <r>
    <s v="ORD0634"/>
    <x v="247"/>
    <x v="253"/>
    <x v="4"/>
    <x v="2"/>
    <x v="1"/>
    <x v="2"/>
    <x v="1"/>
    <n v="4"/>
    <n v="361"/>
    <n v="28"/>
    <n v="1039.68"/>
    <n v="49089.929999999978"/>
    <n v="663.3774324324321"/>
    <n v="136"/>
    <s v="Low"/>
  </r>
  <r>
    <s v="ORD0938"/>
    <x v="338"/>
    <x v="20"/>
    <x v="4"/>
    <x v="0"/>
    <x v="3"/>
    <x v="3"/>
    <x v="1"/>
    <n v="1"/>
    <n v="1392"/>
    <n v="26"/>
    <n v="1030.08"/>
    <n v="48050.249999999978"/>
    <n v="658.22260273972574"/>
    <n v="132"/>
    <s v="Low"/>
  </r>
  <r>
    <s v="ORD0562"/>
    <x v="339"/>
    <x v="126"/>
    <x v="0"/>
    <x v="0"/>
    <x v="1"/>
    <x v="2"/>
    <x v="2"/>
    <n v="4"/>
    <n v="301"/>
    <n v="15"/>
    <n v="1023.4"/>
    <n v="47020.169999999969"/>
    <n v="653.05791666666619"/>
    <n v="131"/>
    <s v="Low"/>
  </r>
  <r>
    <s v="ORD0291"/>
    <x v="220"/>
    <x v="92"/>
    <x v="1"/>
    <x v="6"/>
    <x v="0"/>
    <x v="0"/>
    <x v="0"/>
    <n v="2"/>
    <n v="533"/>
    <n v="4"/>
    <n v="1023.36"/>
    <n v="45996.769999999975"/>
    <n v="647.84183098591518"/>
    <n v="127"/>
    <s v="Low"/>
  </r>
  <r>
    <s v="ORD0123"/>
    <x v="152"/>
    <x v="263"/>
    <x v="4"/>
    <x v="2"/>
    <x v="4"/>
    <x v="3"/>
    <x v="1"/>
    <n v="3"/>
    <n v="381"/>
    <n v="11"/>
    <n v="1017.27"/>
    <n v="44973.409999999974"/>
    <n v="642.47728571428536"/>
    <n v="125"/>
    <s v="Low"/>
  </r>
  <r>
    <s v="ORD0407"/>
    <x v="80"/>
    <x v="101"/>
    <x v="0"/>
    <x v="5"/>
    <x v="3"/>
    <x v="1"/>
    <x v="0"/>
    <n v="3"/>
    <n v="413"/>
    <n v="18"/>
    <n v="1015.98"/>
    <n v="43956.139999999978"/>
    <n v="637.04550724637647"/>
    <n v="122"/>
    <s v="Low"/>
  </r>
  <r>
    <s v="ORD0183"/>
    <x v="127"/>
    <x v="29"/>
    <x v="3"/>
    <x v="3"/>
    <x v="4"/>
    <x v="2"/>
    <x v="2"/>
    <n v="5"/>
    <n v="288"/>
    <n v="30"/>
    <n v="1008"/>
    <n v="42940.159999999967"/>
    <n v="631.47294117647016"/>
    <n v="119"/>
    <s v="Low"/>
  </r>
  <r>
    <s v="ORD0719"/>
    <x v="67"/>
    <x v="196"/>
    <x v="3"/>
    <x v="0"/>
    <x v="3"/>
    <x v="2"/>
    <x v="2"/>
    <n v="5"/>
    <n v="201"/>
    <n v="0"/>
    <n v="1005"/>
    <n v="41932.159999999974"/>
    <n v="625.85313432835778"/>
    <n v="114"/>
    <s v="Low"/>
  </r>
  <r>
    <s v="ORD0226"/>
    <x v="337"/>
    <x v="19"/>
    <x v="2"/>
    <x v="0"/>
    <x v="3"/>
    <x v="0"/>
    <x v="3"/>
    <n v="3"/>
    <n v="400"/>
    <n v="17"/>
    <n v="996"/>
    <n v="40927.159999999974"/>
    <n v="620.10848484848441"/>
    <n v="109"/>
    <s v="Low"/>
  </r>
  <r>
    <s v="ORD0664"/>
    <x v="58"/>
    <x v="141"/>
    <x v="4"/>
    <x v="1"/>
    <x v="4"/>
    <x v="4"/>
    <x v="1"/>
    <n v="2"/>
    <n v="655"/>
    <n v="25"/>
    <n v="982.5"/>
    <n v="39931.159999999974"/>
    <n v="614.32553846153803"/>
    <n v="106"/>
    <s v="Low"/>
  </r>
  <r>
    <s v="ORD0357"/>
    <x v="129"/>
    <x v="3"/>
    <x v="4"/>
    <x v="5"/>
    <x v="2"/>
    <x v="2"/>
    <x v="0"/>
    <n v="1"/>
    <n v="1097"/>
    <n v="11"/>
    <n v="976.33"/>
    <n v="38948.659999999974"/>
    <n v="608.5728124999996"/>
    <n v="104"/>
    <s v="Low"/>
  </r>
  <r>
    <s v="ORD0120"/>
    <x v="249"/>
    <x v="164"/>
    <x v="3"/>
    <x v="1"/>
    <x v="3"/>
    <x v="1"/>
    <x v="2"/>
    <n v="1"/>
    <n v="1038"/>
    <n v="8"/>
    <n v="954.96"/>
    <n v="37972.32999999998"/>
    <n v="602.73539682539649"/>
    <n v="103"/>
    <s v="Low"/>
  </r>
  <r>
    <s v="ORD0390"/>
    <x v="69"/>
    <x v="79"/>
    <x v="3"/>
    <x v="1"/>
    <x v="4"/>
    <x v="2"/>
    <x v="0"/>
    <n v="2"/>
    <n v="499"/>
    <n v="5"/>
    <n v="948.1"/>
    <n v="37017.369999999988"/>
    <n v="597.05435483870951"/>
    <n v="102"/>
    <s v="Low"/>
  </r>
  <r>
    <s v="ORD0480"/>
    <x v="254"/>
    <x v="214"/>
    <x v="3"/>
    <x v="2"/>
    <x v="1"/>
    <x v="2"/>
    <x v="3"/>
    <n v="3"/>
    <n v="346"/>
    <n v="9"/>
    <n v="944.58"/>
    <n v="36069.26999999999"/>
    <n v="591.29950819672115"/>
    <n v="100"/>
    <s v="Low"/>
  </r>
  <r>
    <s v="ORD0701"/>
    <x v="21"/>
    <x v="147"/>
    <x v="0"/>
    <x v="0"/>
    <x v="2"/>
    <x v="1"/>
    <x v="1"/>
    <n v="2"/>
    <n v="493"/>
    <n v="6"/>
    <n v="926.84"/>
    <n v="35124.689999999995"/>
    <n v="585.41149999999993"/>
    <n v="97"/>
    <s v="Low"/>
  </r>
  <r>
    <s v="ORD0831"/>
    <x v="274"/>
    <x v="90"/>
    <x v="3"/>
    <x v="4"/>
    <x v="2"/>
    <x v="0"/>
    <x v="2"/>
    <n v="1"/>
    <n v="1000"/>
    <n v="8"/>
    <n v="920"/>
    <n v="34197.85"/>
    <n v="579.62457627118647"/>
    <n v="95"/>
    <s v="Low"/>
  </r>
  <r>
    <s v="ORD0587"/>
    <x v="285"/>
    <x v="33"/>
    <x v="1"/>
    <x v="3"/>
    <x v="3"/>
    <x v="3"/>
    <x v="3"/>
    <n v="1"/>
    <n v="1159"/>
    <n v="21"/>
    <n v="915.61"/>
    <n v="33277.85"/>
    <n v="573.75603448275865"/>
    <n v="94"/>
    <s v="Low"/>
  </r>
  <r>
    <s v="ORD0300"/>
    <x v="212"/>
    <x v="194"/>
    <x v="1"/>
    <x v="2"/>
    <x v="4"/>
    <x v="4"/>
    <x v="0"/>
    <n v="5"/>
    <n v="235"/>
    <n v="23"/>
    <n v="904.75"/>
    <n v="32362.239999999998"/>
    <n v="567.75859649122799"/>
    <n v="93"/>
    <s v="Low"/>
  </r>
  <r>
    <s v="ORD0576"/>
    <x v="212"/>
    <x v="203"/>
    <x v="2"/>
    <x v="4"/>
    <x v="3"/>
    <x v="1"/>
    <x v="1"/>
    <n v="4"/>
    <n v="269"/>
    <n v="16"/>
    <n v="903.84"/>
    <n v="31457.489999999998"/>
    <n v="561.74089285714285"/>
    <n v="88"/>
    <s v="Low"/>
  </r>
  <r>
    <s v="ORD0883"/>
    <x v="89"/>
    <x v="169"/>
    <x v="0"/>
    <x v="2"/>
    <x v="2"/>
    <x v="0"/>
    <x v="1"/>
    <n v="2"/>
    <n v="451"/>
    <n v="0"/>
    <n v="902"/>
    <n v="30553.649999999994"/>
    <n v="555.52090909090896"/>
    <n v="84"/>
    <s v="Low"/>
  </r>
  <r>
    <s v="ORD0995"/>
    <x v="65"/>
    <x v="63"/>
    <x v="2"/>
    <x v="4"/>
    <x v="3"/>
    <x v="2"/>
    <x v="0"/>
    <n v="1"/>
    <n v="1111"/>
    <n v="20"/>
    <n v="888.8"/>
    <n v="29651.649999999998"/>
    <n v="549.10462962962958"/>
    <n v="82"/>
    <s v="Low"/>
  </r>
  <r>
    <s v="ORD0738"/>
    <x v="129"/>
    <x v="159"/>
    <x v="3"/>
    <x v="5"/>
    <x v="1"/>
    <x v="1"/>
    <x v="3"/>
    <n v="5"/>
    <n v="253"/>
    <n v="30"/>
    <n v="885.5"/>
    <n v="28762.849999999995"/>
    <n v="542.69528301886783"/>
    <n v="81"/>
    <s v="Low"/>
  </r>
  <r>
    <s v="ORD0004"/>
    <x v="68"/>
    <x v="101"/>
    <x v="3"/>
    <x v="5"/>
    <x v="2"/>
    <x v="3"/>
    <x v="0"/>
    <n v="1"/>
    <n v="1151"/>
    <n v="25"/>
    <n v="863.25"/>
    <n v="27877.349999999995"/>
    <n v="536.10288461538448"/>
    <n v="76"/>
    <s v="Low"/>
  </r>
  <r>
    <s v="ORD0462"/>
    <x v="178"/>
    <x v="89"/>
    <x v="1"/>
    <x v="3"/>
    <x v="2"/>
    <x v="3"/>
    <x v="2"/>
    <n v="4"/>
    <n v="264"/>
    <n v="19"/>
    <n v="855.36"/>
    <n v="27014.099999999995"/>
    <n v="529.68823529411759"/>
    <n v="75"/>
    <s v="Low"/>
  </r>
  <r>
    <s v="ORD0733"/>
    <x v="340"/>
    <x v="286"/>
    <x v="0"/>
    <x v="3"/>
    <x v="1"/>
    <x v="4"/>
    <x v="1"/>
    <n v="1"/>
    <n v="935"/>
    <n v="12"/>
    <n v="822.8"/>
    <n v="26158.739999999994"/>
    <n v="523.17479999999989"/>
    <n v="71"/>
    <s v="Low"/>
  </r>
  <r>
    <s v="ORD0771"/>
    <x v="291"/>
    <x v="254"/>
    <x v="3"/>
    <x v="5"/>
    <x v="0"/>
    <x v="1"/>
    <x v="0"/>
    <n v="1"/>
    <n v="1047"/>
    <n v="23"/>
    <n v="806.19"/>
    <n v="25335.939999999995"/>
    <n v="517.05999999999995"/>
    <n v="70"/>
    <s v="Low"/>
  </r>
  <r>
    <s v="ORD0328"/>
    <x v="341"/>
    <x v="47"/>
    <x v="4"/>
    <x v="6"/>
    <x v="1"/>
    <x v="4"/>
    <x v="1"/>
    <n v="5"/>
    <n v="225"/>
    <n v="29"/>
    <n v="798.75"/>
    <n v="24529.749999999996"/>
    <n v="511.03645833333326"/>
    <n v="69"/>
    <s v="Low"/>
  </r>
  <r>
    <s v="ORD0046"/>
    <x v="11"/>
    <x v="23"/>
    <x v="4"/>
    <x v="4"/>
    <x v="3"/>
    <x v="1"/>
    <x v="1"/>
    <n v="1"/>
    <n v="991"/>
    <n v="20"/>
    <n v="792.8"/>
    <n v="23731"/>
    <n v="504.91489361702128"/>
    <n v="64"/>
    <s v="Low"/>
  </r>
  <r>
    <s v="ORD0495"/>
    <x v="335"/>
    <x v="148"/>
    <x v="3"/>
    <x v="2"/>
    <x v="3"/>
    <x v="4"/>
    <x v="2"/>
    <n v="1"/>
    <n v="864"/>
    <n v="10"/>
    <n v="777.6"/>
    <n v="22938.2"/>
    <n v="498.65652173913043"/>
    <n v="63"/>
    <s v="Low"/>
  </r>
  <r>
    <s v="ORD0563"/>
    <x v="316"/>
    <x v="193"/>
    <x v="0"/>
    <x v="0"/>
    <x v="4"/>
    <x v="4"/>
    <x v="3"/>
    <n v="1"/>
    <n v="852"/>
    <n v="9"/>
    <n v="775.32"/>
    <n v="22160.600000000002"/>
    <n v="492.45777777777784"/>
    <n v="62"/>
    <s v="Low"/>
  </r>
  <r>
    <s v="ORD0155"/>
    <x v="309"/>
    <x v="19"/>
    <x v="4"/>
    <x v="0"/>
    <x v="4"/>
    <x v="2"/>
    <x v="3"/>
    <n v="2"/>
    <n v="393"/>
    <n v="4"/>
    <n v="754.56"/>
    <n v="21385.280000000002"/>
    <n v="486.02909090909094"/>
    <n v="61"/>
    <s v="Low"/>
  </r>
  <r>
    <s v="ORD0633"/>
    <x v="335"/>
    <x v="238"/>
    <x v="2"/>
    <x v="4"/>
    <x v="2"/>
    <x v="0"/>
    <x v="0"/>
    <n v="2"/>
    <n v="486"/>
    <n v="26"/>
    <n v="719.28"/>
    <n v="20630.719999999998"/>
    <n v="479.78418604651159"/>
    <n v="59"/>
    <s v="Low"/>
  </r>
  <r>
    <s v="ORD0009"/>
    <x v="293"/>
    <x v="280"/>
    <x v="0"/>
    <x v="3"/>
    <x v="4"/>
    <x v="4"/>
    <x v="3"/>
    <n v="1"/>
    <n v="785"/>
    <n v="9"/>
    <n v="714.35"/>
    <n v="19911.439999999999"/>
    <n v="474.08190476190475"/>
    <n v="57"/>
    <s v="Low"/>
  </r>
  <r>
    <s v="ORD0043"/>
    <x v="186"/>
    <x v="168"/>
    <x v="2"/>
    <x v="3"/>
    <x v="4"/>
    <x v="4"/>
    <x v="1"/>
    <n v="2"/>
    <n v="473"/>
    <n v="25"/>
    <n v="709.5"/>
    <n v="19197.089999999997"/>
    <n v="468.22170731707308"/>
    <n v="56"/>
    <s v="Low"/>
  </r>
  <r>
    <s v="ORD0138"/>
    <x v="280"/>
    <x v="17"/>
    <x v="3"/>
    <x v="1"/>
    <x v="3"/>
    <x v="1"/>
    <x v="2"/>
    <n v="2"/>
    <n v="358"/>
    <n v="5"/>
    <n v="680.2"/>
    <n v="18487.589999999997"/>
    <n v="462.18974999999989"/>
    <n v="54"/>
    <s v="Low"/>
  </r>
  <r>
    <s v="ORD0657"/>
    <x v="277"/>
    <x v="173"/>
    <x v="2"/>
    <x v="6"/>
    <x v="0"/>
    <x v="0"/>
    <x v="1"/>
    <n v="1"/>
    <n v="769"/>
    <n v="12"/>
    <n v="676.72"/>
    <n v="17807.39"/>
    <n v="456.59974358974358"/>
    <n v="52"/>
    <s v="Low"/>
  </r>
  <r>
    <s v="ORD0908"/>
    <x v="253"/>
    <x v="88"/>
    <x v="0"/>
    <x v="1"/>
    <x v="0"/>
    <x v="3"/>
    <x v="3"/>
    <n v="1"/>
    <n v="803"/>
    <n v="16"/>
    <n v="674.52"/>
    <n v="17130.670000000002"/>
    <n v="450.80710526315795"/>
    <n v="51"/>
    <s v="Low"/>
  </r>
  <r>
    <s v="ORD0574"/>
    <x v="283"/>
    <x v="228"/>
    <x v="3"/>
    <x v="1"/>
    <x v="1"/>
    <x v="0"/>
    <x v="3"/>
    <n v="1"/>
    <n v="952"/>
    <n v="30"/>
    <n v="666.4"/>
    <n v="16456.150000000001"/>
    <n v="444.76081081081082"/>
    <n v="50"/>
    <s v="Low"/>
  </r>
  <r>
    <s v="ORD0553"/>
    <x v="89"/>
    <x v="261"/>
    <x v="1"/>
    <x v="2"/>
    <x v="2"/>
    <x v="0"/>
    <x v="0"/>
    <n v="1"/>
    <n v="808"/>
    <n v="19"/>
    <n v="654.48"/>
    <n v="15789.749999999998"/>
    <n v="438.60416666666663"/>
    <n v="49"/>
    <s v="Low"/>
  </r>
  <r>
    <s v="ORD0401"/>
    <x v="135"/>
    <x v="156"/>
    <x v="2"/>
    <x v="3"/>
    <x v="2"/>
    <x v="3"/>
    <x v="3"/>
    <n v="2"/>
    <n v="330"/>
    <n v="2"/>
    <n v="646.79999999999995"/>
    <n v="15135.269999999999"/>
    <n v="432.4362857142857"/>
    <n v="48"/>
    <s v="Low"/>
  </r>
  <r>
    <s v="ORD0148"/>
    <x v="23"/>
    <x v="181"/>
    <x v="1"/>
    <x v="4"/>
    <x v="4"/>
    <x v="1"/>
    <x v="2"/>
    <n v="1"/>
    <n v="717"/>
    <n v="11"/>
    <n v="638.13"/>
    <n v="14488.47"/>
    <n v="426.13147058823529"/>
    <n v="46"/>
    <s v="Low"/>
  </r>
  <r>
    <s v="ORD0114"/>
    <x v="109"/>
    <x v="103"/>
    <x v="4"/>
    <x v="1"/>
    <x v="4"/>
    <x v="4"/>
    <x v="2"/>
    <n v="1"/>
    <n v="816"/>
    <n v="23"/>
    <n v="628.32000000000005"/>
    <n v="13850.339999999998"/>
    <n v="419.70727272727265"/>
    <n v="45"/>
    <s v="Low"/>
  </r>
  <r>
    <s v="ORD0269"/>
    <x v="105"/>
    <x v="69"/>
    <x v="3"/>
    <x v="2"/>
    <x v="3"/>
    <x v="3"/>
    <x v="3"/>
    <n v="3"/>
    <n v="222"/>
    <n v="8"/>
    <n v="612.72"/>
    <n v="13222.02"/>
    <n v="413.18812500000001"/>
    <n v="44"/>
    <s v="Low"/>
  </r>
  <r>
    <s v="ORD0159"/>
    <x v="106"/>
    <x v="101"/>
    <x v="1"/>
    <x v="4"/>
    <x v="4"/>
    <x v="4"/>
    <x v="3"/>
    <n v="1"/>
    <n v="812"/>
    <n v="25"/>
    <n v="609"/>
    <n v="12609.3"/>
    <n v="406.7516129032258"/>
    <n v="41"/>
    <s v="Low"/>
  </r>
  <r>
    <s v="ORD0023"/>
    <x v="67"/>
    <x v="220"/>
    <x v="1"/>
    <x v="5"/>
    <x v="4"/>
    <x v="3"/>
    <x v="1"/>
    <n v="1"/>
    <n v="637"/>
    <n v="9"/>
    <n v="579.66999999999996"/>
    <n v="12000.3"/>
    <n v="400.01"/>
    <n v="40"/>
    <s v="Low"/>
  </r>
  <r>
    <s v="ORD0020"/>
    <x v="327"/>
    <x v="105"/>
    <x v="2"/>
    <x v="1"/>
    <x v="4"/>
    <x v="1"/>
    <x v="1"/>
    <n v="2"/>
    <n v="293"/>
    <n v="2"/>
    <n v="574.28"/>
    <n v="11420.63"/>
    <n v="393.81482758620689"/>
    <n v="39"/>
    <s v="Low"/>
  </r>
  <r>
    <s v="ORD0621"/>
    <x v="24"/>
    <x v="287"/>
    <x v="3"/>
    <x v="0"/>
    <x v="1"/>
    <x v="4"/>
    <x v="1"/>
    <n v="1"/>
    <n v="573"/>
    <n v="0"/>
    <n v="573"/>
    <n v="10846.35"/>
    <n v="387.36964285714288"/>
    <n v="37"/>
    <s v="Low"/>
  </r>
  <r>
    <s v="ORD0402"/>
    <x v="251"/>
    <x v="97"/>
    <x v="1"/>
    <x v="3"/>
    <x v="0"/>
    <x v="3"/>
    <x v="3"/>
    <n v="3"/>
    <n v="218"/>
    <n v="15"/>
    <n v="555.9"/>
    <n v="10273.349999999999"/>
    <n v="380.49444444444441"/>
    <n v="36"/>
    <s v="Low"/>
  </r>
  <r>
    <s v="ORD0591"/>
    <x v="197"/>
    <x v="167"/>
    <x v="0"/>
    <x v="5"/>
    <x v="1"/>
    <x v="2"/>
    <x v="2"/>
    <n v="2"/>
    <n v="307"/>
    <n v="10"/>
    <n v="552.6"/>
    <n v="9717.4499999999989"/>
    <n v="373.74807692307689"/>
    <n v="33"/>
    <s v="Low"/>
  </r>
  <r>
    <s v="ORD0326"/>
    <x v="103"/>
    <x v="102"/>
    <x v="4"/>
    <x v="0"/>
    <x v="3"/>
    <x v="4"/>
    <x v="2"/>
    <n v="1"/>
    <n v="666"/>
    <n v="21"/>
    <n v="526.14"/>
    <n v="9164.85"/>
    <n v="366.59399999999999"/>
    <n v="31"/>
    <s v="Low"/>
  </r>
  <r>
    <s v="ORD0572"/>
    <x v="257"/>
    <x v="173"/>
    <x v="1"/>
    <x v="3"/>
    <x v="3"/>
    <x v="3"/>
    <x v="0"/>
    <n v="1"/>
    <n v="706"/>
    <n v="26"/>
    <n v="522.44000000000005"/>
    <n v="8638.7099999999991"/>
    <n v="359.94624999999996"/>
    <n v="30"/>
    <s v="Low"/>
  </r>
  <r>
    <s v="ORD0479"/>
    <x v="218"/>
    <x v="96"/>
    <x v="4"/>
    <x v="1"/>
    <x v="1"/>
    <x v="0"/>
    <x v="0"/>
    <n v="1"/>
    <n v="720"/>
    <n v="29"/>
    <n v="511.2"/>
    <n v="8116.27"/>
    <n v="352.88130434782613"/>
    <n v="29"/>
    <s v="Low"/>
  </r>
  <r>
    <s v="ORD0638"/>
    <x v="319"/>
    <x v="288"/>
    <x v="3"/>
    <x v="4"/>
    <x v="1"/>
    <x v="2"/>
    <x v="3"/>
    <n v="1"/>
    <n v="560"/>
    <n v="9"/>
    <n v="509.6"/>
    <n v="7605.0700000000006"/>
    <n v="345.685"/>
    <n v="28"/>
    <s v="Low"/>
  </r>
  <r>
    <s v="ORD0076"/>
    <x v="47"/>
    <x v="63"/>
    <x v="1"/>
    <x v="2"/>
    <x v="2"/>
    <x v="4"/>
    <x v="2"/>
    <n v="2"/>
    <n v="323"/>
    <n v="26"/>
    <n v="478.04"/>
    <n v="7095.47"/>
    <n v="337.87952380952385"/>
    <n v="27"/>
    <s v="Low"/>
  </r>
  <r>
    <s v="ORD0490"/>
    <x v="49"/>
    <x v="209"/>
    <x v="2"/>
    <x v="1"/>
    <x v="2"/>
    <x v="2"/>
    <x v="1"/>
    <n v="1"/>
    <n v="537"/>
    <n v="12"/>
    <n v="472.56"/>
    <n v="6617.43"/>
    <n v="330.87150000000003"/>
    <n v="25"/>
    <s v="Low"/>
  </r>
  <r>
    <s v="ORD0813"/>
    <x v="211"/>
    <x v="206"/>
    <x v="4"/>
    <x v="1"/>
    <x v="1"/>
    <x v="0"/>
    <x v="1"/>
    <n v="1"/>
    <n v="556"/>
    <n v="18"/>
    <n v="455.92"/>
    <n v="6144.87"/>
    <n v="323.4142105263158"/>
    <n v="24"/>
    <s v="Low"/>
  </r>
  <r>
    <s v="ORD0665"/>
    <x v="342"/>
    <x v="42"/>
    <x v="3"/>
    <x v="2"/>
    <x v="3"/>
    <x v="3"/>
    <x v="2"/>
    <n v="2"/>
    <n v="292"/>
    <n v="24"/>
    <n v="443.84"/>
    <n v="5688.95"/>
    <n v="316.05277777777775"/>
    <n v="23"/>
    <s v="Low"/>
  </r>
  <r>
    <s v="ORD0808"/>
    <x v="244"/>
    <x v="266"/>
    <x v="3"/>
    <x v="5"/>
    <x v="4"/>
    <x v="3"/>
    <x v="1"/>
    <n v="2"/>
    <n v="274"/>
    <n v="20"/>
    <n v="438.4"/>
    <n v="5245.11"/>
    <n v="308.53588235294114"/>
    <n v="21"/>
    <s v="Low"/>
  </r>
  <r>
    <s v="ORD0896"/>
    <x v="126"/>
    <x v="136"/>
    <x v="3"/>
    <x v="2"/>
    <x v="3"/>
    <x v="1"/>
    <x v="1"/>
    <n v="1"/>
    <n v="604"/>
    <n v="28"/>
    <n v="434.88"/>
    <n v="4806.71"/>
    <n v="300.419375"/>
    <n v="19"/>
    <s v="Low"/>
  </r>
  <r>
    <s v="ORD0979"/>
    <x v="262"/>
    <x v="289"/>
    <x v="2"/>
    <x v="1"/>
    <x v="2"/>
    <x v="4"/>
    <x v="3"/>
    <n v="1"/>
    <n v="568"/>
    <n v="29"/>
    <n v="403.28"/>
    <n v="4371.829999999999"/>
    <n v="291.45533333333327"/>
    <n v="18"/>
    <s v="Low"/>
  </r>
  <r>
    <s v="ORD0191"/>
    <x v="78"/>
    <x v="99"/>
    <x v="4"/>
    <x v="4"/>
    <x v="2"/>
    <x v="4"/>
    <x v="1"/>
    <n v="1"/>
    <n v="570"/>
    <n v="30"/>
    <n v="399"/>
    <n v="3968.55"/>
    <n v="283.46785714285716"/>
    <n v="17"/>
    <s v="Low"/>
  </r>
  <r>
    <s v="ORD0515"/>
    <x v="202"/>
    <x v="118"/>
    <x v="4"/>
    <x v="4"/>
    <x v="3"/>
    <x v="0"/>
    <x v="0"/>
    <n v="2"/>
    <n v="265"/>
    <n v="27"/>
    <n v="386.9"/>
    <n v="3569.55"/>
    <n v="274.58076923076925"/>
    <n v="16"/>
    <s v="Low"/>
  </r>
  <r>
    <s v="ORD0842"/>
    <x v="26"/>
    <x v="85"/>
    <x v="3"/>
    <x v="4"/>
    <x v="2"/>
    <x v="2"/>
    <x v="0"/>
    <n v="1"/>
    <n v="439"/>
    <n v="13"/>
    <n v="381.93"/>
    <n v="3182.6500000000005"/>
    <n v="265.22083333333336"/>
    <n v="14"/>
    <s v="Low"/>
  </r>
  <r>
    <s v="ORD0240"/>
    <x v="259"/>
    <x v="150"/>
    <x v="1"/>
    <x v="1"/>
    <x v="1"/>
    <x v="3"/>
    <x v="0"/>
    <n v="2"/>
    <n v="203"/>
    <n v="21"/>
    <n v="320.74"/>
    <n v="2800.7200000000003"/>
    <n v="254.6109090909091"/>
    <n v="13"/>
    <s v="Low"/>
  </r>
  <r>
    <s v="ORD0056"/>
    <x v="343"/>
    <x v="89"/>
    <x v="3"/>
    <x v="0"/>
    <x v="4"/>
    <x v="1"/>
    <x v="1"/>
    <n v="2"/>
    <n v="213"/>
    <n v="26"/>
    <n v="315.24"/>
    <n v="2479.98"/>
    <n v="247.99799999999999"/>
    <n v="11"/>
    <s v="Low"/>
  </r>
  <r>
    <s v="ORD0787"/>
    <x v="344"/>
    <x v="233"/>
    <x v="2"/>
    <x v="3"/>
    <x v="1"/>
    <x v="4"/>
    <x v="0"/>
    <n v="1"/>
    <n v="353"/>
    <n v="11"/>
    <n v="314.17"/>
    <n v="2164.7400000000002"/>
    <n v="240.5266666666667"/>
    <n v="9"/>
    <s v="Low"/>
  </r>
  <r>
    <s v="ORD0017"/>
    <x v="33"/>
    <x v="22"/>
    <x v="0"/>
    <x v="1"/>
    <x v="2"/>
    <x v="3"/>
    <x v="1"/>
    <n v="1"/>
    <n v="340"/>
    <n v="16"/>
    <n v="285.60000000000002"/>
    <n v="1850.5700000000002"/>
    <n v="231.32125000000002"/>
    <n v="8"/>
    <s v="Low"/>
  </r>
  <r>
    <s v="ORD0161"/>
    <x v="219"/>
    <x v="1"/>
    <x v="0"/>
    <x v="4"/>
    <x v="2"/>
    <x v="0"/>
    <x v="3"/>
    <n v="1"/>
    <n v="383"/>
    <n v="26"/>
    <n v="283.42"/>
    <n v="1564.9700000000003"/>
    <n v="223.5671428571429"/>
    <n v="7"/>
    <s v="Low"/>
  </r>
  <r>
    <s v="ORD0568"/>
    <x v="205"/>
    <x v="24"/>
    <x v="2"/>
    <x v="4"/>
    <x v="0"/>
    <x v="3"/>
    <x v="1"/>
    <n v="1"/>
    <n v="311"/>
    <n v="9"/>
    <n v="283.01"/>
    <n v="1281.5499999999997"/>
    <n v="213.59166666666661"/>
    <n v="6"/>
    <s v="Low"/>
  </r>
  <r>
    <s v="ORD0935"/>
    <x v="141"/>
    <x v="168"/>
    <x v="0"/>
    <x v="3"/>
    <x v="4"/>
    <x v="2"/>
    <x v="3"/>
    <n v="1"/>
    <n v="291"/>
    <n v="21"/>
    <n v="229.89"/>
    <n v="998.54000000000008"/>
    <n v="199.70800000000003"/>
    <n v="5"/>
    <s v="Low"/>
  </r>
  <r>
    <s v="ORD0267"/>
    <x v="345"/>
    <x v="135"/>
    <x v="2"/>
    <x v="6"/>
    <x v="3"/>
    <x v="1"/>
    <x v="3"/>
    <n v="1"/>
    <n v="296"/>
    <n v="30"/>
    <n v="207.2"/>
    <n v="768.65"/>
    <n v="192.16249999999999"/>
    <n v="4"/>
    <s v="Low"/>
  </r>
  <r>
    <s v="ORD0893"/>
    <x v="96"/>
    <x v="245"/>
    <x v="4"/>
    <x v="4"/>
    <x v="0"/>
    <x v="4"/>
    <x v="0"/>
    <n v="1"/>
    <n v="281"/>
    <n v="27"/>
    <n v="205.13"/>
    <n v="561.45000000000005"/>
    <n v="187.15"/>
    <n v="3"/>
    <s v="Low"/>
  </r>
  <r>
    <s v="ORD0448"/>
    <x v="143"/>
    <x v="156"/>
    <x v="4"/>
    <x v="1"/>
    <x v="2"/>
    <x v="4"/>
    <x v="1"/>
    <n v="1"/>
    <n v="248"/>
    <n v="23"/>
    <n v="190.96"/>
    <n v="356.32000000000005"/>
    <n v="178.16000000000003"/>
    <n v="2"/>
    <s v="Low"/>
  </r>
  <r>
    <s v="ORD0750"/>
    <x v="58"/>
    <x v="142"/>
    <x v="1"/>
    <x v="4"/>
    <x v="2"/>
    <x v="3"/>
    <x v="3"/>
    <n v="1"/>
    <n v="212"/>
    <n v="22"/>
    <n v="165.36"/>
    <n v="165.36"/>
    <n v="165.36"/>
    <n v="1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7F9F03-5845-4C92-88C0-50EAFBFAA6A7}" name="Customer ID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4" firstHeaderRow="1" firstDataRow="1" firstDataCol="1"/>
  <pivotFields count="16">
    <pivotField showAll="0"/>
    <pivotField showAll="0"/>
    <pivotField axis="axisRow" showAll="0">
      <items count="291">
        <item x="177"/>
        <item x="230"/>
        <item x="65"/>
        <item x="122"/>
        <item x="202"/>
        <item x="30"/>
        <item x="118"/>
        <item x="124"/>
        <item x="20"/>
        <item x="236"/>
        <item x="195"/>
        <item x="253"/>
        <item x="163"/>
        <item x="2"/>
        <item x="7"/>
        <item x="61"/>
        <item x="243"/>
        <item x="128"/>
        <item x="68"/>
        <item x="117"/>
        <item x="73"/>
        <item x="149"/>
        <item x="108"/>
        <item x="258"/>
        <item x="251"/>
        <item x="18"/>
        <item x="223"/>
        <item x="181"/>
        <item x="25"/>
        <item x="272"/>
        <item x="174"/>
        <item x="97"/>
        <item x="106"/>
        <item x="219"/>
        <item x="15"/>
        <item x="233"/>
        <item x="185"/>
        <item x="34"/>
        <item x="92"/>
        <item x="252"/>
        <item x="45"/>
        <item x="22"/>
        <item x="244"/>
        <item x="286"/>
        <item x="173"/>
        <item x="66"/>
        <item x="51"/>
        <item x="153"/>
        <item x="240"/>
        <item x="114"/>
        <item x="158"/>
        <item x="285"/>
        <item x="98"/>
        <item x="103"/>
        <item x="88"/>
        <item x="24"/>
        <item x="110"/>
        <item x="154"/>
        <item x="17"/>
        <item x="268"/>
        <item x="115"/>
        <item x="218"/>
        <item x="86"/>
        <item x="189"/>
        <item x="41"/>
        <item x="83"/>
        <item x="28"/>
        <item x="166"/>
        <item x="95"/>
        <item x="261"/>
        <item x="14"/>
        <item x="194"/>
        <item x="54"/>
        <item x="12"/>
        <item x="231"/>
        <item x="151"/>
        <item x="43"/>
        <item x="82"/>
        <item x="70"/>
        <item x="165"/>
        <item x="234"/>
        <item x="288"/>
        <item x="53"/>
        <item x="212"/>
        <item x="213"/>
        <item x="134"/>
        <item x="275"/>
        <item x="193"/>
        <item x="270"/>
        <item x="273"/>
        <item x="255"/>
        <item x="168"/>
        <item x="141"/>
        <item x="136"/>
        <item x="99"/>
        <item x="152"/>
        <item x="281"/>
        <item x="52"/>
        <item x="172"/>
        <item x="105"/>
        <item x="5"/>
        <item x="19"/>
        <item x="50"/>
        <item x="100"/>
        <item x="42"/>
        <item x="8"/>
        <item x="164"/>
        <item x="210"/>
        <item x="142"/>
        <item x="74"/>
        <item x="214"/>
        <item x="224"/>
        <item x="132"/>
        <item x="248"/>
        <item x="254"/>
        <item x="102"/>
        <item x="46"/>
        <item x="144"/>
        <item x="58"/>
        <item x="63"/>
        <item x="11"/>
        <item x="21"/>
        <item x="274"/>
        <item x="183"/>
        <item x="171"/>
        <item x="162"/>
        <item x="191"/>
        <item x="36"/>
        <item x="35"/>
        <item x="196"/>
        <item x="176"/>
        <item x="282"/>
        <item x="188"/>
        <item x="109"/>
        <item x="91"/>
        <item x="40"/>
        <item x="85"/>
        <item x="190"/>
        <item x="49"/>
        <item x="247"/>
        <item x="113"/>
        <item x="67"/>
        <item x="227"/>
        <item x="170"/>
        <item x="81"/>
        <item x="47"/>
        <item x="137"/>
        <item x="79"/>
        <item x="221"/>
        <item x="57"/>
        <item x="204"/>
        <item x="123"/>
        <item x="10"/>
        <item x="93"/>
        <item x="31"/>
        <item x="55"/>
        <item x="80"/>
        <item x="3"/>
        <item x="178"/>
        <item x="104"/>
        <item x="78"/>
        <item x="169"/>
        <item x="120"/>
        <item x="211"/>
        <item x="140"/>
        <item x="200"/>
        <item x="250"/>
        <item x="121"/>
        <item x="84"/>
        <item x="266"/>
        <item x="228"/>
        <item x="160"/>
        <item x="201"/>
        <item x="89"/>
        <item x="239"/>
        <item x="259"/>
        <item x="143"/>
        <item x="180"/>
        <item x="284"/>
        <item x="278"/>
        <item x="235"/>
        <item x="156"/>
        <item x="29"/>
        <item x="241"/>
        <item x="145"/>
        <item x="283"/>
        <item x="75"/>
        <item x="111"/>
        <item x="1"/>
        <item x="265"/>
        <item x="245"/>
        <item x="226"/>
        <item x="184"/>
        <item x="264"/>
        <item x="262"/>
        <item x="287"/>
        <item x="155"/>
        <item x="205"/>
        <item x="9"/>
        <item x="130"/>
        <item x="107"/>
        <item x="192"/>
        <item x="277"/>
        <item x="256"/>
        <item x="59"/>
        <item x="39"/>
        <item x="133"/>
        <item x="48"/>
        <item x="199"/>
        <item x="27"/>
        <item x="237"/>
        <item x="16"/>
        <item x="4"/>
        <item x="276"/>
        <item x="249"/>
        <item x="44"/>
        <item x="90"/>
        <item x="179"/>
        <item x="125"/>
        <item x="206"/>
        <item x="64"/>
        <item x="37"/>
        <item x="33"/>
        <item x="271"/>
        <item x="267"/>
        <item x="225"/>
        <item x="280"/>
        <item x="96"/>
        <item x="175"/>
        <item x="260"/>
        <item x="101"/>
        <item x="56"/>
        <item x="131"/>
        <item x="0"/>
        <item x="23"/>
        <item x="203"/>
        <item x="69"/>
        <item x="215"/>
        <item x="60"/>
        <item x="6"/>
        <item x="246"/>
        <item x="77"/>
        <item x="119"/>
        <item x="186"/>
        <item x="26"/>
        <item x="71"/>
        <item x="209"/>
        <item x="129"/>
        <item x="232"/>
        <item x="208"/>
        <item x="150"/>
        <item x="289"/>
        <item x="220"/>
        <item x="161"/>
        <item x="139"/>
        <item x="76"/>
        <item x="157"/>
        <item x="198"/>
        <item x="135"/>
        <item x="13"/>
        <item x="222"/>
        <item x="263"/>
        <item x="167"/>
        <item x="87"/>
        <item x="148"/>
        <item x="38"/>
        <item x="197"/>
        <item x="182"/>
        <item x="279"/>
        <item x="159"/>
        <item x="216"/>
        <item x="62"/>
        <item x="94"/>
        <item x="72"/>
        <item x="242"/>
        <item x="147"/>
        <item x="116"/>
        <item x="112"/>
        <item x="229"/>
        <item x="187"/>
        <item x="127"/>
        <item x="238"/>
        <item x="146"/>
        <item x="269"/>
        <item x="138"/>
        <item x="207"/>
        <item x="126"/>
        <item x="257"/>
        <item x="217"/>
        <item x="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2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 t="grand">
      <x/>
    </i>
  </rowItems>
  <colItems count="1">
    <i/>
  </colItems>
  <dataFields count="1">
    <dataField name="Sum of Total_Sales" fld="1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254D67-A659-4052-8F71-02E60FE0B81A}" name="city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E17:F23" firstHeaderRow="1" firstDataRow="1" firstDataCol="1"/>
  <pivotFields count="16">
    <pivotField showAll="0"/>
    <pivotField showAll="0"/>
    <pivotField showAll="0">
      <items count="291">
        <item x="177"/>
        <item x="230"/>
        <item x="65"/>
        <item x="122"/>
        <item x="202"/>
        <item x="30"/>
        <item x="118"/>
        <item x="124"/>
        <item x="20"/>
        <item x="236"/>
        <item x="195"/>
        <item x="253"/>
        <item x="163"/>
        <item x="2"/>
        <item x="7"/>
        <item x="61"/>
        <item x="243"/>
        <item x="128"/>
        <item x="68"/>
        <item x="117"/>
        <item x="73"/>
        <item x="149"/>
        <item x="108"/>
        <item x="258"/>
        <item x="251"/>
        <item x="18"/>
        <item x="223"/>
        <item x="181"/>
        <item x="25"/>
        <item x="272"/>
        <item x="174"/>
        <item x="97"/>
        <item x="106"/>
        <item x="219"/>
        <item x="15"/>
        <item x="233"/>
        <item x="185"/>
        <item x="34"/>
        <item x="92"/>
        <item x="252"/>
        <item x="45"/>
        <item x="22"/>
        <item x="244"/>
        <item x="286"/>
        <item x="173"/>
        <item x="66"/>
        <item x="51"/>
        <item x="153"/>
        <item x="240"/>
        <item x="114"/>
        <item x="158"/>
        <item x="285"/>
        <item x="98"/>
        <item x="103"/>
        <item x="88"/>
        <item x="24"/>
        <item x="110"/>
        <item x="154"/>
        <item x="17"/>
        <item x="268"/>
        <item x="115"/>
        <item x="218"/>
        <item x="86"/>
        <item x="189"/>
        <item x="41"/>
        <item x="83"/>
        <item x="28"/>
        <item x="166"/>
        <item x="95"/>
        <item x="261"/>
        <item x="14"/>
        <item x="194"/>
        <item x="54"/>
        <item x="12"/>
        <item x="231"/>
        <item x="151"/>
        <item x="43"/>
        <item x="82"/>
        <item x="70"/>
        <item x="165"/>
        <item x="234"/>
        <item x="288"/>
        <item x="53"/>
        <item x="212"/>
        <item x="213"/>
        <item x="134"/>
        <item x="275"/>
        <item x="193"/>
        <item x="270"/>
        <item x="273"/>
        <item x="255"/>
        <item x="168"/>
        <item x="141"/>
        <item x="136"/>
        <item x="99"/>
        <item x="152"/>
        <item x="281"/>
        <item x="52"/>
        <item x="172"/>
        <item x="105"/>
        <item x="5"/>
        <item x="19"/>
        <item x="50"/>
        <item x="100"/>
        <item x="42"/>
        <item x="8"/>
        <item x="164"/>
        <item x="210"/>
        <item x="142"/>
        <item x="74"/>
        <item x="214"/>
        <item x="224"/>
        <item x="132"/>
        <item x="248"/>
        <item x="254"/>
        <item x="102"/>
        <item x="46"/>
        <item x="144"/>
        <item x="58"/>
        <item x="63"/>
        <item x="11"/>
        <item x="21"/>
        <item x="274"/>
        <item x="183"/>
        <item x="171"/>
        <item x="162"/>
        <item x="191"/>
        <item x="36"/>
        <item x="35"/>
        <item x="196"/>
        <item x="176"/>
        <item x="282"/>
        <item x="188"/>
        <item x="109"/>
        <item x="91"/>
        <item x="40"/>
        <item x="85"/>
        <item x="190"/>
        <item x="49"/>
        <item x="247"/>
        <item x="113"/>
        <item x="67"/>
        <item x="227"/>
        <item x="170"/>
        <item x="81"/>
        <item x="47"/>
        <item x="137"/>
        <item x="79"/>
        <item x="221"/>
        <item x="57"/>
        <item x="204"/>
        <item x="123"/>
        <item x="10"/>
        <item x="93"/>
        <item x="31"/>
        <item x="55"/>
        <item x="80"/>
        <item x="3"/>
        <item x="178"/>
        <item x="104"/>
        <item x="78"/>
        <item x="169"/>
        <item x="120"/>
        <item x="211"/>
        <item x="140"/>
        <item x="200"/>
        <item x="250"/>
        <item x="121"/>
        <item x="84"/>
        <item x="266"/>
        <item x="228"/>
        <item x="160"/>
        <item x="201"/>
        <item x="89"/>
        <item x="239"/>
        <item x="259"/>
        <item x="143"/>
        <item x="180"/>
        <item x="284"/>
        <item x="278"/>
        <item x="235"/>
        <item x="156"/>
        <item x="29"/>
        <item x="241"/>
        <item x="145"/>
        <item x="283"/>
        <item x="75"/>
        <item x="111"/>
        <item x="1"/>
        <item x="265"/>
        <item x="245"/>
        <item x="226"/>
        <item x="184"/>
        <item x="264"/>
        <item x="262"/>
        <item x="287"/>
        <item x="155"/>
        <item x="205"/>
        <item x="9"/>
        <item x="130"/>
        <item x="107"/>
        <item x="192"/>
        <item x="277"/>
        <item x="256"/>
        <item x="59"/>
        <item x="39"/>
        <item x="133"/>
        <item x="48"/>
        <item x="199"/>
        <item x="27"/>
        <item x="237"/>
        <item x="16"/>
        <item x="4"/>
        <item x="276"/>
        <item x="249"/>
        <item x="44"/>
        <item x="90"/>
        <item x="179"/>
        <item x="125"/>
        <item x="206"/>
        <item x="64"/>
        <item x="37"/>
        <item x="33"/>
        <item x="271"/>
        <item x="267"/>
        <item x="225"/>
        <item x="280"/>
        <item x="96"/>
        <item x="175"/>
        <item x="260"/>
        <item x="101"/>
        <item x="56"/>
        <item x="131"/>
        <item x="0"/>
        <item x="23"/>
        <item x="203"/>
        <item x="69"/>
        <item x="215"/>
        <item x="60"/>
        <item x="6"/>
        <item x="246"/>
        <item x="77"/>
        <item x="119"/>
        <item x="186"/>
        <item x="26"/>
        <item x="71"/>
        <item x="209"/>
        <item x="129"/>
        <item x="232"/>
        <item x="208"/>
        <item x="150"/>
        <item x="289"/>
        <item x="220"/>
        <item x="161"/>
        <item x="139"/>
        <item x="76"/>
        <item x="157"/>
        <item x="198"/>
        <item x="135"/>
        <item x="13"/>
        <item x="222"/>
        <item x="263"/>
        <item x="167"/>
        <item x="87"/>
        <item x="148"/>
        <item x="38"/>
        <item x="197"/>
        <item x="182"/>
        <item x="279"/>
        <item x="159"/>
        <item x="216"/>
        <item x="62"/>
        <item x="94"/>
        <item x="72"/>
        <item x="242"/>
        <item x="147"/>
        <item x="116"/>
        <item x="112"/>
        <item x="229"/>
        <item x="187"/>
        <item x="127"/>
        <item x="238"/>
        <item x="146"/>
        <item x="269"/>
        <item x="138"/>
        <item x="207"/>
        <item x="126"/>
        <item x="257"/>
        <item x="217"/>
        <item x="32"/>
        <item t="default"/>
      </items>
    </pivotField>
    <pivotField showAll="0">
      <items count="6">
        <item x="2"/>
        <item x="0"/>
        <item x="4"/>
        <item x="1"/>
        <item x="3"/>
        <item t="default"/>
      </items>
    </pivotField>
    <pivotField showAll="0">
      <items count="8">
        <item x="0"/>
        <item x="6"/>
        <item x="5"/>
        <item x="4"/>
        <item x="3"/>
        <item x="2"/>
        <item x="1"/>
        <item t="default"/>
      </items>
    </pivotField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11" baseField="0" baseItem="0" numFmtId="3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1E8461-A462-42C7-9AFA-1216BC31119A}" name="Product Name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3:E11" firstHeaderRow="1" firstDataRow="1" firstDataCol="1"/>
  <pivotFields count="16">
    <pivotField showAll="0"/>
    <pivotField showAll="0"/>
    <pivotField showAll="0">
      <items count="291">
        <item x="177"/>
        <item x="230"/>
        <item x="65"/>
        <item x="122"/>
        <item x="202"/>
        <item x="30"/>
        <item x="118"/>
        <item x="124"/>
        <item x="20"/>
        <item x="236"/>
        <item x="195"/>
        <item x="253"/>
        <item x="163"/>
        <item x="2"/>
        <item x="7"/>
        <item x="61"/>
        <item x="243"/>
        <item x="128"/>
        <item x="68"/>
        <item x="117"/>
        <item x="73"/>
        <item x="149"/>
        <item x="108"/>
        <item x="258"/>
        <item x="251"/>
        <item x="18"/>
        <item x="223"/>
        <item x="181"/>
        <item x="25"/>
        <item x="272"/>
        <item x="174"/>
        <item x="97"/>
        <item x="106"/>
        <item x="219"/>
        <item x="15"/>
        <item x="233"/>
        <item x="185"/>
        <item x="34"/>
        <item x="92"/>
        <item x="252"/>
        <item x="45"/>
        <item x="22"/>
        <item x="244"/>
        <item x="286"/>
        <item x="173"/>
        <item x="66"/>
        <item x="51"/>
        <item x="153"/>
        <item x="240"/>
        <item x="114"/>
        <item x="158"/>
        <item x="285"/>
        <item x="98"/>
        <item x="103"/>
        <item x="88"/>
        <item x="24"/>
        <item x="110"/>
        <item x="154"/>
        <item x="17"/>
        <item x="268"/>
        <item x="115"/>
        <item x="218"/>
        <item x="86"/>
        <item x="189"/>
        <item x="41"/>
        <item x="83"/>
        <item x="28"/>
        <item x="166"/>
        <item x="95"/>
        <item x="261"/>
        <item x="14"/>
        <item x="194"/>
        <item x="54"/>
        <item x="12"/>
        <item x="231"/>
        <item x="151"/>
        <item x="43"/>
        <item x="82"/>
        <item x="70"/>
        <item x="165"/>
        <item x="234"/>
        <item x="288"/>
        <item x="53"/>
        <item x="212"/>
        <item x="213"/>
        <item x="134"/>
        <item x="275"/>
        <item x="193"/>
        <item x="270"/>
        <item x="273"/>
        <item x="255"/>
        <item x="168"/>
        <item x="141"/>
        <item x="136"/>
        <item x="99"/>
        <item x="152"/>
        <item x="281"/>
        <item x="52"/>
        <item x="172"/>
        <item x="105"/>
        <item x="5"/>
        <item x="19"/>
        <item x="50"/>
        <item x="100"/>
        <item x="42"/>
        <item x="8"/>
        <item x="164"/>
        <item x="210"/>
        <item x="142"/>
        <item x="74"/>
        <item x="214"/>
        <item x="224"/>
        <item x="132"/>
        <item x="248"/>
        <item x="254"/>
        <item x="102"/>
        <item x="46"/>
        <item x="144"/>
        <item x="58"/>
        <item x="63"/>
        <item x="11"/>
        <item x="21"/>
        <item x="274"/>
        <item x="183"/>
        <item x="171"/>
        <item x="162"/>
        <item x="191"/>
        <item x="36"/>
        <item x="35"/>
        <item x="196"/>
        <item x="176"/>
        <item x="282"/>
        <item x="188"/>
        <item x="109"/>
        <item x="91"/>
        <item x="40"/>
        <item x="85"/>
        <item x="190"/>
        <item x="49"/>
        <item x="247"/>
        <item x="113"/>
        <item x="67"/>
        <item x="227"/>
        <item x="170"/>
        <item x="81"/>
        <item x="47"/>
        <item x="137"/>
        <item x="79"/>
        <item x="221"/>
        <item x="57"/>
        <item x="204"/>
        <item x="123"/>
        <item x="10"/>
        <item x="93"/>
        <item x="31"/>
        <item x="55"/>
        <item x="80"/>
        <item x="3"/>
        <item x="178"/>
        <item x="104"/>
        <item x="78"/>
        <item x="169"/>
        <item x="120"/>
        <item x="211"/>
        <item x="140"/>
        <item x="200"/>
        <item x="250"/>
        <item x="121"/>
        <item x="84"/>
        <item x="266"/>
        <item x="228"/>
        <item x="160"/>
        <item x="201"/>
        <item x="89"/>
        <item x="239"/>
        <item x="259"/>
        <item x="143"/>
        <item x="180"/>
        <item x="284"/>
        <item x="278"/>
        <item x="235"/>
        <item x="156"/>
        <item x="29"/>
        <item x="241"/>
        <item x="145"/>
        <item x="283"/>
        <item x="75"/>
        <item x="111"/>
        <item x="1"/>
        <item x="265"/>
        <item x="245"/>
        <item x="226"/>
        <item x="184"/>
        <item x="264"/>
        <item x="262"/>
        <item x="287"/>
        <item x="155"/>
        <item x="205"/>
        <item x="9"/>
        <item x="130"/>
        <item x="107"/>
        <item x="192"/>
        <item x="277"/>
        <item x="256"/>
        <item x="59"/>
        <item x="39"/>
        <item x="133"/>
        <item x="48"/>
        <item x="199"/>
        <item x="27"/>
        <item x="237"/>
        <item x="16"/>
        <item x="4"/>
        <item x="276"/>
        <item x="249"/>
        <item x="44"/>
        <item x="90"/>
        <item x="179"/>
        <item x="125"/>
        <item x="206"/>
        <item x="64"/>
        <item x="37"/>
        <item x="33"/>
        <item x="271"/>
        <item x="267"/>
        <item x="225"/>
        <item x="280"/>
        <item x="96"/>
        <item x="175"/>
        <item x="260"/>
        <item x="101"/>
        <item x="56"/>
        <item x="131"/>
        <item x="0"/>
        <item x="23"/>
        <item x="203"/>
        <item x="69"/>
        <item x="215"/>
        <item x="60"/>
        <item x="6"/>
        <item x="246"/>
        <item x="77"/>
        <item x="119"/>
        <item x="186"/>
        <item x="26"/>
        <item x="71"/>
        <item x="209"/>
        <item x="129"/>
        <item x="232"/>
        <item x="208"/>
        <item x="150"/>
        <item x="289"/>
        <item x="220"/>
        <item x="161"/>
        <item x="139"/>
        <item x="76"/>
        <item x="157"/>
        <item x="198"/>
        <item x="135"/>
        <item x="13"/>
        <item x="222"/>
        <item x="263"/>
        <item x="167"/>
        <item x="87"/>
        <item x="148"/>
        <item x="38"/>
        <item x="197"/>
        <item x="182"/>
        <item x="279"/>
        <item x="159"/>
        <item x="216"/>
        <item x="62"/>
        <item x="94"/>
        <item x="72"/>
        <item x="242"/>
        <item x="147"/>
        <item x="116"/>
        <item x="112"/>
        <item x="229"/>
        <item x="187"/>
        <item x="127"/>
        <item x="238"/>
        <item x="146"/>
        <item x="269"/>
        <item x="138"/>
        <item x="207"/>
        <item x="126"/>
        <item x="257"/>
        <item x="217"/>
        <item x="32"/>
        <item t="default"/>
      </items>
    </pivotField>
    <pivotField showAll="0"/>
    <pivotField axis="axisRow" showAll="0">
      <items count="8">
        <item x="0"/>
        <item x="6"/>
        <item x="5"/>
        <item x="4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Sales" fld="11" baseField="0" baseItem="0" numFmtId="3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C8743-C9A0-4E96-9D77-6C4F6019F264}" name="Order Date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K19:L366" firstHeaderRow="1" firstDataRow="1" firstDataCol="1"/>
  <pivotFields count="16">
    <pivotField showAll="0"/>
    <pivotField axis="axisRow" showAll="0">
      <items count="347">
        <item x="255"/>
        <item x="253"/>
        <item x="191"/>
        <item x="15"/>
        <item x="282"/>
        <item x="124"/>
        <item x="58"/>
        <item x="298"/>
        <item x="155"/>
        <item x="341"/>
        <item x="168"/>
        <item x="165"/>
        <item x="281"/>
        <item x="237"/>
        <item x="91"/>
        <item x="64"/>
        <item x="301"/>
        <item x="297"/>
        <item x="103"/>
        <item x="332"/>
        <item x="267"/>
        <item x="209"/>
        <item x="260"/>
        <item x="55"/>
        <item x="279"/>
        <item x="141"/>
        <item x="89"/>
        <item x="265"/>
        <item x="239"/>
        <item x="343"/>
        <item x="0"/>
        <item x="59"/>
        <item x="300"/>
        <item x="230"/>
        <item x="99"/>
        <item x="224"/>
        <item x="290"/>
        <item x="94"/>
        <item x="216"/>
        <item x="334"/>
        <item x="283"/>
        <item x="312"/>
        <item x="247"/>
        <item x="294"/>
        <item x="140"/>
        <item x="56"/>
        <item x="196"/>
        <item x="6"/>
        <item x="108"/>
        <item x="219"/>
        <item x="114"/>
        <item x="169"/>
        <item x="112"/>
        <item x="67"/>
        <item x="259"/>
        <item x="40"/>
        <item x="134"/>
        <item x="152"/>
        <item x="208"/>
        <item x="322"/>
        <item x="83"/>
        <item x="195"/>
        <item x="293"/>
        <item x="306"/>
        <item x="292"/>
        <item x="100"/>
        <item x="205"/>
        <item x="107"/>
        <item x="164"/>
        <item x="7"/>
        <item x="275"/>
        <item x="335"/>
        <item x="245"/>
        <item x="117"/>
        <item x="24"/>
        <item x="331"/>
        <item x="193"/>
        <item x="2"/>
        <item x="97"/>
        <item x="116"/>
        <item x="258"/>
        <item x="27"/>
        <item x="75"/>
        <item x="187"/>
        <item x="201"/>
        <item x="42"/>
        <item x="310"/>
        <item x="315"/>
        <item x="158"/>
        <item x="271"/>
        <item x="41"/>
        <item x="176"/>
        <item x="70"/>
        <item x="54"/>
        <item x="249"/>
        <item x="20"/>
        <item x="52"/>
        <item x="84"/>
        <item x="328"/>
        <item x="106"/>
        <item x="333"/>
        <item x="63"/>
        <item x="101"/>
        <item x="37"/>
        <item x="145"/>
        <item x="150"/>
        <item x="241"/>
        <item x="221"/>
        <item x="231"/>
        <item x="111"/>
        <item x="287"/>
        <item x="121"/>
        <item x="317"/>
        <item x="330"/>
        <item x="189"/>
        <item x="13"/>
        <item x="167"/>
        <item x="214"/>
        <item x="39"/>
        <item x="342"/>
        <item x="250"/>
        <item x="272"/>
        <item x="264"/>
        <item x="291"/>
        <item x="254"/>
        <item x="269"/>
        <item x="261"/>
        <item x="321"/>
        <item x="305"/>
        <item x="166"/>
        <item x="163"/>
        <item x="190"/>
        <item x="206"/>
        <item x="172"/>
        <item x="311"/>
        <item x="1"/>
        <item x="336"/>
        <item x="139"/>
        <item x="43"/>
        <item x="109"/>
        <item x="207"/>
        <item x="21"/>
        <item x="159"/>
        <item x="180"/>
        <item x="299"/>
        <item x="156"/>
        <item x="85"/>
        <item x="33"/>
        <item x="131"/>
        <item x="126"/>
        <item x="304"/>
        <item x="225"/>
        <item x="38"/>
        <item x="339"/>
        <item x="30"/>
        <item x="133"/>
        <item x="295"/>
        <item x="132"/>
        <item x="130"/>
        <item x="325"/>
        <item x="151"/>
        <item x="226"/>
        <item x="76"/>
        <item x="78"/>
        <item x="211"/>
        <item x="105"/>
        <item x="179"/>
        <item x="28"/>
        <item x="128"/>
        <item x="217"/>
        <item x="79"/>
        <item x="102"/>
        <item x="143"/>
        <item x="289"/>
        <item x="29"/>
        <item x="228"/>
        <item x="74"/>
        <item x="88"/>
        <item x="268"/>
        <item x="238"/>
        <item x="8"/>
        <item x="215"/>
        <item x="23"/>
        <item x="110"/>
        <item x="270"/>
        <item x="146"/>
        <item x="31"/>
        <item x="80"/>
        <item x="18"/>
        <item x="233"/>
        <item x="5"/>
        <item x="154"/>
        <item x="142"/>
        <item x="162"/>
        <item x="44"/>
        <item x="118"/>
        <item x="12"/>
        <item x="197"/>
        <item x="175"/>
        <item x="318"/>
        <item x="65"/>
        <item x="19"/>
        <item x="262"/>
        <item x="213"/>
        <item x="25"/>
        <item x="285"/>
        <item x="45"/>
        <item x="148"/>
        <item x="49"/>
        <item x="92"/>
        <item x="288"/>
        <item x="160"/>
        <item x="57"/>
        <item x="115"/>
        <item x="274"/>
        <item x="192"/>
        <item x="17"/>
        <item x="256"/>
        <item x="120"/>
        <item x="119"/>
        <item x="86"/>
        <item x="218"/>
        <item x="200"/>
        <item x="338"/>
        <item x="11"/>
        <item x="263"/>
        <item x="280"/>
        <item x="171"/>
        <item x="302"/>
        <item x="98"/>
        <item x="104"/>
        <item x="204"/>
        <item x="82"/>
        <item x="93"/>
        <item x="243"/>
        <item x="188"/>
        <item x="183"/>
        <item x="323"/>
        <item x="178"/>
        <item x="340"/>
        <item x="32"/>
        <item x="223"/>
        <item x="345"/>
        <item x="246"/>
        <item x="212"/>
        <item x="87"/>
        <item x="307"/>
        <item x="47"/>
        <item x="72"/>
        <item x="337"/>
        <item x="222"/>
        <item x="227"/>
        <item x="181"/>
        <item x="122"/>
        <item x="182"/>
        <item x="244"/>
        <item x="199"/>
        <item x="286"/>
        <item x="10"/>
        <item x="68"/>
        <item x="35"/>
        <item x="135"/>
        <item x="185"/>
        <item x="308"/>
        <item x="235"/>
        <item x="324"/>
        <item x="129"/>
        <item x="234"/>
        <item x="174"/>
        <item x="53"/>
        <item x="257"/>
        <item x="170"/>
        <item x="125"/>
        <item x="16"/>
        <item x="177"/>
        <item x="144"/>
        <item x="173"/>
        <item x="36"/>
        <item x="229"/>
        <item x="77"/>
        <item x="22"/>
        <item x="309"/>
        <item x="90"/>
        <item x="313"/>
        <item x="184"/>
        <item x="319"/>
        <item x="303"/>
        <item x="9"/>
        <item x="34"/>
        <item x="71"/>
        <item x="186"/>
        <item x="296"/>
        <item x="242"/>
        <item x="127"/>
        <item x="252"/>
        <item x="329"/>
        <item x="273"/>
        <item x="123"/>
        <item x="248"/>
        <item x="14"/>
        <item x="62"/>
        <item x="149"/>
        <item x="81"/>
        <item x="48"/>
        <item x="3"/>
        <item x="153"/>
        <item x="4"/>
        <item x="220"/>
        <item x="198"/>
        <item x="266"/>
        <item x="210"/>
        <item x="320"/>
        <item x="50"/>
        <item x="276"/>
        <item x="277"/>
        <item x="202"/>
        <item x="314"/>
        <item x="66"/>
        <item x="194"/>
        <item x="136"/>
        <item x="51"/>
        <item x="73"/>
        <item x="240"/>
        <item x="147"/>
        <item x="137"/>
        <item x="232"/>
        <item x="203"/>
        <item x="316"/>
        <item x="161"/>
        <item x="96"/>
        <item x="113"/>
        <item x="26"/>
        <item x="95"/>
        <item x="69"/>
        <item x="60"/>
        <item x="138"/>
        <item x="61"/>
        <item x="344"/>
        <item x="326"/>
        <item x="327"/>
        <item x="157"/>
        <item x="284"/>
        <item x="236"/>
        <item x="46"/>
        <item x="251"/>
        <item x="278"/>
        <item t="default"/>
      </items>
    </pivotField>
    <pivotField showAll="0">
      <items count="291">
        <item x="177"/>
        <item x="230"/>
        <item x="65"/>
        <item x="122"/>
        <item x="202"/>
        <item x="30"/>
        <item x="118"/>
        <item x="124"/>
        <item x="20"/>
        <item x="236"/>
        <item x="195"/>
        <item x="253"/>
        <item x="163"/>
        <item x="2"/>
        <item x="7"/>
        <item x="61"/>
        <item x="243"/>
        <item x="128"/>
        <item x="68"/>
        <item x="117"/>
        <item x="73"/>
        <item x="149"/>
        <item x="108"/>
        <item x="258"/>
        <item x="251"/>
        <item x="18"/>
        <item x="223"/>
        <item x="181"/>
        <item x="25"/>
        <item x="272"/>
        <item x="174"/>
        <item x="97"/>
        <item x="106"/>
        <item x="219"/>
        <item x="15"/>
        <item x="233"/>
        <item x="185"/>
        <item x="34"/>
        <item x="92"/>
        <item x="252"/>
        <item x="45"/>
        <item x="22"/>
        <item x="244"/>
        <item x="286"/>
        <item x="173"/>
        <item x="66"/>
        <item x="51"/>
        <item x="153"/>
        <item x="240"/>
        <item x="114"/>
        <item x="158"/>
        <item x="285"/>
        <item x="98"/>
        <item x="103"/>
        <item x="88"/>
        <item x="24"/>
        <item x="110"/>
        <item x="154"/>
        <item x="17"/>
        <item x="268"/>
        <item x="115"/>
        <item x="218"/>
        <item x="86"/>
        <item x="189"/>
        <item x="41"/>
        <item x="83"/>
        <item x="28"/>
        <item x="166"/>
        <item x="95"/>
        <item x="261"/>
        <item x="14"/>
        <item x="194"/>
        <item x="54"/>
        <item x="12"/>
        <item x="231"/>
        <item x="151"/>
        <item x="43"/>
        <item x="82"/>
        <item x="70"/>
        <item x="165"/>
        <item x="234"/>
        <item x="288"/>
        <item x="53"/>
        <item x="212"/>
        <item x="213"/>
        <item x="134"/>
        <item x="275"/>
        <item x="193"/>
        <item x="270"/>
        <item x="273"/>
        <item x="255"/>
        <item x="168"/>
        <item x="141"/>
        <item x="136"/>
        <item x="99"/>
        <item x="152"/>
        <item x="281"/>
        <item x="52"/>
        <item x="172"/>
        <item x="105"/>
        <item x="5"/>
        <item x="19"/>
        <item x="50"/>
        <item x="100"/>
        <item x="42"/>
        <item x="8"/>
        <item x="164"/>
        <item x="210"/>
        <item x="142"/>
        <item x="74"/>
        <item x="214"/>
        <item x="224"/>
        <item x="132"/>
        <item x="248"/>
        <item x="254"/>
        <item x="102"/>
        <item x="46"/>
        <item x="144"/>
        <item x="58"/>
        <item x="63"/>
        <item x="11"/>
        <item x="21"/>
        <item x="274"/>
        <item x="183"/>
        <item x="171"/>
        <item x="162"/>
        <item x="191"/>
        <item x="36"/>
        <item x="35"/>
        <item x="196"/>
        <item x="176"/>
        <item x="282"/>
        <item x="188"/>
        <item x="109"/>
        <item x="91"/>
        <item x="40"/>
        <item x="85"/>
        <item x="190"/>
        <item x="49"/>
        <item x="247"/>
        <item x="113"/>
        <item x="67"/>
        <item x="227"/>
        <item x="170"/>
        <item x="81"/>
        <item x="47"/>
        <item x="137"/>
        <item x="79"/>
        <item x="221"/>
        <item x="57"/>
        <item x="204"/>
        <item x="123"/>
        <item x="10"/>
        <item x="93"/>
        <item x="31"/>
        <item x="55"/>
        <item x="80"/>
        <item x="3"/>
        <item x="178"/>
        <item x="104"/>
        <item x="78"/>
        <item x="169"/>
        <item x="120"/>
        <item x="211"/>
        <item x="140"/>
        <item x="200"/>
        <item x="250"/>
        <item x="121"/>
        <item x="84"/>
        <item x="266"/>
        <item x="228"/>
        <item x="160"/>
        <item x="201"/>
        <item x="89"/>
        <item x="239"/>
        <item x="259"/>
        <item x="143"/>
        <item x="180"/>
        <item x="284"/>
        <item x="278"/>
        <item x="235"/>
        <item x="156"/>
        <item x="29"/>
        <item x="241"/>
        <item x="145"/>
        <item x="283"/>
        <item x="75"/>
        <item x="111"/>
        <item x="1"/>
        <item x="265"/>
        <item x="245"/>
        <item x="226"/>
        <item x="184"/>
        <item x="264"/>
        <item x="262"/>
        <item x="287"/>
        <item x="155"/>
        <item x="205"/>
        <item x="9"/>
        <item x="130"/>
        <item x="107"/>
        <item x="192"/>
        <item x="277"/>
        <item x="256"/>
        <item x="59"/>
        <item x="39"/>
        <item x="133"/>
        <item x="48"/>
        <item x="199"/>
        <item x="27"/>
        <item x="237"/>
        <item x="16"/>
        <item x="4"/>
        <item x="276"/>
        <item x="249"/>
        <item x="44"/>
        <item x="90"/>
        <item x="179"/>
        <item x="125"/>
        <item x="206"/>
        <item x="64"/>
        <item x="37"/>
        <item x="33"/>
        <item x="271"/>
        <item x="267"/>
        <item x="225"/>
        <item x="280"/>
        <item x="96"/>
        <item x="175"/>
        <item x="260"/>
        <item x="101"/>
        <item x="56"/>
        <item x="131"/>
        <item x="0"/>
        <item x="23"/>
        <item x="203"/>
        <item x="69"/>
        <item x="215"/>
        <item x="60"/>
        <item x="6"/>
        <item x="246"/>
        <item x="77"/>
        <item x="119"/>
        <item x="186"/>
        <item x="26"/>
        <item x="71"/>
        <item x="209"/>
        <item x="129"/>
        <item x="232"/>
        <item x="208"/>
        <item x="150"/>
        <item x="289"/>
        <item x="220"/>
        <item x="161"/>
        <item x="139"/>
        <item x="76"/>
        <item x="157"/>
        <item x="198"/>
        <item x="135"/>
        <item x="13"/>
        <item x="222"/>
        <item x="263"/>
        <item x="167"/>
        <item x="87"/>
        <item x="148"/>
        <item x="38"/>
        <item x="197"/>
        <item x="182"/>
        <item x="279"/>
        <item x="159"/>
        <item x="216"/>
        <item x="62"/>
        <item x="94"/>
        <item x="72"/>
        <item x="242"/>
        <item x="147"/>
        <item x="116"/>
        <item x="112"/>
        <item x="229"/>
        <item x="187"/>
        <item x="127"/>
        <item x="238"/>
        <item x="146"/>
        <item x="269"/>
        <item x="138"/>
        <item x="207"/>
        <item x="126"/>
        <item x="257"/>
        <item x="217"/>
        <item x="32"/>
        <item t="default"/>
      </items>
    </pivotField>
    <pivotField showAll="0">
      <items count="6">
        <item x="2"/>
        <item x="0"/>
        <item x="4"/>
        <item x="1"/>
        <item x="3"/>
        <item t="default"/>
      </items>
    </pivotField>
    <pivotField showAll="0">
      <items count="8">
        <item x="0"/>
        <item x="6"/>
        <item x="5"/>
        <item x="4"/>
        <item x="3"/>
        <item x="2"/>
        <item x="1"/>
        <item t="default"/>
      </items>
    </pivotField>
    <pivotField showAll="0">
      <items count="6">
        <item x="0"/>
        <item x="3"/>
        <item x="4"/>
        <item x="2"/>
        <item x="1"/>
        <item t="default"/>
      </items>
    </pivotField>
    <pivotField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3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 t="grand">
      <x/>
    </i>
  </rowItems>
  <colItems count="1">
    <i/>
  </colItems>
  <dataFields count="1">
    <dataField name="Sum of Total_Sales" fld="11" baseField="0" baseItem="0" numFmtId="3"/>
  </dataFields>
  <chartFormats count="104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8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8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8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8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8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8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8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8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8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8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8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8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8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8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8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8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8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18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18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18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18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18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18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18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18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18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18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18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18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18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18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18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18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18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18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18" format="40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18" format="4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18" format="42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18" format="43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18" format="44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18" format="45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18" format="46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18" format="47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18" format="48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18" format="49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18" format="50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18" format="51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18" format="52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18" format="53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18" format="54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18" format="55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18" format="56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18" format="57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18" format="58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18" format="59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18" format="60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18" format="61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18" format="62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18" format="63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18" format="64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18" format="65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18" format="66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18" format="67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18" format="68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18" format="69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18" format="70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18" format="71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18" format="72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18" format="73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18" format="74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18" format="75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18" format="76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18" format="77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18" format="78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18" format="79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18" format="80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18" format="81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  <chartFormat chart="18" format="82">
      <pivotArea type="data" outline="0" fieldPosition="0">
        <references count="2">
          <reference field="4294967294" count="1" selected="0">
            <x v="0"/>
          </reference>
          <reference field="1" count="1" selected="0">
            <x v="80"/>
          </reference>
        </references>
      </pivotArea>
    </chartFormat>
    <chartFormat chart="18" format="83">
      <pivotArea type="data" outline="0" fieldPosition="0">
        <references count="2">
          <reference field="4294967294" count="1" selected="0">
            <x v="0"/>
          </reference>
          <reference field="1" count="1" selected="0">
            <x v="81"/>
          </reference>
        </references>
      </pivotArea>
    </chartFormat>
    <chartFormat chart="18" format="84">
      <pivotArea type="data" outline="0" fieldPosition="0">
        <references count="2">
          <reference field="4294967294" count="1" selected="0">
            <x v="0"/>
          </reference>
          <reference field="1" count="1" selected="0">
            <x v="82"/>
          </reference>
        </references>
      </pivotArea>
    </chartFormat>
    <chartFormat chart="18" format="85">
      <pivotArea type="data" outline="0" fieldPosition="0">
        <references count="2">
          <reference field="4294967294" count="1" selected="0">
            <x v="0"/>
          </reference>
          <reference field="1" count="1" selected="0">
            <x v="83"/>
          </reference>
        </references>
      </pivotArea>
    </chartFormat>
    <chartFormat chart="18" format="86">
      <pivotArea type="data" outline="0" fieldPosition="0">
        <references count="2">
          <reference field="4294967294" count="1" selected="0">
            <x v="0"/>
          </reference>
          <reference field="1" count="1" selected="0">
            <x v="84"/>
          </reference>
        </references>
      </pivotArea>
    </chartFormat>
    <chartFormat chart="18" format="87">
      <pivotArea type="data" outline="0" fieldPosition="0">
        <references count="2">
          <reference field="4294967294" count="1" selected="0">
            <x v="0"/>
          </reference>
          <reference field="1" count="1" selected="0">
            <x v="85"/>
          </reference>
        </references>
      </pivotArea>
    </chartFormat>
    <chartFormat chart="18" format="88">
      <pivotArea type="data" outline="0" fieldPosition="0">
        <references count="2">
          <reference field="4294967294" count="1" selected="0">
            <x v="0"/>
          </reference>
          <reference field="1" count="1" selected="0">
            <x v="86"/>
          </reference>
        </references>
      </pivotArea>
    </chartFormat>
    <chartFormat chart="18" format="89">
      <pivotArea type="data" outline="0" fieldPosition="0">
        <references count="2">
          <reference field="4294967294" count="1" selected="0">
            <x v="0"/>
          </reference>
          <reference field="1" count="1" selected="0">
            <x v="87"/>
          </reference>
        </references>
      </pivotArea>
    </chartFormat>
    <chartFormat chart="18" format="90">
      <pivotArea type="data" outline="0" fieldPosition="0">
        <references count="2">
          <reference field="4294967294" count="1" selected="0">
            <x v="0"/>
          </reference>
          <reference field="1" count="1" selected="0">
            <x v="88"/>
          </reference>
        </references>
      </pivotArea>
    </chartFormat>
    <chartFormat chart="18" format="91">
      <pivotArea type="data" outline="0" fieldPosition="0">
        <references count="2">
          <reference field="4294967294" count="1" selected="0">
            <x v="0"/>
          </reference>
          <reference field="1" count="1" selected="0">
            <x v="89"/>
          </reference>
        </references>
      </pivotArea>
    </chartFormat>
    <chartFormat chart="18" format="92">
      <pivotArea type="data" outline="0" fieldPosition="0">
        <references count="2">
          <reference field="4294967294" count="1" selected="0">
            <x v="0"/>
          </reference>
          <reference field="1" count="1" selected="0">
            <x v="90"/>
          </reference>
        </references>
      </pivotArea>
    </chartFormat>
    <chartFormat chart="18" format="93">
      <pivotArea type="data" outline="0" fieldPosition="0">
        <references count="2">
          <reference field="4294967294" count="1" selected="0">
            <x v="0"/>
          </reference>
          <reference field="1" count="1" selected="0">
            <x v="91"/>
          </reference>
        </references>
      </pivotArea>
    </chartFormat>
    <chartFormat chart="18" format="94">
      <pivotArea type="data" outline="0" fieldPosition="0">
        <references count="2">
          <reference field="4294967294" count="1" selected="0">
            <x v="0"/>
          </reference>
          <reference field="1" count="1" selected="0">
            <x v="92"/>
          </reference>
        </references>
      </pivotArea>
    </chartFormat>
    <chartFormat chart="18" format="95">
      <pivotArea type="data" outline="0" fieldPosition="0">
        <references count="2">
          <reference field="4294967294" count="1" selected="0">
            <x v="0"/>
          </reference>
          <reference field="1" count="1" selected="0">
            <x v="93"/>
          </reference>
        </references>
      </pivotArea>
    </chartFormat>
    <chartFormat chart="18" format="96">
      <pivotArea type="data" outline="0" fieldPosition="0">
        <references count="2">
          <reference field="4294967294" count="1" selected="0">
            <x v="0"/>
          </reference>
          <reference field="1" count="1" selected="0">
            <x v="94"/>
          </reference>
        </references>
      </pivotArea>
    </chartFormat>
    <chartFormat chart="18" format="97">
      <pivotArea type="data" outline="0" fieldPosition="0">
        <references count="2">
          <reference field="4294967294" count="1" selected="0">
            <x v="0"/>
          </reference>
          <reference field="1" count="1" selected="0">
            <x v="95"/>
          </reference>
        </references>
      </pivotArea>
    </chartFormat>
    <chartFormat chart="18" format="98">
      <pivotArea type="data" outline="0" fieldPosition="0">
        <references count="2">
          <reference field="4294967294" count="1" selected="0">
            <x v="0"/>
          </reference>
          <reference field="1" count="1" selected="0">
            <x v="96"/>
          </reference>
        </references>
      </pivotArea>
    </chartFormat>
    <chartFormat chart="18" format="99">
      <pivotArea type="data" outline="0" fieldPosition="0">
        <references count="2">
          <reference field="4294967294" count="1" selected="0">
            <x v="0"/>
          </reference>
          <reference field="1" count="1" selected="0">
            <x v="97"/>
          </reference>
        </references>
      </pivotArea>
    </chartFormat>
    <chartFormat chart="18" format="100">
      <pivotArea type="data" outline="0" fieldPosition="0">
        <references count="2">
          <reference field="4294967294" count="1" selected="0">
            <x v="0"/>
          </reference>
          <reference field="1" count="1" selected="0">
            <x v="98"/>
          </reference>
        </references>
      </pivotArea>
    </chartFormat>
    <chartFormat chart="18" format="101">
      <pivotArea type="data" outline="0" fieldPosition="0">
        <references count="2">
          <reference field="4294967294" count="1" selected="0">
            <x v="0"/>
          </reference>
          <reference field="1" count="1" selected="0">
            <x v="99"/>
          </reference>
        </references>
      </pivotArea>
    </chartFormat>
    <chartFormat chart="18" format="102">
      <pivotArea type="data" outline="0" fieldPosition="0">
        <references count="2">
          <reference field="4294967294" count="1" selected="0">
            <x v="0"/>
          </reference>
          <reference field="1" count="1" selected="0">
            <x v="100"/>
          </reference>
        </references>
      </pivotArea>
    </chartFormat>
    <chartFormat chart="18" format="103">
      <pivotArea type="data" outline="0" fieldPosition="0">
        <references count="2">
          <reference field="4294967294" count="1" selected="0">
            <x v="0"/>
          </reference>
          <reference field="1" count="1" selected="0">
            <x v="101"/>
          </reference>
        </references>
      </pivotArea>
    </chartFormat>
    <chartFormat chart="18" format="104">
      <pivotArea type="data" outline="0" fieldPosition="0">
        <references count="2">
          <reference field="4294967294" count="1" selected="0">
            <x v="0"/>
          </reference>
          <reference field="1" count="1" selected="0">
            <x v="102"/>
          </reference>
        </references>
      </pivotArea>
    </chartFormat>
    <chartFormat chart="18" format="105">
      <pivotArea type="data" outline="0" fieldPosition="0">
        <references count="2">
          <reference field="4294967294" count="1" selected="0">
            <x v="0"/>
          </reference>
          <reference field="1" count="1" selected="0">
            <x v="103"/>
          </reference>
        </references>
      </pivotArea>
    </chartFormat>
    <chartFormat chart="18" format="106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"/>
          </reference>
        </references>
      </pivotArea>
    </chartFormat>
    <chartFormat chart="18" format="107">
      <pivotArea type="data" outline="0" fieldPosition="0">
        <references count="2">
          <reference field="4294967294" count="1" selected="0">
            <x v="0"/>
          </reference>
          <reference field="1" count="1" selected="0">
            <x v="105"/>
          </reference>
        </references>
      </pivotArea>
    </chartFormat>
    <chartFormat chart="18" format="108">
      <pivotArea type="data" outline="0" fieldPosition="0">
        <references count="2">
          <reference field="4294967294" count="1" selected="0">
            <x v="0"/>
          </reference>
          <reference field="1" count="1" selected="0">
            <x v="106"/>
          </reference>
        </references>
      </pivotArea>
    </chartFormat>
    <chartFormat chart="18" format="109">
      <pivotArea type="data" outline="0" fieldPosition="0">
        <references count="2">
          <reference field="4294967294" count="1" selected="0">
            <x v="0"/>
          </reference>
          <reference field="1" count="1" selected="0">
            <x v="107"/>
          </reference>
        </references>
      </pivotArea>
    </chartFormat>
    <chartFormat chart="18" format="1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08"/>
          </reference>
        </references>
      </pivotArea>
    </chartFormat>
    <chartFormat chart="18" format="1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9"/>
          </reference>
        </references>
      </pivotArea>
    </chartFormat>
    <chartFormat chart="18" format="1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0"/>
          </reference>
        </references>
      </pivotArea>
    </chartFormat>
    <chartFormat chart="18" format="1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11"/>
          </reference>
        </references>
      </pivotArea>
    </chartFormat>
    <chartFormat chart="18" format="1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12"/>
          </reference>
        </references>
      </pivotArea>
    </chartFormat>
    <chartFormat chart="18" format="1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13"/>
          </reference>
        </references>
      </pivotArea>
    </chartFormat>
    <chartFormat chart="18" format="1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14"/>
          </reference>
        </references>
      </pivotArea>
    </chartFormat>
    <chartFormat chart="18" format="1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15"/>
          </reference>
        </references>
      </pivotArea>
    </chartFormat>
    <chartFormat chart="18" format="1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16"/>
          </reference>
        </references>
      </pivotArea>
    </chartFormat>
    <chartFormat chart="18" format="119">
      <pivotArea type="data" outline="0" fieldPosition="0">
        <references count="2">
          <reference field="4294967294" count="1" selected="0">
            <x v="0"/>
          </reference>
          <reference field="1" count="1" selected="0">
            <x v="117"/>
          </reference>
        </references>
      </pivotArea>
    </chartFormat>
    <chartFormat chart="18" format="120">
      <pivotArea type="data" outline="0" fieldPosition="0">
        <references count="2">
          <reference field="4294967294" count="1" selected="0">
            <x v="0"/>
          </reference>
          <reference field="1" count="1" selected="0">
            <x v="118"/>
          </reference>
        </references>
      </pivotArea>
    </chartFormat>
    <chartFormat chart="18" format="1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9"/>
          </reference>
        </references>
      </pivotArea>
    </chartFormat>
    <chartFormat chart="18" format="122">
      <pivotArea type="data" outline="0" fieldPosition="0">
        <references count="2">
          <reference field="4294967294" count="1" selected="0">
            <x v="0"/>
          </reference>
          <reference field="1" count="1" selected="0">
            <x v="120"/>
          </reference>
        </references>
      </pivotArea>
    </chartFormat>
    <chartFormat chart="18" format="123">
      <pivotArea type="data" outline="0" fieldPosition="0">
        <references count="2">
          <reference field="4294967294" count="1" selected="0">
            <x v="0"/>
          </reference>
          <reference field="1" count="1" selected="0">
            <x v="121"/>
          </reference>
        </references>
      </pivotArea>
    </chartFormat>
    <chartFormat chart="18" format="1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22"/>
          </reference>
        </references>
      </pivotArea>
    </chartFormat>
    <chartFormat chart="18" format="125">
      <pivotArea type="data" outline="0" fieldPosition="0">
        <references count="2">
          <reference field="4294967294" count="1" selected="0">
            <x v="0"/>
          </reference>
          <reference field="1" count="1" selected="0">
            <x v="123"/>
          </reference>
        </references>
      </pivotArea>
    </chartFormat>
    <chartFormat chart="18" format="126">
      <pivotArea type="data" outline="0" fieldPosition="0">
        <references count="2">
          <reference field="4294967294" count="1" selected="0">
            <x v="0"/>
          </reference>
          <reference field="1" count="1" selected="0">
            <x v="124"/>
          </reference>
        </references>
      </pivotArea>
    </chartFormat>
    <chartFormat chart="18" format="127">
      <pivotArea type="data" outline="0" fieldPosition="0">
        <references count="2">
          <reference field="4294967294" count="1" selected="0">
            <x v="0"/>
          </reference>
          <reference field="1" count="1" selected="0">
            <x v="125"/>
          </reference>
        </references>
      </pivotArea>
    </chartFormat>
    <chartFormat chart="18" format="128">
      <pivotArea type="data" outline="0" fieldPosition="0">
        <references count="2">
          <reference field="4294967294" count="1" selected="0">
            <x v="0"/>
          </reference>
          <reference field="1" count="1" selected="0">
            <x v="126"/>
          </reference>
        </references>
      </pivotArea>
    </chartFormat>
    <chartFormat chart="18" format="129">
      <pivotArea type="data" outline="0" fieldPosition="0">
        <references count="2">
          <reference field="4294967294" count="1" selected="0">
            <x v="0"/>
          </reference>
          <reference field="1" count="1" selected="0">
            <x v="127"/>
          </reference>
        </references>
      </pivotArea>
    </chartFormat>
    <chartFormat chart="18" format="130">
      <pivotArea type="data" outline="0" fieldPosition="0">
        <references count="2">
          <reference field="4294967294" count="1" selected="0">
            <x v="0"/>
          </reference>
          <reference field="1" count="1" selected="0">
            <x v="128"/>
          </reference>
        </references>
      </pivotArea>
    </chartFormat>
    <chartFormat chart="18" format="13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9"/>
          </reference>
        </references>
      </pivotArea>
    </chartFormat>
    <chartFormat chart="18" format="132">
      <pivotArea type="data" outline="0" fieldPosition="0">
        <references count="2">
          <reference field="4294967294" count="1" selected="0">
            <x v="0"/>
          </reference>
          <reference field="1" count="1" selected="0">
            <x v="130"/>
          </reference>
        </references>
      </pivotArea>
    </chartFormat>
    <chartFormat chart="18" format="133">
      <pivotArea type="data" outline="0" fieldPosition="0">
        <references count="2">
          <reference field="4294967294" count="1" selected="0">
            <x v="0"/>
          </reference>
          <reference field="1" count="1" selected="0">
            <x v="131"/>
          </reference>
        </references>
      </pivotArea>
    </chartFormat>
    <chartFormat chart="18" format="134">
      <pivotArea type="data" outline="0" fieldPosition="0">
        <references count="2">
          <reference field="4294967294" count="1" selected="0">
            <x v="0"/>
          </reference>
          <reference field="1" count="1" selected="0">
            <x v="132"/>
          </reference>
        </references>
      </pivotArea>
    </chartFormat>
    <chartFormat chart="18" format="135">
      <pivotArea type="data" outline="0" fieldPosition="0">
        <references count="2">
          <reference field="4294967294" count="1" selected="0">
            <x v="0"/>
          </reference>
          <reference field="1" count="1" selected="0">
            <x v="133"/>
          </reference>
        </references>
      </pivotArea>
    </chartFormat>
    <chartFormat chart="18" format="136">
      <pivotArea type="data" outline="0" fieldPosition="0">
        <references count="2">
          <reference field="4294967294" count="1" selected="0">
            <x v="0"/>
          </reference>
          <reference field="1" count="1" selected="0">
            <x v="134"/>
          </reference>
        </references>
      </pivotArea>
    </chartFormat>
    <chartFormat chart="18" format="137">
      <pivotArea type="data" outline="0" fieldPosition="0">
        <references count="2">
          <reference field="4294967294" count="1" selected="0">
            <x v="0"/>
          </reference>
          <reference field="1" count="1" selected="0">
            <x v="135"/>
          </reference>
        </references>
      </pivotArea>
    </chartFormat>
    <chartFormat chart="18" format="138">
      <pivotArea type="data" outline="0" fieldPosition="0">
        <references count="2">
          <reference field="4294967294" count="1" selected="0">
            <x v="0"/>
          </reference>
          <reference field="1" count="1" selected="0">
            <x v="136"/>
          </reference>
        </references>
      </pivotArea>
    </chartFormat>
    <chartFormat chart="18" format="139">
      <pivotArea type="data" outline="0" fieldPosition="0">
        <references count="2">
          <reference field="4294967294" count="1" selected="0">
            <x v="0"/>
          </reference>
          <reference field="1" count="1" selected="0">
            <x v="137"/>
          </reference>
        </references>
      </pivotArea>
    </chartFormat>
    <chartFormat chart="18" format="140">
      <pivotArea type="data" outline="0" fieldPosition="0">
        <references count="2">
          <reference field="4294967294" count="1" selected="0">
            <x v="0"/>
          </reference>
          <reference field="1" count="1" selected="0">
            <x v="138"/>
          </reference>
        </references>
      </pivotArea>
    </chartFormat>
    <chartFormat chart="18" format="14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9"/>
          </reference>
        </references>
      </pivotArea>
    </chartFormat>
    <chartFormat chart="18" format="142">
      <pivotArea type="data" outline="0" fieldPosition="0">
        <references count="2">
          <reference field="4294967294" count="1" selected="0">
            <x v="0"/>
          </reference>
          <reference field="1" count="1" selected="0">
            <x v="140"/>
          </reference>
        </references>
      </pivotArea>
    </chartFormat>
    <chartFormat chart="18" format="143">
      <pivotArea type="data" outline="0" fieldPosition="0">
        <references count="2">
          <reference field="4294967294" count="1" selected="0">
            <x v="0"/>
          </reference>
          <reference field="1" count="1" selected="0">
            <x v="141"/>
          </reference>
        </references>
      </pivotArea>
    </chartFormat>
    <chartFormat chart="18" format="144">
      <pivotArea type="data" outline="0" fieldPosition="0">
        <references count="2">
          <reference field="4294967294" count="1" selected="0">
            <x v="0"/>
          </reference>
          <reference field="1" count="1" selected="0">
            <x v="142"/>
          </reference>
        </references>
      </pivotArea>
    </chartFormat>
    <chartFormat chart="18" format="14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3"/>
          </reference>
        </references>
      </pivotArea>
    </chartFormat>
    <chartFormat chart="18" format="146">
      <pivotArea type="data" outline="0" fieldPosition="0">
        <references count="2">
          <reference field="4294967294" count="1" selected="0">
            <x v="0"/>
          </reference>
          <reference field="1" count="1" selected="0">
            <x v="144"/>
          </reference>
        </references>
      </pivotArea>
    </chartFormat>
    <chartFormat chart="18" format="147">
      <pivotArea type="data" outline="0" fieldPosition="0">
        <references count="2">
          <reference field="4294967294" count="1" selected="0">
            <x v="0"/>
          </reference>
          <reference field="1" count="1" selected="0">
            <x v="145"/>
          </reference>
        </references>
      </pivotArea>
    </chartFormat>
    <chartFormat chart="18" format="148">
      <pivotArea type="data" outline="0" fieldPosition="0">
        <references count="2">
          <reference field="4294967294" count="1" selected="0">
            <x v="0"/>
          </reference>
          <reference field="1" count="1" selected="0">
            <x v="146"/>
          </reference>
        </references>
      </pivotArea>
    </chartFormat>
    <chartFormat chart="18" format="149">
      <pivotArea type="data" outline="0" fieldPosition="0">
        <references count="2">
          <reference field="4294967294" count="1" selected="0">
            <x v="0"/>
          </reference>
          <reference field="1" count="1" selected="0">
            <x v="147"/>
          </reference>
        </references>
      </pivotArea>
    </chartFormat>
    <chartFormat chart="18" format="150">
      <pivotArea type="data" outline="0" fieldPosition="0">
        <references count="2">
          <reference field="4294967294" count="1" selected="0">
            <x v="0"/>
          </reference>
          <reference field="1" count="1" selected="0">
            <x v="148"/>
          </reference>
        </references>
      </pivotArea>
    </chartFormat>
    <chartFormat chart="18" format="15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9"/>
          </reference>
        </references>
      </pivotArea>
    </chartFormat>
    <chartFormat chart="18" format="152">
      <pivotArea type="data" outline="0" fieldPosition="0">
        <references count="2">
          <reference field="4294967294" count="1" selected="0">
            <x v="0"/>
          </reference>
          <reference field="1" count="1" selected="0">
            <x v="150"/>
          </reference>
        </references>
      </pivotArea>
    </chartFormat>
    <chartFormat chart="18" format="153">
      <pivotArea type="data" outline="0" fieldPosition="0">
        <references count="2">
          <reference field="4294967294" count="1" selected="0">
            <x v="0"/>
          </reference>
          <reference field="1" count="1" selected="0">
            <x v="151"/>
          </reference>
        </references>
      </pivotArea>
    </chartFormat>
    <chartFormat chart="18" format="154">
      <pivotArea type="data" outline="0" fieldPosition="0">
        <references count="2">
          <reference field="4294967294" count="1" selected="0">
            <x v="0"/>
          </reference>
          <reference field="1" count="1" selected="0">
            <x v="152"/>
          </reference>
        </references>
      </pivotArea>
    </chartFormat>
    <chartFormat chart="18" format="155">
      <pivotArea type="data" outline="0" fieldPosition="0">
        <references count="2">
          <reference field="4294967294" count="1" selected="0">
            <x v="0"/>
          </reference>
          <reference field="1" count="1" selected="0">
            <x v="153"/>
          </reference>
        </references>
      </pivotArea>
    </chartFormat>
    <chartFormat chart="18" format="156">
      <pivotArea type="data" outline="0" fieldPosition="0">
        <references count="2">
          <reference field="4294967294" count="1" selected="0">
            <x v="0"/>
          </reference>
          <reference field="1" count="1" selected="0">
            <x v="154"/>
          </reference>
        </references>
      </pivotArea>
    </chartFormat>
    <chartFormat chart="18" format="157">
      <pivotArea type="data" outline="0" fieldPosition="0">
        <references count="2">
          <reference field="4294967294" count="1" selected="0">
            <x v="0"/>
          </reference>
          <reference field="1" count="1" selected="0">
            <x v="155"/>
          </reference>
        </references>
      </pivotArea>
    </chartFormat>
    <chartFormat chart="18" format="158">
      <pivotArea type="data" outline="0" fieldPosition="0">
        <references count="2">
          <reference field="4294967294" count="1" selected="0">
            <x v="0"/>
          </reference>
          <reference field="1" count="1" selected="0">
            <x v="156"/>
          </reference>
        </references>
      </pivotArea>
    </chartFormat>
    <chartFormat chart="18" format="159">
      <pivotArea type="data" outline="0" fieldPosition="0">
        <references count="2">
          <reference field="4294967294" count="1" selected="0">
            <x v="0"/>
          </reference>
          <reference field="1" count="1" selected="0">
            <x v="157"/>
          </reference>
        </references>
      </pivotArea>
    </chartFormat>
    <chartFormat chart="18" format="160">
      <pivotArea type="data" outline="0" fieldPosition="0">
        <references count="2">
          <reference field="4294967294" count="1" selected="0">
            <x v="0"/>
          </reference>
          <reference field="1" count="1" selected="0">
            <x v="158"/>
          </reference>
        </references>
      </pivotArea>
    </chartFormat>
    <chartFormat chart="18" format="16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9"/>
          </reference>
        </references>
      </pivotArea>
    </chartFormat>
    <chartFormat chart="18" format="162">
      <pivotArea type="data" outline="0" fieldPosition="0">
        <references count="2">
          <reference field="4294967294" count="1" selected="0">
            <x v="0"/>
          </reference>
          <reference field="1" count="1" selected="0">
            <x v="160"/>
          </reference>
        </references>
      </pivotArea>
    </chartFormat>
    <chartFormat chart="18" format="163">
      <pivotArea type="data" outline="0" fieldPosition="0">
        <references count="2">
          <reference field="4294967294" count="1" selected="0">
            <x v="0"/>
          </reference>
          <reference field="1" count="1" selected="0">
            <x v="161"/>
          </reference>
        </references>
      </pivotArea>
    </chartFormat>
    <chartFormat chart="18" format="164">
      <pivotArea type="data" outline="0" fieldPosition="0">
        <references count="2">
          <reference field="4294967294" count="1" selected="0">
            <x v="0"/>
          </reference>
          <reference field="1" count="1" selected="0">
            <x v="162"/>
          </reference>
        </references>
      </pivotArea>
    </chartFormat>
    <chartFormat chart="18" format="165">
      <pivotArea type="data" outline="0" fieldPosition="0">
        <references count="2">
          <reference field="4294967294" count="1" selected="0">
            <x v="0"/>
          </reference>
          <reference field="1" count="1" selected="0">
            <x v="163"/>
          </reference>
        </references>
      </pivotArea>
    </chartFormat>
    <chartFormat chart="18" format="166">
      <pivotArea type="data" outline="0" fieldPosition="0">
        <references count="2">
          <reference field="4294967294" count="1" selected="0">
            <x v="0"/>
          </reference>
          <reference field="1" count="1" selected="0">
            <x v="164"/>
          </reference>
        </references>
      </pivotArea>
    </chartFormat>
    <chartFormat chart="18" format="167">
      <pivotArea type="data" outline="0" fieldPosition="0">
        <references count="2">
          <reference field="4294967294" count="1" selected="0">
            <x v="0"/>
          </reference>
          <reference field="1" count="1" selected="0">
            <x v="165"/>
          </reference>
        </references>
      </pivotArea>
    </chartFormat>
    <chartFormat chart="18" format="168">
      <pivotArea type="data" outline="0" fieldPosition="0">
        <references count="2">
          <reference field="4294967294" count="1" selected="0">
            <x v="0"/>
          </reference>
          <reference field="1" count="1" selected="0">
            <x v="166"/>
          </reference>
        </references>
      </pivotArea>
    </chartFormat>
    <chartFormat chart="18" format="169">
      <pivotArea type="data" outline="0" fieldPosition="0">
        <references count="2">
          <reference field="4294967294" count="1" selected="0">
            <x v="0"/>
          </reference>
          <reference field="1" count="1" selected="0">
            <x v="167"/>
          </reference>
        </references>
      </pivotArea>
    </chartFormat>
    <chartFormat chart="18" format="170">
      <pivotArea type="data" outline="0" fieldPosition="0">
        <references count="2">
          <reference field="4294967294" count="1" selected="0">
            <x v="0"/>
          </reference>
          <reference field="1" count="1" selected="0">
            <x v="168"/>
          </reference>
        </references>
      </pivotArea>
    </chartFormat>
    <chartFormat chart="18" format="17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9"/>
          </reference>
        </references>
      </pivotArea>
    </chartFormat>
    <chartFormat chart="18" format="172">
      <pivotArea type="data" outline="0" fieldPosition="0">
        <references count="2">
          <reference field="4294967294" count="1" selected="0">
            <x v="0"/>
          </reference>
          <reference field="1" count="1" selected="0">
            <x v="170"/>
          </reference>
        </references>
      </pivotArea>
    </chartFormat>
    <chartFormat chart="18" format="173">
      <pivotArea type="data" outline="0" fieldPosition="0">
        <references count="2">
          <reference field="4294967294" count="1" selected="0">
            <x v="0"/>
          </reference>
          <reference field="1" count="1" selected="0">
            <x v="171"/>
          </reference>
        </references>
      </pivotArea>
    </chartFormat>
    <chartFormat chart="18" format="174">
      <pivotArea type="data" outline="0" fieldPosition="0">
        <references count="2">
          <reference field="4294967294" count="1" selected="0">
            <x v="0"/>
          </reference>
          <reference field="1" count="1" selected="0">
            <x v="172"/>
          </reference>
        </references>
      </pivotArea>
    </chartFormat>
    <chartFormat chart="18" format="175">
      <pivotArea type="data" outline="0" fieldPosition="0">
        <references count="2">
          <reference field="4294967294" count="1" selected="0">
            <x v="0"/>
          </reference>
          <reference field="1" count="1" selected="0">
            <x v="173"/>
          </reference>
        </references>
      </pivotArea>
    </chartFormat>
    <chartFormat chart="18" format="176">
      <pivotArea type="data" outline="0" fieldPosition="0">
        <references count="2">
          <reference field="4294967294" count="1" selected="0">
            <x v="0"/>
          </reference>
          <reference field="1" count="1" selected="0">
            <x v="174"/>
          </reference>
        </references>
      </pivotArea>
    </chartFormat>
    <chartFormat chart="18" format="177">
      <pivotArea type="data" outline="0" fieldPosition="0">
        <references count="2">
          <reference field="4294967294" count="1" selected="0">
            <x v="0"/>
          </reference>
          <reference field="1" count="1" selected="0">
            <x v="175"/>
          </reference>
        </references>
      </pivotArea>
    </chartFormat>
    <chartFormat chart="18" format="178">
      <pivotArea type="data" outline="0" fieldPosition="0">
        <references count="2">
          <reference field="4294967294" count="1" selected="0">
            <x v="0"/>
          </reference>
          <reference field="1" count="1" selected="0">
            <x v="176"/>
          </reference>
        </references>
      </pivotArea>
    </chartFormat>
    <chartFormat chart="18" format="179">
      <pivotArea type="data" outline="0" fieldPosition="0">
        <references count="2">
          <reference field="4294967294" count="1" selected="0">
            <x v="0"/>
          </reference>
          <reference field="1" count="1" selected="0">
            <x v="177"/>
          </reference>
        </references>
      </pivotArea>
    </chartFormat>
    <chartFormat chart="18" format="180">
      <pivotArea type="data" outline="0" fieldPosition="0">
        <references count="2">
          <reference field="4294967294" count="1" selected="0">
            <x v="0"/>
          </reference>
          <reference field="1" count="1" selected="0">
            <x v="178"/>
          </reference>
        </references>
      </pivotArea>
    </chartFormat>
    <chartFormat chart="18" format="18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9"/>
          </reference>
        </references>
      </pivotArea>
    </chartFormat>
    <chartFormat chart="18" format="182">
      <pivotArea type="data" outline="0" fieldPosition="0">
        <references count="2">
          <reference field="4294967294" count="1" selected="0">
            <x v="0"/>
          </reference>
          <reference field="1" count="1" selected="0">
            <x v="180"/>
          </reference>
        </references>
      </pivotArea>
    </chartFormat>
    <chartFormat chart="18" format="183">
      <pivotArea type="data" outline="0" fieldPosition="0">
        <references count="2">
          <reference field="4294967294" count="1" selected="0">
            <x v="0"/>
          </reference>
          <reference field="1" count="1" selected="0">
            <x v="181"/>
          </reference>
        </references>
      </pivotArea>
    </chartFormat>
    <chartFormat chart="18" format="184">
      <pivotArea type="data" outline="0" fieldPosition="0">
        <references count="2">
          <reference field="4294967294" count="1" selected="0">
            <x v="0"/>
          </reference>
          <reference field="1" count="1" selected="0">
            <x v="182"/>
          </reference>
        </references>
      </pivotArea>
    </chartFormat>
    <chartFormat chart="18" format="185">
      <pivotArea type="data" outline="0" fieldPosition="0">
        <references count="2">
          <reference field="4294967294" count="1" selected="0">
            <x v="0"/>
          </reference>
          <reference field="1" count="1" selected="0">
            <x v="183"/>
          </reference>
        </references>
      </pivotArea>
    </chartFormat>
    <chartFormat chart="18" format="186">
      <pivotArea type="data" outline="0" fieldPosition="0">
        <references count="2">
          <reference field="4294967294" count="1" selected="0">
            <x v="0"/>
          </reference>
          <reference field="1" count="1" selected="0">
            <x v="184"/>
          </reference>
        </references>
      </pivotArea>
    </chartFormat>
    <chartFormat chart="18" format="187">
      <pivotArea type="data" outline="0" fieldPosition="0">
        <references count="2">
          <reference field="4294967294" count="1" selected="0">
            <x v="0"/>
          </reference>
          <reference field="1" count="1" selected="0">
            <x v="185"/>
          </reference>
        </references>
      </pivotArea>
    </chartFormat>
    <chartFormat chart="18" format="188">
      <pivotArea type="data" outline="0" fieldPosition="0">
        <references count="2">
          <reference field="4294967294" count="1" selected="0">
            <x v="0"/>
          </reference>
          <reference field="1" count="1" selected="0">
            <x v="186"/>
          </reference>
        </references>
      </pivotArea>
    </chartFormat>
    <chartFormat chart="18" format="189">
      <pivotArea type="data" outline="0" fieldPosition="0">
        <references count="2">
          <reference field="4294967294" count="1" selected="0">
            <x v="0"/>
          </reference>
          <reference field="1" count="1" selected="0">
            <x v="187"/>
          </reference>
        </references>
      </pivotArea>
    </chartFormat>
    <chartFormat chart="18" format="190">
      <pivotArea type="data" outline="0" fieldPosition="0">
        <references count="2">
          <reference field="4294967294" count="1" selected="0">
            <x v="0"/>
          </reference>
          <reference field="1" count="1" selected="0">
            <x v="188"/>
          </reference>
        </references>
      </pivotArea>
    </chartFormat>
    <chartFormat chart="18" format="19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9"/>
          </reference>
        </references>
      </pivotArea>
    </chartFormat>
    <chartFormat chart="18" format="192">
      <pivotArea type="data" outline="0" fieldPosition="0">
        <references count="2">
          <reference field="4294967294" count="1" selected="0">
            <x v="0"/>
          </reference>
          <reference field="1" count="1" selected="0">
            <x v="190"/>
          </reference>
        </references>
      </pivotArea>
    </chartFormat>
    <chartFormat chart="18" format="193">
      <pivotArea type="data" outline="0" fieldPosition="0">
        <references count="2">
          <reference field="4294967294" count="1" selected="0">
            <x v="0"/>
          </reference>
          <reference field="1" count="1" selected="0">
            <x v="191"/>
          </reference>
        </references>
      </pivotArea>
    </chartFormat>
    <chartFormat chart="18" format="194">
      <pivotArea type="data" outline="0" fieldPosition="0">
        <references count="2">
          <reference field="4294967294" count="1" selected="0">
            <x v="0"/>
          </reference>
          <reference field="1" count="1" selected="0">
            <x v="192"/>
          </reference>
        </references>
      </pivotArea>
    </chartFormat>
    <chartFormat chart="18" format="195">
      <pivotArea type="data" outline="0" fieldPosition="0">
        <references count="2">
          <reference field="4294967294" count="1" selected="0">
            <x v="0"/>
          </reference>
          <reference field="1" count="1" selected="0">
            <x v="193"/>
          </reference>
        </references>
      </pivotArea>
    </chartFormat>
    <chartFormat chart="18" format="196">
      <pivotArea type="data" outline="0" fieldPosition="0">
        <references count="2">
          <reference field="4294967294" count="1" selected="0">
            <x v="0"/>
          </reference>
          <reference field="1" count="1" selected="0">
            <x v="194"/>
          </reference>
        </references>
      </pivotArea>
    </chartFormat>
    <chartFormat chart="18" format="197">
      <pivotArea type="data" outline="0" fieldPosition="0">
        <references count="2">
          <reference field="4294967294" count="1" selected="0">
            <x v="0"/>
          </reference>
          <reference field="1" count="1" selected="0">
            <x v="195"/>
          </reference>
        </references>
      </pivotArea>
    </chartFormat>
    <chartFormat chart="18" format="198">
      <pivotArea type="data" outline="0" fieldPosition="0">
        <references count="2">
          <reference field="4294967294" count="1" selected="0">
            <x v="0"/>
          </reference>
          <reference field="1" count="1" selected="0">
            <x v="196"/>
          </reference>
        </references>
      </pivotArea>
    </chartFormat>
    <chartFormat chart="18" format="199">
      <pivotArea type="data" outline="0" fieldPosition="0">
        <references count="2">
          <reference field="4294967294" count="1" selected="0">
            <x v="0"/>
          </reference>
          <reference field="1" count="1" selected="0">
            <x v="197"/>
          </reference>
        </references>
      </pivotArea>
    </chartFormat>
    <chartFormat chart="18" format="200">
      <pivotArea type="data" outline="0" fieldPosition="0">
        <references count="2">
          <reference field="4294967294" count="1" selected="0">
            <x v="0"/>
          </reference>
          <reference field="1" count="1" selected="0">
            <x v="198"/>
          </reference>
        </references>
      </pivotArea>
    </chartFormat>
    <chartFormat chart="18" format="20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9"/>
          </reference>
        </references>
      </pivotArea>
    </chartFormat>
    <chartFormat chart="18" format="202">
      <pivotArea type="data" outline="0" fieldPosition="0">
        <references count="2">
          <reference field="4294967294" count="1" selected="0">
            <x v="0"/>
          </reference>
          <reference field="1" count="1" selected="0">
            <x v="200"/>
          </reference>
        </references>
      </pivotArea>
    </chartFormat>
    <chartFormat chart="18" format="203">
      <pivotArea type="data" outline="0" fieldPosition="0">
        <references count="2">
          <reference field="4294967294" count="1" selected="0">
            <x v="0"/>
          </reference>
          <reference field="1" count="1" selected="0">
            <x v="201"/>
          </reference>
        </references>
      </pivotArea>
    </chartFormat>
    <chartFormat chart="18" format="204">
      <pivotArea type="data" outline="0" fieldPosition="0">
        <references count="2">
          <reference field="4294967294" count="1" selected="0">
            <x v="0"/>
          </reference>
          <reference field="1" count="1" selected="0">
            <x v="202"/>
          </reference>
        </references>
      </pivotArea>
    </chartFormat>
    <chartFormat chart="18" format="205">
      <pivotArea type="data" outline="0" fieldPosition="0">
        <references count="2">
          <reference field="4294967294" count="1" selected="0">
            <x v="0"/>
          </reference>
          <reference field="1" count="1" selected="0">
            <x v="203"/>
          </reference>
        </references>
      </pivotArea>
    </chartFormat>
    <chartFormat chart="18" format="206">
      <pivotArea type="data" outline="0" fieldPosition="0">
        <references count="2">
          <reference field="4294967294" count="1" selected="0">
            <x v="0"/>
          </reference>
          <reference field="1" count="1" selected="0">
            <x v="204"/>
          </reference>
        </references>
      </pivotArea>
    </chartFormat>
    <chartFormat chart="18" format="207">
      <pivotArea type="data" outline="0" fieldPosition="0">
        <references count="2">
          <reference field="4294967294" count="1" selected="0">
            <x v="0"/>
          </reference>
          <reference field="1" count="1" selected="0">
            <x v="205"/>
          </reference>
        </references>
      </pivotArea>
    </chartFormat>
    <chartFormat chart="18" format="208">
      <pivotArea type="data" outline="0" fieldPosition="0">
        <references count="2">
          <reference field="4294967294" count="1" selected="0">
            <x v="0"/>
          </reference>
          <reference field="1" count="1" selected="0">
            <x v="206"/>
          </reference>
        </references>
      </pivotArea>
    </chartFormat>
    <chartFormat chart="18" format="209">
      <pivotArea type="data" outline="0" fieldPosition="0">
        <references count="2">
          <reference field="4294967294" count="1" selected="0">
            <x v="0"/>
          </reference>
          <reference field="1" count="1" selected="0">
            <x v="207"/>
          </reference>
        </references>
      </pivotArea>
    </chartFormat>
    <chartFormat chart="18" format="2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08"/>
          </reference>
        </references>
      </pivotArea>
    </chartFormat>
    <chartFormat chart="18" format="2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9"/>
          </reference>
        </references>
      </pivotArea>
    </chartFormat>
    <chartFormat chart="18" format="212">
      <pivotArea type="data" outline="0" fieldPosition="0">
        <references count="2">
          <reference field="4294967294" count="1" selected="0">
            <x v="0"/>
          </reference>
          <reference field="1" count="1" selected="0">
            <x v="210"/>
          </reference>
        </references>
      </pivotArea>
    </chartFormat>
    <chartFormat chart="18" format="2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11"/>
          </reference>
        </references>
      </pivotArea>
    </chartFormat>
    <chartFormat chart="18" format="214">
      <pivotArea type="data" outline="0" fieldPosition="0">
        <references count="2">
          <reference field="4294967294" count="1" selected="0">
            <x v="0"/>
          </reference>
          <reference field="1" count="1" selected="0">
            <x v="212"/>
          </reference>
        </references>
      </pivotArea>
    </chartFormat>
    <chartFormat chart="18" format="2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13"/>
          </reference>
        </references>
      </pivotArea>
    </chartFormat>
    <chartFormat chart="18" format="2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14"/>
          </reference>
        </references>
      </pivotArea>
    </chartFormat>
    <chartFormat chart="18" format="217">
      <pivotArea type="data" outline="0" fieldPosition="0">
        <references count="2">
          <reference field="4294967294" count="1" selected="0">
            <x v="0"/>
          </reference>
          <reference field="1" count="1" selected="0">
            <x v="215"/>
          </reference>
        </references>
      </pivotArea>
    </chartFormat>
    <chartFormat chart="18" format="218">
      <pivotArea type="data" outline="0" fieldPosition="0">
        <references count="2">
          <reference field="4294967294" count="1" selected="0">
            <x v="0"/>
          </reference>
          <reference field="1" count="1" selected="0">
            <x v="216"/>
          </reference>
        </references>
      </pivotArea>
    </chartFormat>
    <chartFormat chart="18" format="219">
      <pivotArea type="data" outline="0" fieldPosition="0">
        <references count="2">
          <reference field="4294967294" count="1" selected="0">
            <x v="0"/>
          </reference>
          <reference field="1" count="1" selected="0">
            <x v="217"/>
          </reference>
        </references>
      </pivotArea>
    </chartFormat>
    <chartFormat chart="18" format="220">
      <pivotArea type="data" outline="0" fieldPosition="0">
        <references count="2">
          <reference field="4294967294" count="1" selected="0">
            <x v="0"/>
          </reference>
          <reference field="1" count="1" selected="0">
            <x v="218"/>
          </reference>
        </references>
      </pivotArea>
    </chartFormat>
    <chartFormat chart="18" format="22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9"/>
          </reference>
        </references>
      </pivotArea>
    </chartFormat>
    <chartFormat chart="18" format="222">
      <pivotArea type="data" outline="0" fieldPosition="0">
        <references count="2">
          <reference field="4294967294" count="1" selected="0">
            <x v="0"/>
          </reference>
          <reference field="1" count="1" selected="0">
            <x v="220"/>
          </reference>
        </references>
      </pivotArea>
    </chartFormat>
    <chartFormat chart="18" format="223">
      <pivotArea type="data" outline="0" fieldPosition="0">
        <references count="2">
          <reference field="4294967294" count="1" selected="0">
            <x v="0"/>
          </reference>
          <reference field="1" count="1" selected="0">
            <x v="221"/>
          </reference>
        </references>
      </pivotArea>
    </chartFormat>
    <chartFormat chart="18" format="224">
      <pivotArea type="data" outline="0" fieldPosition="0">
        <references count="2">
          <reference field="4294967294" count="1" selected="0">
            <x v="0"/>
          </reference>
          <reference field="1" count="1" selected="0">
            <x v="222"/>
          </reference>
        </references>
      </pivotArea>
    </chartFormat>
    <chartFormat chart="18" format="225">
      <pivotArea type="data" outline="0" fieldPosition="0">
        <references count="2">
          <reference field="4294967294" count="1" selected="0">
            <x v="0"/>
          </reference>
          <reference field="1" count="1" selected="0">
            <x v="223"/>
          </reference>
        </references>
      </pivotArea>
    </chartFormat>
    <chartFormat chart="18" format="226">
      <pivotArea type="data" outline="0" fieldPosition="0">
        <references count="2">
          <reference field="4294967294" count="1" selected="0">
            <x v="0"/>
          </reference>
          <reference field="1" count="1" selected="0">
            <x v="224"/>
          </reference>
        </references>
      </pivotArea>
    </chartFormat>
    <chartFormat chart="18" format="227">
      <pivotArea type="data" outline="0" fieldPosition="0">
        <references count="2">
          <reference field="4294967294" count="1" selected="0">
            <x v="0"/>
          </reference>
          <reference field="1" count="1" selected="0">
            <x v="225"/>
          </reference>
        </references>
      </pivotArea>
    </chartFormat>
    <chartFormat chart="18" format="228">
      <pivotArea type="data" outline="0" fieldPosition="0">
        <references count="2">
          <reference field="4294967294" count="1" selected="0">
            <x v="0"/>
          </reference>
          <reference field="1" count="1" selected="0">
            <x v="226"/>
          </reference>
        </references>
      </pivotArea>
    </chartFormat>
    <chartFormat chart="18" format="229">
      <pivotArea type="data" outline="0" fieldPosition="0">
        <references count="2">
          <reference field="4294967294" count="1" selected="0">
            <x v="0"/>
          </reference>
          <reference field="1" count="1" selected="0">
            <x v="227"/>
          </reference>
        </references>
      </pivotArea>
    </chartFormat>
    <chartFormat chart="18" format="230">
      <pivotArea type="data" outline="0" fieldPosition="0">
        <references count="2">
          <reference field="4294967294" count="1" selected="0">
            <x v="0"/>
          </reference>
          <reference field="1" count="1" selected="0">
            <x v="228"/>
          </reference>
        </references>
      </pivotArea>
    </chartFormat>
    <chartFormat chart="18" format="23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9"/>
          </reference>
        </references>
      </pivotArea>
    </chartFormat>
    <chartFormat chart="18" format="232">
      <pivotArea type="data" outline="0" fieldPosition="0">
        <references count="2">
          <reference field="4294967294" count="1" selected="0">
            <x v="0"/>
          </reference>
          <reference field="1" count="1" selected="0">
            <x v="230"/>
          </reference>
        </references>
      </pivotArea>
    </chartFormat>
    <chartFormat chart="18" format="233">
      <pivotArea type="data" outline="0" fieldPosition="0">
        <references count="2">
          <reference field="4294967294" count="1" selected="0">
            <x v="0"/>
          </reference>
          <reference field="1" count="1" selected="0">
            <x v="231"/>
          </reference>
        </references>
      </pivotArea>
    </chartFormat>
    <chartFormat chart="18" format="234">
      <pivotArea type="data" outline="0" fieldPosition="0">
        <references count="2">
          <reference field="4294967294" count="1" selected="0">
            <x v="0"/>
          </reference>
          <reference field="1" count="1" selected="0">
            <x v="232"/>
          </reference>
        </references>
      </pivotArea>
    </chartFormat>
    <chartFormat chart="18" format="235">
      <pivotArea type="data" outline="0" fieldPosition="0">
        <references count="2">
          <reference field="4294967294" count="1" selected="0">
            <x v="0"/>
          </reference>
          <reference field="1" count="1" selected="0">
            <x v="233"/>
          </reference>
        </references>
      </pivotArea>
    </chartFormat>
    <chartFormat chart="18" format="236">
      <pivotArea type="data" outline="0" fieldPosition="0">
        <references count="2">
          <reference field="4294967294" count="1" selected="0">
            <x v="0"/>
          </reference>
          <reference field="1" count="1" selected="0">
            <x v="234"/>
          </reference>
        </references>
      </pivotArea>
    </chartFormat>
    <chartFormat chart="18" format="237">
      <pivotArea type="data" outline="0" fieldPosition="0">
        <references count="2">
          <reference field="4294967294" count="1" selected="0">
            <x v="0"/>
          </reference>
          <reference field="1" count="1" selected="0">
            <x v="235"/>
          </reference>
        </references>
      </pivotArea>
    </chartFormat>
    <chartFormat chart="18" format="238">
      <pivotArea type="data" outline="0" fieldPosition="0">
        <references count="2">
          <reference field="4294967294" count="1" selected="0">
            <x v="0"/>
          </reference>
          <reference field="1" count="1" selected="0">
            <x v="236"/>
          </reference>
        </references>
      </pivotArea>
    </chartFormat>
    <chartFormat chart="18" format="239">
      <pivotArea type="data" outline="0" fieldPosition="0">
        <references count="2">
          <reference field="4294967294" count="1" selected="0">
            <x v="0"/>
          </reference>
          <reference field="1" count="1" selected="0">
            <x v="237"/>
          </reference>
        </references>
      </pivotArea>
    </chartFormat>
    <chartFormat chart="18" format="240">
      <pivotArea type="data" outline="0" fieldPosition="0">
        <references count="2">
          <reference field="4294967294" count="1" selected="0">
            <x v="0"/>
          </reference>
          <reference field="1" count="1" selected="0">
            <x v="238"/>
          </reference>
        </references>
      </pivotArea>
    </chartFormat>
    <chartFormat chart="18" format="24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9"/>
          </reference>
        </references>
      </pivotArea>
    </chartFormat>
    <chartFormat chart="18" format="242">
      <pivotArea type="data" outline="0" fieldPosition="0">
        <references count="2">
          <reference field="4294967294" count="1" selected="0">
            <x v="0"/>
          </reference>
          <reference field="1" count="1" selected="0">
            <x v="240"/>
          </reference>
        </references>
      </pivotArea>
    </chartFormat>
    <chartFormat chart="18" format="243">
      <pivotArea type="data" outline="0" fieldPosition="0">
        <references count="2">
          <reference field="4294967294" count="1" selected="0">
            <x v="0"/>
          </reference>
          <reference field="1" count="1" selected="0">
            <x v="241"/>
          </reference>
        </references>
      </pivotArea>
    </chartFormat>
    <chartFormat chart="18" format="244">
      <pivotArea type="data" outline="0" fieldPosition="0">
        <references count="2">
          <reference field="4294967294" count="1" selected="0">
            <x v="0"/>
          </reference>
          <reference field="1" count="1" selected="0">
            <x v="242"/>
          </reference>
        </references>
      </pivotArea>
    </chartFormat>
    <chartFormat chart="18" format="245">
      <pivotArea type="data" outline="0" fieldPosition="0">
        <references count="2">
          <reference field="4294967294" count="1" selected="0">
            <x v="0"/>
          </reference>
          <reference field="1" count="1" selected="0">
            <x v="243"/>
          </reference>
        </references>
      </pivotArea>
    </chartFormat>
    <chartFormat chart="18" format="246">
      <pivotArea type="data" outline="0" fieldPosition="0">
        <references count="2">
          <reference field="4294967294" count="1" selected="0">
            <x v="0"/>
          </reference>
          <reference field="1" count="1" selected="0">
            <x v="244"/>
          </reference>
        </references>
      </pivotArea>
    </chartFormat>
    <chartFormat chart="18" format="247">
      <pivotArea type="data" outline="0" fieldPosition="0">
        <references count="2">
          <reference field="4294967294" count="1" selected="0">
            <x v="0"/>
          </reference>
          <reference field="1" count="1" selected="0">
            <x v="245"/>
          </reference>
        </references>
      </pivotArea>
    </chartFormat>
    <chartFormat chart="18" format="248">
      <pivotArea type="data" outline="0" fieldPosition="0">
        <references count="2">
          <reference field="4294967294" count="1" selected="0">
            <x v="0"/>
          </reference>
          <reference field="1" count="1" selected="0">
            <x v="246"/>
          </reference>
        </references>
      </pivotArea>
    </chartFormat>
    <chartFormat chart="18" format="249">
      <pivotArea type="data" outline="0" fieldPosition="0">
        <references count="2">
          <reference field="4294967294" count="1" selected="0">
            <x v="0"/>
          </reference>
          <reference field="1" count="1" selected="0">
            <x v="247"/>
          </reference>
        </references>
      </pivotArea>
    </chartFormat>
    <chartFormat chart="18" format="250">
      <pivotArea type="data" outline="0" fieldPosition="0">
        <references count="2">
          <reference field="4294967294" count="1" selected="0">
            <x v="0"/>
          </reference>
          <reference field="1" count="1" selected="0">
            <x v="248"/>
          </reference>
        </references>
      </pivotArea>
    </chartFormat>
    <chartFormat chart="18" format="25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9"/>
          </reference>
        </references>
      </pivotArea>
    </chartFormat>
    <chartFormat chart="18" format="252">
      <pivotArea type="data" outline="0" fieldPosition="0">
        <references count="2">
          <reference field="4294967294" count="1" selected="0">
            <x v="0"/>
          </reference>
          <reference field="1" count="1" selected="0">
            <x v="250"/>
          </reference>
        </references>
      </pivotArea>
    </chartFormat>
    <chartFormat chart="18" format="253">
      <pivotArea type="data" outline="0" fieldPosition="0">
        <references count="2">
          <reference field="4294967294" count="1" selected="0">
            <x v="0"/>
          </reference>
          <reference field="1" count="1" selected="0">
            <x v="251"/>
          </reference>
        </references>
      </pivotArea>
    </chartFormat>
    <chartFormat chart="18" format="254">
      <pivotArea type="data" outline="0" fieldPosition="0">
        <references count="2">
          <reference field="4294967294" count="1" selected="0">
            <x v="0"/>
          </reference>
          <reference field="1" count="1" selected="0">
            <x v="252"/>
          </reference>
        </references>
      </pivotArea>
    </chartFormat>
    <chartFormat chart="18" format="255">
      <pivotArea type="data" outline="0" fieldPosition="0">
        <references count="2">
          <reference field="4294967294" count="1" selected="0">
            <x v="0"/>
          </reference>
          <reference field="1" count="1" selected="0">
            <x v="253"/>
          </reference>
        </references>
      </pivotArea>
    </chartFormat>
    <chartFormat chart="18" format="256">
      <pivotArea type="data" outline="0" fieldPosition="0">
        <references count="2">
          <reference field="4294967294" count="1" selected="0">
            <x v="0"/>
          </reference>
          <reference field="1" count="1" selected="0">
            <x v="254"/>
          </reference>
        </references>
      </pivotArea>
    </chartFormat>
    <chartFormat chart="18" format="257">
      <pivotArea type="data" outline="0" fieldPosition="0">
        <references count="2">
          <reference field="4294967294" count="1" selected="0">
            <x v="0"/>
          </reference>
          <reference field="1" count="1" selected="0">
            <x v="255"/>
          </reference>
        </references>
      </pivotArea>
    </chartFormat>
    <chartFormat chart="18" format="258">
      <pivotArea type="data" outline="0" fieldPosition="0">
        <references count="2">
          <reference field="4294967294" count="1" selected="0">
            <x v="0"/>
          </reference>
          <reference field="1" count="1" selected="0">
            <x v="256"/>
          </reference>
        </references>
      </pivotArea>
    </chartFormat>
    <chartFormat chart="18" format="259">
      <pivotArea type="data" outline="0" fieldPosition="0">
        <references count="2">
          <reference field="4294967294" count="1" selected="0">
            <x v="0"/>
          </reference>
          <reference field="1" count="1" selected="0">
            <x v="257"/>
          </reference>
        </references>
      </pivotArea>
    </chartFormat>
    <chartFormat chart="18" format="260">
      <pivotArea type="data" outline="0" fieldPosition="0">
        <references count="2">
          <reference field="4294967294" count="1" selected="0">
            <x v="0"/>
          </reference>
          <reference field="1" count="1" selected="0">
            <x v="258"/>
          </reference>
        </references>
      </pivotArea>
    </chartFormat>
    <chartFormat chart="18" format="26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9"/>
          </reference>
        </references>
      </pivotArea>
    </chartFormat>
    <chartFormat chart="18" format="262">
      <pivotArea type="data" outline="0" fieldPosition="0">
        <references count="2">
          <reference field="4294967294" count="1" selected="0">
            <x v="0"/>
          </reference>
          <reference field="1" count="1" selected="0">
            <x v="260"/>
          </reference>
        </references>
      </pivotArea>
    </chartFormat>
    <chartFormat chart="18" format="263">
      <pivotArea type="data" outline="0" fieldPosition="0">
        <references count="2">
          <reference field="4294967294" count="1" selected="0">
            <x v="0"/>
          </reference>
          <reference field="1" count="1" selected="0">
            <x v="261"/>
          </reference>
        </references>
      </pivotArea>
    </chartFormat>
    <chartFormat chart="18" format="264">
      <pivotArea type="data" outline="0" fieldPosition="0">
        <references count="2">
          <reference field="4294967294" count="1" selected="0">
            <x v="0"/>
          </reference>
          <reference field="1" count="1" selected="0">
            <x v="262"/>
          </reference>
        </references>
      </pivotArea>
    </chartFormat>
    <chartFormat chart="18" format="265">
      <pivotArea type="data" outline="0" fieldPosition="0">
        <references count="2">
          <reference field="4294967294" count="1" selected="0">
            <x v="0"/>
          </reference>
          <reference field="1" count="1" selected="0">
            <x v="263"/>
          </reference>
        </references>
      </pivotArea>
    </chartFormat>
    <chartFormat chart="18" format="266">
      <pivotArea type="data" outline="0" fieldPosition="0">
        <references count="2">
          <reference field="4294967294" count="1" selected="0">
            <x v="0"/>
          </reference>
          <reference field="1" count="1" selected="0">
            <x v="264"/>
          </reference>
        </references>
      </pivotArea>
    </chartFormat>
    <chartFormat chart="18" format="267">
      <pivotArea type="data" outline="0" fieldPosition="0">
        <references count="2">
          <reference field="4294967294" count="1" selected="0">
            <x v="0"/>
          </reference>
          <reference field="1" count="1" selected="0">
            <x v="265"/>
          </reference>
        </references>
      </pivotArea>
    </chartFormat>
    <chartFormat chart="18" format="268">
      <pivotArea type="data" outline="0" fieldPosition="0">
        <references count="2">
          <reference field="4294967294" count="1" selected="0">
            <x v="0"/>
          </reference>
          <reference field="1" count="1" selected="0">
            <x v="266"/>
          </reference>
        </references>
      </pivotArea>
    </chartFormat>
    <chartFormat chart="18" format="269">
      <pivotArea type="data" outline="0" fieldPosition="0">
        <references count="2">
          <reference field="4294967294" count="1" selected="0">
            <x v="0"/>
          </reference>
          <reference field="1" count="1" selected="0">
            <x v="267"/>
          </reference>
        </references>
      </pivotArea>
    </chartFormat>
    <chartFormat chart="18" format="270">
      <pivotArea type="data" outline="0" fieldPosition="0">
        <references count="2">
          <reference field="4294967294" count="1" selected="0">
            <x v="0"/>
          </reference>
          <reference field="1" count="1" selected="0">
            <x v="268"/>
          </reference>
        </references>
      </pivotArea>
    </chartFormat>
    <chartFormat chart="18" format="27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9"/>
          </reference>
        </references>
      </pivotArea>
    </chartFormat>
    <chartFormat chart="18" format="272">
      <pivotArea type="data" outline="0" fieldPosition="0">
        <references count="2">
          <reference field="4294967294" count="1" selected="0">
            <x v="0"/>
          </reference>
          <reference field="1" count="1" selected="0">
            <x v="270"/>
          </reference>
        </references>
      </pivotArea>
    </chartFormat>
    <chartFormat chart="18" format="273">
      <pivotArea type="data" outline="0" fieldPosition="0">
        <references count="2">
          <reference field="4294967294" count="1" selected="0">
            <x v="0"/>
          </reference>
          <reference field="1" count="1" selected="0">
            <x v="271"/>
          </reference>
        </references>
      </pivotArea>
    </chartFormat>
    <chartFormat chart="18" format="274">
      <pivotArea type="data" outline="0" fieldPosition="0">
        <references count="2">
          <reference field="4294967294" count="1" selected="0">
            <x v="0"/>
          </reference>
          <reference field="1" count="1" selected="0">
            <x v="272"/>
          </reference>
        </references>
      </pivotArea>
    </chartFormat>
    <chartFormat chart="18" format="275">
      <pivotArea type="data" outline="0" fieldPosition="0">
        <references count="2">
          <reference field="4294967294" count="1" selected="0">
            <x v="0"/>
          </reference>
          <reference field="1" count="1" selected="0">
            <x v="273"/>
          </reference>
        </references>
      </pivotArea>
    </chartFormat>
    <chartFormat chart="18" format="276">
      <pivotArea type="data" outline="0" fieldPosition="0">
        <references count="2">
          <reference field="4294967294" count="1" selected="0">
            <x v="0"/>
          </reference>
          <reference field="1" count="1" selected="0">
            <x v="274"/>
          </reference>
        </references>
      </pivotArea>
    </chartFormat>
    <chartFormat chart="18" format="277">
      <pivotArea type="data" outline="0" fieldPosition="0">
        <references count="2">
          <reference field="4294967294" count="1" selected="0">
            <x v="0"/>
          </reference>
          <reference field="1" count="1" selected="0">
            <x v="275"/>
          </reference>
        </references>
      </pivotArea>
    </chartFormat>
    <chartFormat chart="18" format="278">
      <pivotArea type="data" outline="0" fieldPosition="0">
        <references count="2">
          <reference field="4294967294" count="1" selected="0">
            <x v="0"/>
          </reference>
          <reference field="1" count="1" selected="0">
            <x v="276"/>
          </reference>
        </references>
      </pivotArea>
    </chartFormat>
    <chartFormat chart="18" format="279">
      <pivotArea type="data" outline="0" fieldPosition="0">
        <references count="2">
          <reference field="4294967294" count="1" selected="0">
            <x v="0"/>
          </reference>
          <reference field="1" count="1" selected="0">
            <x v="277"/>
          </reference>
        </references>
      </pivotArea>
    </chartFormat>
    <chartFormat chart="18" format="280">
      <pivotArea type="data" outline="0" fieldPosition="0">
        <references count="2">
          <reference field="4294967294" count="1" selected="0">
            <x v="0"/>
          </reference>
          <reference field="1" count="1" selected="0">
            <x v="278"/>
          </reference>
        </references>
      </pivotArea>
    </chartFormat>
    <chartFormat chart="18" format="28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9"/>
          </reference>
        </references>
      </pivotArea>
    </chartFormat>
    <chartFormat chart="18" format="282">
      <pivotArea type="data" outline="0" fieldPosition="0">
        <references count="2">
          <reference field="4294967294" count="1" selected="0">
            <x v="0"/>
          </reference>
          <reference field="1" count="1" selected="0">
            <x v="280"/>
          </reference>
        </references>
      </pivotArea>
    </chartFormat>
    <chartFormat chart="18" format="283">
      <pivotArea type="data" outline="0" fieldPosition="0">
        <references count="2">
          <reference field="4294967294" count="1" selected="0">
            <x v="0"/>
          </reference>
          <reference field="1" count="1" selected="0">
            <x v="281"/>
          </reference>
        </references>
      </pivotArea>
    </chartFormat>
    <chartFormat chart="18" format="284">
      <pivotArea type="data" outline="0" fieldPosition="0">
        <references count="2">
          <reference field="4294967294" count="1" selected="0">
            <x v="0"/>
          </reference>
          <reference field="1" count="1" selected="0">
            <x v="282"/>
          </reference>
        </references>
      </pivotArea>
    </chartFormat>
    <chartFormat chart="18" format="285">
      <pivotArea type="data" outline="0" fieldPosition="0">
        <references count="2">
          <reference field="4294967294" count="1" selected="0">
            <x v="0"/>
          </reference>
          <reference field="1" count="1" selected="0">
            <x v="283"/>
          </reference>
        </references>
      </pivotArea>
    </chartFormat>
    <chartFormat chart="18" format="286">
      <pivotArea type="data" outline="0" fieldPosition="0">
        <references count="2">
          <reference field="4294967294" count="1" selected="0">
            <x v="0"/>
          </reference>
          <reference field="1" count="1" selected="0">
            <x v="284"/>
          </reference>
        </references>
      </pivotArea>
    </chartFormat>
    <chartFormat chart="18" format="287">
      <pivotArea type="data" outline="0" fieldPosition="0">
        <references count="2">
          <reference field="4294967294" count="1" selected="0">
            <x v="0"/>
          </reference>
          <reference field="1" count="1" selected="0">
            <x v="285"/>
          </reference>
        </references>
      </pivotArea>
    </chartFormat>
    <chartFormat chart="18" format="288">
      <pivotArea type="data" outline="0" fieldPosition="0">
        <references count="2">
          <reference field="4294967294" count="1" selected="0">
            <x v="0"/>
          </reference>
          <reference field="1" count="1" selected="0">
            <x v="286"/>
          </reference>
        </references>
      </pivotArea>
    </chartFormat>
    <chartFormat chart="18" format="289">
      <pivotArea type="data" outline="0" fieldPosition="0">
        <references count="2">
          <reference field="4294967294" count="1" selected="0">
            <x v="0"/>
          </reference>
          <reference field="1" count="1" selected="0">
            <x v="287"/>
          </reference>
        </references>
      </pivotArea>
    </chartFormat>
    <chartFormat chart="18" format="290">
      <pivotArea type="data" outline="0" fieldPosition="0">
        <references count="2">
          <reference field="4294967294" count="1" selected="0">
            <x v="0"/>
          </reference>
          <reference field="1" count="1" selected="0">
            <x v="288"/>
          </reference>
        </references>
      </pivotArea>
    </chartFormat>
    <chartFormat chart="18" format="29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9"/>
          </reference>
        </references>
      </pivotArea>
    </chartFormat>
    <chartFormat chart="18" format="292">
      <pivotArea type="data" outline="0" fieldPosition="0">
        <references count="2">
          <reference field="4294967294" count="1" selected="0">
            <x v="0"/>
          </reference>
          <reference field="1" count="1" selected="0">
            <x v="290"/>
          </reference>
        </references>
      </pivotArea>
    </chartFormat>
    <chartFormat chart="18" format="293">
      <pivotArea type="data" outline="0" fieldPosition="0">
        <references count="2">
          <reference field="4294967294" count="1" selected="0">
            <x v="0"/>
          </reference>
          <reference field="1" count="1" selected="0">
            <x v="291"/>
          </reference>
        </references>
      </pivotArea>
    </chartFormat>
    <chartFormat chart="18" format="294">
      <pivotArea type="data" outline="0" fieldPosition="0">
        <references count="2">
          <reference field="4294967294" count="1" selected="0">
            <x v="0"/>
          </reference>
          <reference field="1" count="1" selected="0">
            <x v="292"/>
          </reference>
        </references>
      </pivotArea>
    </chartFormat>
    <chartFormat chart="18" format="295">
      <pivotArea type="data" outline="0" fieldPosition="0">
        <references count="2">
          <reference field="4294967294" count="1" selected="0">
            <x v="0"/>
          </reference>
          <reference field="1" count="1" selected="0">
            <x v="293"/>
          </reference>
        </references>
      </pivotArea>
    </chartFormat>
    <chartFormat chart="18" format="296">
      <pivotArea type="data" outline="0" fieldPosition="0">
        <references count="2">
          <reference field="4294967294" count="1" selected="0">
            <x v="0"/>
          </reference>
          <reference field="1" count="1" selected="0">
            <x v="294"/>
          </reference>
        </references>
      </pivotArea>
    </chartFormat>
    <chartFormat chart="18" format="297">
      <pivotArea type="data" outline="0" fieldPosition="0">
        <references count="2">
          <reference field="4294967294" count="1" selected="0">
            <x v="0"/>
          </reference>
          <reference field="1" count="1" selected="0">
            <x v="295"/>
          </reference>
        </references>
      </pivotArea>
    </chartFormat>
    <chartFormat chart="18" format="298">
      <pivotArea type="data" outline="0" fieldPosition="0">
        <references count="2">
          <reference field="4294967294" count="1" selected="0">
            <x v="0"/>
          </reference>
          <reference field="1" count="1" selected="0">
            <x v="296"/>
          </reference>
        </references>
      </pivotArea>
    </chartFormat>
    <chartFormat chart="18" format="299">
      <pivotArea type="data" outline="0" fieldPosition="0">
        <references count="2">
          <reference field="4294967294" count="1" selected="0">
            <x v="0"/>
          </reference>
          <reference field="1" count="1" selected="0">
            <x v="297"/>
          </reference>
        </references>
      </pivotArea>
    </chartFormat>
    <chartFormat chart="18" format="300">
      <pivotArea type="data" outline="0" fieldPosition="0">
        <references count="2">
          <reference field="4294967294" count="1" selected="0">
            <x v="0"/>
          </reference>
          <reference field="1" count="1" selected="0">
            <x v="298"/>
          </reference>
        </references>
      </pivotArea>
    </chartFormat>
    <chartFormat chart="18" format="30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9"/>
          </reference>
        </references>
      </pivotArea>
    </chartFormat>
    <chartFormat chart="18" format="302">
      <pivotArea type="data" outline="0" fieldPosition="0">
        <references count="2">
          <reference field="4294967294" count="1" selected="0">
            <x v="0"/>
          </reference>
          <reference field="1" count="1" selected="0">
            <x v="300"/>
          </reference>
        </references>
      </pivotArea>
    </chartFormat>
    <chartFormat chart="18" format="303">
      <pivotArea type="data" outline="0" fieldPosition="0">
        <references count="2">
          <reference field="4294967294" count="1" selected="0">
            <x v="0"/>
          </reference>
          <reference field="1" count="1" selected="0">
            <x v="301"/>
          </reference>
        </references>
      </pivotArea>
    </chartFormat>
    <chartFormat chart="18" format="304">
      <pivotArea type="data" outline="0" fieldPosition="0">
        <references count="2">
          <reference field="4294967294" count="1" selected="0">
            <x v="0"/>
          </reference>
          <reference field="1" count="1" selected="0">
            <x v="302"/>
          </reference>
        </references>
      </pivotArea>
    </chartFormat>
    <chartFormat chart="18" format="305">
      <pivotArea type="data" outline="0" fieldPosition="0">
        <references count="2">
          <reference field="4294967294" count="1" selected="0">
            <x v="0"/>
          </reference>
          <reference field="1" count="1" selected="0">
            <x v="303"/>
          </reference>
        </references>
      </pivotArea>
    </chartFormat>
    <chartFormat chart="18" format="306">
      <pivotArea type="data" outline="0" fieldPosition="0">
        <references count="2">
          <reference field="4294967294" count="1" selected="0">
            <x v="0"/>
          </reference>
          <reference field="1" count="1" selected="0">
            <x v="304"/>
          </reference>
        </references>
      </pivotArea>
    </chartFormat>
    <chartFormat chart="18" format="307">
      <pivotArea type="data" outline="0" fieldPosition="0">
        <references count="2">
          <reference field="4294967294" count="1" selected="0">
            <x v="0"/>
          </reference>
          <reference field="1" count="1" selected="0">
            <x v="305"/>
          </reference>
        </references>
      </pivotArea>
    </chartFormat>
    <chartFormat chart="18" format="308">
      <pivotArea type="data" outline="0" fieldPosition="0">
        <references count="2">
          <reference field="4294967294" count="1" selected="0">
            <x v="0"/>
          </reference>
          <reference field="1" count="1" selected="0">
            <x v="306"/>
          </reference>
        </references>
      </pivotArea>
    </chartFormat>
    <chartFormat chart="18" format="309">
      <pivotArea type="data" outline="0" fieldPosition="0">
        <references count="2">
          <reference field="4294967294" count="1" selected="0">
            <x v="0"/>
          </reference>
          <reference field="1" count="1" selected="0">
            <x v="307"/>
          </reference>
        </references>
      </pivotArea>
    </chartFormat>
    <chartFormat chart="18" format="3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08"/>
          </reference>
        </references>
      </pivotArea>
    </chartFormat>
    <chartFormat chart="18" format="3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9"/>
          </reference>
        </references>
      </pivotArea>
    </chartFormat>
    <chartFormat chart="18" format="3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10"/>
          </reference>
        </references>
      </pivotArea>
    </chartFormat>
    <chartFormat chart="18" format="313">
      <pivotArea type="data" outline="0" fieldPosition="0">
        <references count="2">
          <reference field="4294967294" count="1" selected="0">
            <x v="0"/>
          </reference>
          <reference field="1" count="1" selected="0">
            <x v="311"/>
          </reference>
        </references>
      </pivotArea>
    </chartFormat>
    <chartFormat chart="18" format="314">
      <pivotArea type="data" outline="0" fieldPosition="0">
        <references count="2">
          <reference field="4294967294" count="1" selected="0">
            <x v="0"/>
          </reference>
          <reference field="1" count="1" selected="0">
            <x v="312"/>
          </reference>
        </references>
      </pivotArea>
    </chartFormat>
    <chartFormat chart="18" format="315">
      <pivotArea type="data" outline="0" fieldPosition="0">
        <references count="2">
          <reference field="4294967294" count="1" selected="0">
            <x v="0"/>
          </reference>
          <reference field="1" count="1" selected="0">
            <x v="313"/>
          </reference>
        </references>
      </pivotArea>
    </chartFormat>
    <chartFormat chart="18" format="316">
      <pivotArea type="data" outline="0" fieldPosition="0">
        <references count="2">
          <reference field="4294967294" count="1" selected="0">
            <x v="0"/>
          </reference>
          <reference field="1" count="1" selected="0">
            <x v="314"/>
          </reference>
        </references>
      </pivotArea>
    </chartFormat>
    <chartFormat chart="18" format="317">
      <pivotArea type="data" outline="0" fieldPosition="0">
        <references count="2">
          <reference field="4294967294" count="1" selected="0">
            <x v="0"/>
          </reference>
          <reference field="1" count="1" selected="0">
            <x v="315"/>
          </reference>
        </references>
      </pivotArea>
    </chartFormat>
    <chartFormat chart="18" format="318">
      <pivotArea type="data" outline="0" fieldPosition="0">
        <references count="2">
          <reference field="4294967294" count="1" selected="0">
            <x v="0"/>
          </reference>
          <reference field="1" count="1" selected="0">
            <x v="316"/>
          </reference>
        </references>
      </pivotArea>
    </chartFormat>
    <chartFormat chart="18" format="319">
      <pivotArea type="data" outline="0" fieldPosition="0">
        <references count="2">
          <reference field="4294967294" count="1" selected="0">
            <x v="0"/>
          </reference>
          <reference field="1" count="1" selected="0">
            <x v="317"/>
          </reference>
        </references>
      </pivotArea>
    </chartFormat>
    <chartFormat chart="18" format="320">
      <pivotArea type="data" outline="0" fieldPosition="0">
        <references count="2">
          <reference field="4294967294" count="1" selected="0">
            <x v="0"/>
          </reference>
          <reference field="1" count="1" selected="0">
            <x v="318"/>
          </reference>
        </references>
      </pivotArea>
    </chartFormat>
    <chartFormat chart="18" format="32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9"/>
          </reference>
        </references>
      </pivotArea>
    </chartFormat>
    <chartFormat chart="18" format="322">
      <pivotArea type="data" outline="0" fieldPosition="0">
        <references count="2">
          <reference field="4294967294" count="1" selected="0">
            <x v="0"/>
          </reference>
          <reference field="1" count="1" selected="0">
            <x v="320"/>
          </reference>
        </references>
      </pivotArea>
    </chartFormat>
    <chartFormat chart="18" format="323">
      <pivotArea type="data" outline="0" fieldPosition="0">
        <references count="2">
          <reference field="4294967294" count="1" selected="0">
            <x v="0"/>
          </reference>
          <reference field="1" count="1" selected="0">
            <x v="321"/>
          </reference>
        </references>
      </pivotArea>
    </chartFormat>
    <chartFormat chart="18" format="324">
      <pivotArea type="data" outline="0" fieldPosition="0">
        <references count="2">
          <reference field="4294967294" count="1" selected="0">
            <x v="0"/>
          </reference>
          <reference field="1" count="1" selected="0">
            <x v="322"/>
          </reference>
        </references>
      </pivotArea>
    </chartFormat>
    <chartFormat chart="18" format="325">
      <pivotArea type="data" outline="0" fieldPosition="0">
        <references count="2">
          <reference field="4294967294" count="1" selected="0">
            <x v="0"/>
          </reference>
          <reference field="1" count="1" selected="0">
            <x v="323"/>
          </reference>
        </references>
      </pivotArea>
    </chartFormat>
    <chartFormat chart="18" format="326">
      <pivotArea type="data" outline="0" fieldPosition="0">
        <references count="2">
          <reference field="4294967294" count="1" selected="0">
            <x v="0"/>
          </reference>
          <reference field="1" count="1" selected="0">
            <x v="324"/>
          </reference>
        </references>
      </pivotArea>
    </chartFormat>
    <chartFormat chart="18" format="327">
      <pivotArea type="data" outline="0" fieldPosition="0">
        <references count="2">
          <reference field="4294967294" count="1" selected="0">
            <x v="0"/>
          </reference>
          <reference field="1" count="1" selected="0">
            <x v="325"/>
          </reference>
        </references>
      </pivotArea>
    </chartFormat>
    <chartFormat chart="18" format="328">
      <pivotArea type="data" outline="0" fieldPosition="0">
        <references count="2">
          <reference field="4294967294" count="1" selected="0">
            <x v="0"/>
          </reference>
          <reference field="1" count="1" selected="0">
            <x v="326"/>
          </reference>
        </references>
      </pivotArea>
    </chartFormat>
    <chartFormat chart="18" format="329">
      <pivotArea type="data" outline="0" fieldPosition="0">
        <references count="2">
          <reference field="4294967294" count="1" selected="0">
            <x v="0"/>
          </reference>
          <reference field="1" count="1" selected="0">
            <x v="327"/>
          </reference>
        </references>
      </pivotArea>
    </chartFormat>
    <chartFormat chart="18" format="330">
      <pivotArea type="data" outline="0" fieldPosition="0">
        <references count="2">
          <reference field="4294967294" count="1" selected="0">
            <x v="0"/>
          </reference>
          <reference field="1" count="1" selected="0">
            <x v="328"/>
          </reference>
        </references>
      </pivotArea>
    </chartFormat>
    <chartFormat chart="18" format="33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9"/>
          </reference>
        </references>
      </pivotArea>
    </chartFormat>
    <chartFormat chart="18" format="332">
      <pivotArea type="data" outline="0" fieldPosition="0">
        <references count="2">
          <reference field="4294967294" count="1" selected="0">
            <x v="0"/>
          </reference>
          <reference field="1" count="1" selected="0">
            <x v="330"/>
          </reference>
        </references>
      </pivotArea>
    </chartFormat>
    <chartFormat chart="18" format="333">
      <pivotArea type="data" outline="0" fieldPosition="0">
        <references count="2">
          <reference field="4294967294" count="1" selected="0">
            <x v="0"/>
          </reference>
          <reference field="1" count="1" selected="0">
            <x v="331"/>
          </reference>
        </references>
      </pivotArea>
    </chartFormat>
    <chartFormat chart="18" format="334">
      <pivotArea type="data" outline="0" fieldPosition="0">
        <references count="2">
          <reference field="4294967294" count="1" selected="0">
            <x v="0"/>
          </reference>
          <reference field="1" count="1" selected="0">
            <x v="332"/>
          </reference>
        </references>
      </pivotArea>
    </chartFormat>
    <chartFormat chart="18" format="335">
      <pivotArea type="data" outline="0" fieldPosition="0">
        <references count="2">
          <reference field="4294967294" count="1" selected="0">
            <x v="0"/>
          </reference>
          <reference field="1" count="1" selected="0">
            <x v="333"/>
          </reference>
        </references>
      </pivotArea>
    </chartFormat>
    <chartFormat chart="18" format="336">
      <pivotArea type="data" outline="0" fieldPosition="0">
        <references count="2">
          <reference field="4294967294" count="1" selected="0">
            <x v="0"/>
          </reference>
          <reference field="1" count="1" selected="0">
            <x v="334"/>
          </reference>
        </references>
      </pivotArea>
    </chartFormat>
    <chartFormat chart="18" format="337">
      <pivotArea type="data" outline="0" fieldPosition="0">
        <references count="2">
          <reference field="4294967294" count="1" selected="0">
            <x v="0"/>
          </reference>
          <reference field="1" count="1" selected="0">
            <x v="335"/>
          </reference>
        </references>
      </pivotArea>
    </chartFormat>
    <chartFormat chart="18" format="338">
      <pivotArea type="data" outline="0" fieldPosition="0">
        <references count="2">
          <reference field="4294967294" count="1" selected="0">
            <x v="0"/>
          </reference>
          <reference field="1" count="1" selected="0">
            <x v="336"/>
          </reference>
        </references>
      </pivotArea>
    </chartFormat>
    <chartFormat chart="18" format="339">
      <pivotArea type="data" outline="0" fieldPosition="0">
        <references count="2">
          <reference field="4294967294" count="1" selected="0">
            <x v="0"/>
          </reference>
          <reference field="1" count="1" selected="0">
            <x v="337"/>
          </reference>
        </references>
      </pivotArea>
    </chartFormat>
    <chartFormat chart="18" format="340">
      <pivotArea type="data" outline="0" fieldPosition="0">
        <references count="2">
          <reference field="4294967294" count="1" selected="0">
            <x v="0"/>
          </reference>
          <reference field="1" count="1" selected="0">
            <x v="338"/>
          </reference>
        </references>
      </pivotArea>
    </chartFormat>
    <chartFormat chart="18" format="34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9"/>
          </reference>
        </references>
      </pivotArea>
    </chartFormat>
    <chartFormat chart="18" format="342">
      <pivotArea type="data" outline="0" fieldPosition="0">
        <references count="2">
          <reference field="4294967294" count="1" selected="0">
            <x v="0"/>
          </reference>
          <reference field="1" count="1" selected="0">
            <x v="340"/>
          </reference>
        </references>
      </pivotArea>
    </chartFormat>
    <chartFormat chart="18" format="343">
      <pivotArea type="data" outline="0" fieldPosition="0">
        <references count="2">
          <reference field="4294967294" count="1" selected="0">
            <x v="0"/>
          </reference>
          <reference field="1" count="1" selected="0">
            <x v="341"/>
          </reference>
        </references>
      </pivotArea>
    </chartFormat>
    <chartFormat chart="18" format="344">
      <pivotArea type="data" outline="0" fieldPosition="0">
        <references count="2">
          <reference field="4294967294" count="1" selected="0">
            <x v="0"/>
          </reference>
          <reference field="1" count="1" selected="0">
            <x v="342"/>
          </reference>
        </references>
      </pivotArea>
    </chartFormat>
    <chartFormat chart="18" format="345">
      <pivotArea type="data" outline="0" fieldPosition="0">
        <references count="2">
          <reference field="4294967294" count="1" selected="0">
            <x v="0"/>
          </reference>
          <reference field="1" count="1" selected="0">
            <x v="343"/>
          </reference>
        </references>
      </pivotArea>
    </chartFormat>
    <chartFormat chart="18" format="346">
      <pivotArea type="data" outline="0" fieldPosition="0">
        <references count="2">
          <reference field="4294967294" count="1" selected="0">
            <x v="0"/>
          </reference>
          <reference field="1" count="1" selected="0">
            <x v="344"/>
          </reference>
        </references>
      </pivotArea>
    </chartFormat>
    <chartFormat chart="18" format="347">
      <pivotArea type="data" outline="0" fieldPosition="0">
        <references count="2">
          <reference field="4294967294" count="1" selected="0">
            <x v="0"/>
          </reference>
          <reference field="1" count="1" selected="0">
            <x v="345"/>
          </reference>
        </references>
      </pivotArea>
    </chartFormat>
    <chartFormat chart="19" format="3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4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35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9" format="35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9" format="35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9" format="35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9" format="35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9" format="355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9" format="356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9" format="357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9" format="358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9" format="359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9" format="360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9" format="36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9" format="362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9" format="363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9" format="364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9" format="365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9" format="366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9" format="367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9" format="368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19" format="369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19" format="370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19" format="37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19" format="372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19" format="373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19" format="374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19" format="375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19" format="376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19" format="377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19" format="378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19" format="379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19" format="380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19" format="38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19" format="382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19" format="383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19" format="384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19" format="385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19" format="386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19" format="387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19" format="388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19" format="389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19" format="390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19" format="39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19" format="392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19" format="393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19" format="394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19" format="395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19" format="396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19" format="397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19" format="398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19" format="399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19" format="400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19" format="40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19" format="402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19" format="403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19" format="404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19" format="405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19" format="406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19" format="407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19" format="408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19" format="409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19" format="410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19" format="411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19" format="412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19" format="413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19" format="414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19" format="415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19" format="416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19" format="417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19" format="418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19" format="419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19" format="420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19" format="421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19" format="422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19" format="423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19" format="424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19" format="425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19" format="426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19" format="427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19" format="428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  <chartFormat chart="19" format="429">
      <pivotArea type="data" outline="0" fieldPosition="0">
        <references count="2">
          <reference field="4294967294" count="1" selected="0">
            <x v="0"/>
          </reference>
          <reference field="1" count="1" selected="0">
            <x v="80"/>
          </reference>
        </references>
      </pivotArea>
    </chartFormat>
    <chartFormat chart="19" format="430">
      <pivotArea type="data" outline="0" fieldPosition="0">
        <references count="2">
          <reference field="4294967294" count="1" selected="0">
            <x v="0"/>
          </reference>
          <reference field="1" count="1" selected="0">
            <x v="81"/>
          </reference>
        </references>
      </pivotArea>
    </chartFormat>
    <chartFormat chart="19" format="431">
      <pivotArea type="data" outline="0" fieldPosition="0">
        <references count="2">
          <reference field="4294967294" count="1" selected="0">
            <x v="0"/>
          </reference>
          <reference field="1" count="1" selected="0">
            <x v="82"/>
          </reference>
        </references>
      </pivotArea>
    </chartFormat>
    <chartFormat chart="19" format="432">
      <pivotArea type="data" outline="0" fieldPosition="0">
        <references count="2">
          <reference field="4294967294" count="1" selected="0">
            <x v="0"/>
          </reference>
          <reference field="1" count="1" selected="0">
            <x v="83"/>
          </reference>
        </references>
      </pivotArea>
    </chartFormat>
    <chartFormat chart="19" format="433">
      <pivotArea type="data" outline="0" fieldPosition="0">
        <references count="2">
          <reference field="4294967294" count="1" selected="0">
            <x v="0"/>
          </reference>
          <reference field="1" count="1" selected="0">
            <x v="84"/>
          </reference>
        </references>
      </pivotArea>
    </chartFormat>
    <chartFormat chart="19" format="434">
      <pivotArea type="data" outline="0" fieldPosition="0">
        <references count="2">
          <reference field="4294967294" count="1" selected="0">
            <x v="0"/>
          </reference>
          <reference field="1" count="1" selected="0">
            <x v="85"/>
          </reference>
        </references>
      </pivotArea>
    </chartFormat>
    <chartFormat chart="19" format="435">
      <pivotArea type="data" outline="0" fieldPosition="0">
        <references count="2">
          <reference field="4294967294" count="1" selected="0">
            <x v="0"/>
          </reference>
          <reference field="1" count="1" selected="0">
            <x v="86"/>
          </reference>
        </references>
      </pivotArea>
    </chartFormat>
    <chartFormat chart="19" format="436">
      <pivotArea type="data" outline="0" fieldPosition="0">
        <references count="2">
          <reference field="4294967294" count="1" selected="0">
            <x v="0"/>
          </reference>
          <reference field="1" count="1" selected="0">
            <x v="87"/>
          </reference>
        </references>
      </pivotArea>
    </chartFormat>
    <chartFormat chart="19" format="437">
      <pivotArea type="data" outline="0" fieldPosition="0">
        <references count="2">
          <reference field="4294967294" count="1" selected="0">
            <x v="0"/>
          </reference>
          <reference field="1" count="1" selected="0">
            <x v="88"/>
          </reference>
        </references>
      </pivotArea>
    </chartFormat>
    <chartFormat chart="19" format="438">
      <pivotArea type="data" outline="0" fieldPosition="0">
        <references count="2">
          <reference field="4294967294" count="1" selected="0">
            <x v="0"/>
          </reference>
          <reference field="1" count="1" selected="0">
            <x v="89"/>
          </reference>
        </references>
      </pivotArea>
    </chartFormat>
    <chartFormat chart="19" format="439">
      <pivotArea type="data" outline="0" fieldPosition="0">
        <references count="2">
          <reference field="4294967294" count="1" selected="0">
            <x v="0"/>
          </reference>
          <reference field="1" count="1" selected="0">
            <x v="90"/>
          </reference>
        </references>
      </pivotArea>
    </chartFormat>
    <chartFormat chart="19" format="440">
      <pivotArea type="data" outline="0" fieldPosition="0">
        <references count="2">
          <reference field="4294967294" count="1" selected="0">
            <x v="0"/>
          </reference>
          <reference field="1" count="1" selected="0">
            <x v="91"/>
          </reference>
        </references>
      </pivotArea>
    </chartFormat>
    <chartFormat chart="19" format="441">
      <pivotArea type="data" outline="0" fieldPosition="0">
        <references count="2">
          <reference field="4294967294" count="1" selected="0">
            <x v="0"/>
          </reference>
          <reference field="1" count="1" selected="0">
            <x v="92"/>
          </reference>
        </references>
      </pivotArea>
    </chartFormat>
    <chartFormat chart="19" format="442">
      <pivotArea type="data" outline="0" fieldPosition="0">
        <references count="2">
          <reference field="4294967294" count="1" selected="0">
            <x v="0"/>
          </reference>
          <reference field="1" count="1" selected="0">
            <x v="93"/>
          </reference>
        </references>
      </pivotArea>
    </chartFormat>
    <chartFormat chart="19" format="443">
      <pivotArea type="data" outline="0" fieldPosition="0">
        <references count="2">
          <reference field="4294967294" count="1" selected="0">
            <x v="0"/>
          </reference>
          <reference field="1" count="1" selected="0">
            <x v="94"/>
          </reference>
        </references>
      </pivotArea>
    </chartFormat>
    <chartFormat chart="19" format="444">
      <pivotArea type="data" outline="0" fieldPosition="0">
        <references count="2">
          <reference field="4294967294" count="1" selected="0">
            <x v="0"/>
          </reference>
          <reference field="1" count="1" selected="0">
            <x v="95"/>
          </reference>
        </references>
      </pivotArea>
    </chartFormat>
    <chartFormat chart="19" format="445">
      <pivotArea type="data" outline="0" fieldPosition="0">
        <references count="2">
          <reference field="4294967294" count="1" selected="0">
            <x v="0"/>
          </reference>
          <reference field="1" count="1" selected="0">
            <x v="96"/>
          </reference>
        </references>
      </pivotArea>
    </chartFormat>
    <chartFormat chart="19" format="446">
      <pivotArea type="data" outline="0" fieldPosition="0">
        <references count="2">
          <reference field="4294967294" count="1" selected="0">
            <x v="0"/>
          </reference>
          <reference field="1" count="1" selected="0">
            <x v="97"/>
          </reference>
        </references>
      </pivotArea>
    </chartFormat>
    <chartFormat chart="19" format="447">
      <pivotArea type="data" outline="0" fieldPosition="0">
        <references count="2">
          <reference field="4294967294" count="1" selected="0">
            <x v="0"/>
          </reference>
          <reference field="1" count="1" selected="0">
            <x v="98"/>
          </reference>
        </references>
      </pivotArea>
    </chartFormat>
    <chartFormat chart="19" format="448">
      <pivotArea type="data" outline="0" fieldPosition="0">
        <references count="2">
          <reference field="4294967294" count="1" selected="0">
            <x v="0"/>
          </reference>
          <reference field="1" count="1" selected="0">
            <x v="99"/>
          </reference>
        </references>
      </pivotArea>
    </chartFormat>
    <chartFormat chart="19" format="449">
      <pivotArea type="data" outline="0" fieldPosition="0">
        <references count="2">
          <reference field="4294967294" count="1" selected="0">
            <x v="0"/>
          </reference>
          <reference field="1" count="1" selected="0">
            <x v="100"/>
          </reference>
        </references>
      </pivotArea>
    </chartFormat>
    <chartFormat chart="19" format="450">
      <pivotArea type="data" outline="0" fieldPosition="0">
        <references count="2">
          <reference field="4294967294" count="1" selected="0">
            <x v="0"/>
          </reference>
          <reference field="1" count="1" selected="0">
            <x v="101"/>
          </reference>
        </references>
      </pivotArea>
    </chartFormat>
    <chartFormat chart="19" format="45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2"/>
          </reference>
        </references>
      </pivotArea>
    </chartFormat>
    <chartFormat chart="19" format="452">
      <pivotArea type="data" outline="0" fieldPosition="0">
        <references count="2">
          <reference field="4294967294" count="1" selected="0">
            <x v="0"/>
          </reference>
          <reference field="1" count="1" selected="0">
            <x v="103"/>
          </reference>
        </references>
      </pivotArea>
    </chartFormat>
    <chartFormat chart="19" format="453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"/>
          </reference>
        </references>
      </pivotArea>
    </chartFormat>
    <chartFormat chart="19" format="454">
      <pivotArea type="data" outline="0" fieldPosition="0">
        <references count="2">
          <reference field="4294967294" count="1" selected="0">
            <x v="0"/>
          </reference>
          <reference field="1" count="1" selected="0">
            <x v="105"/>
          </reference>
        </references>
      </pivotArea>
    </chartFormat>
    <chartFormat chart="19" format="455">
      <pivotArea type="data" outline="0" fieldPosition="0">
        <references count="2">
          <reference field="4294967294" count="1" selected="0">
            <x v="0"/>
          </reference>
          <reference field="1" count="1" selected="0">
            <x v="106"/>
          </reference>
        </references>
      </pivotArea>
    </chartFormat>
    <chartFormat chart="19" format="456">
      <pivotArea type="data" outline="0" fieldPosition="0">
        <references count="2">
          <reference field="4294967294" count="1" selected="0">
            <x v="0"/>
          </reference>
          <reference field="1" count="1" selected="0">
            <x v="107"/>
          </reference>
        </references>
      </pivotArea>
    </chartFormat>
    <chartFormat chart="19" format="457">
      <pivotArea type="data" outline="0" fieldPosition="0">
        <references count="2">
          <reference field="4294967294" count="1" selected="0">
            <x v="0"/>
          </reference>
          <reference field="1" count="1" selected="0">
            <x v="108"/>
          </reference>
        </references>
      </pivotArea>
    </chartFormat>
    <chartFormat chart="19" format="458">
      <pivotArea type="data" outline="0" fieldPosition="0">
        <references count="2">
          <reference field="4294967294" count="1" selected="0">
            <x v="0"/>
          </reference>
          <reference field="1" count="1" selected="0">
            <x v="109"/>
          </reference>
        </references>
      </pivotArea>
    </chartFormat>
    <chartFormat chart="19" format="459">
      <pivotArea type="data" outline="0" fieldPosition="0">
        <references count="2">
          <reference field="4294967294" count="1" selected="0">
            <x v="0"/>
          </reference>
          <reference field="1" count="1" selected="0">
            <x v="110"/>
          </reference>
        </references>
      </pivotArea>
    </chartFormat>
    <chartFormat chart="19" format="460">
      <pivotArea type="data" outline="0" fieldPosition="0">
        <references count="2">
          <reference field="4294967294" count="1" selected="0">
            <x v="0"/>
          </reference>
          <reference field="1" count="1" selected="0">
            <x v="111"/>
          </reference>
        </references>
      </pivotArea>
    </chartFormat>
    <chartFormat chart="19" format="46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2"/>
          </reference>
        </references>
      </pivotArea>
    </chartFormat>
    <chartFormat chart="19" format="46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3"/>
          </reference>
        </references>
      </pivotArea>
    </chartFormat>
    <chartFormat chart="19" format="463">
      <pivotArea type="data" outline="0" fieldPosition="0">
        <references count="2">
          <reference field="4294967294" count="1" selected="0">
            <x v="0"/>
          </reference>
          <reference field="1" count="1" selected="0">
            <x v="114"/>
          </reference>
        </references>
      </pivotArea>
    </chartFormat>
    <chartFormat chart="19" format="464">
      <pivotArea type="data" outline="0" fieldPosition="0">
        <references count="2">
          <reference field="4294967294" count="1" selected="0">
            <x v="0"/>
          </reference>
          <reference field="1" count="1" selected="0">
            <x v="115"/>
          </reference>
        </references>
      </pivotArea>
    </chartFormat>
    <chartFormat chart="19" format="465">
      <pivotArea type="data" outline="0" fieldPosition="0">
        <references count="2">
          <reference field="4294967294" count="1" selected="0">
            <x v="0"/>
          </reference>
          <reference field="1" count="1" selected="0">
            <x v="116"/>
          </reference>
        </references>
      </pivotArea>
    </chartFormat>
    <chartFormat chart="19" format="466">
      <pivotArea type="data" outline="0" fieldPosition="0">
        <references count="2">
          <reference field="4294967294" count="1" selected="0">
            <x v="0"/>
          </reference>
          <reference field="1" count="1" selected="0">
            <x v="117"/>
          </reference>
        </references>
      </pivotArea>
    </chartFormat>
    <chartFormat chart="19" format="467">
      <pivotArea type="data" outline="0" fieldPosition="0">
        <references count="2">
          <reference field="4294967294" count="1" selected="0">
            <x v="0"/>
          </reference>
          <reference field="1" count="1" selected="0">
            <x v="118"/>
          </reference>
        </references>
      </pivotArea>
    </chartFormat>
    <chartFormat chart="19" format="468">
      <pivotArea type="data" outline="0" fieldPosition="0">
        <references count="2">
          <reference field="4294967294" count="1" selected="0">
            <x v="0"/>
          </reference>
          <reference field="1" count="1" selected="0">
            <x v="119"/>
          </reference>
        </references>
      </pivotArea>
    </chartFormat>
    <chartFormat chart="19" format="469">
      <pivotArea type="data" outline="0" fieldPosition="0">
        <references count="2">
          <reference field="4294967294" count="1" selected="0">
            <x v="0"/>
          </reference>
          <reference field="1" count="1" selected="0">
            <x v="120"/>
          </reference>
        </references>
      </pivotArea>
    </chartFormat>
    <chartFormat chart="19" format="470">
      <pivotArea type="data" outline="0" fieldPosition="0">
        <references count="2">
          <reference field="4294967294" count="1" selected="0">
            <x v="0"/>
          </reference>
          <reference field="1" count="1" selected="0">
            <x v="121"/>
          </reference>
        </references>
      </pivotArea>
    </chartFormat>
    <chartFormat chart="19" format="47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2"/>
          </reference>
        </references>
      </pivotArea>
    </chartFormat>
    <chartFormat chart="19" format="472">
      <pivotArea type="data" outline="0" fieldPosition="0">
        <references count="2">
          <reference field="4294967294" count="1" selected="0">
            <x v="0"/>
          </reference>
          <reference field="1" count="1" selected="0">
            <x v="123"/>
          </reference>
        </references>
      </pivotArea>
    </chartFormat>
    <chartFormat chart="19" format="473">
      <pivotArea type="data" outline="0" fieldPosition="0">
        <references count="2">
          <reference field="4294967294" count="1" selected="0">
            <x v="0"/>
          </reference>
          <reference field="1" count="1" selected="0">
            <x v="124"/>
          </reference>
        </references>
      </pivotArea>
    </chartFormat>
    <chartFormat chart="19" format="474">
      <pivotArea type="data" outline="0" fieldPosition="0">
        <references count="2">
          <reference field="4294967294" count="1" selected="0">
            <x v="0"/>
          </reference>
          <reference field="1" count="1" selected="0">
            <x v="125"/>
          </reference>
        </references>
      </pivotArea>
    </chartFormat>
    <chartFormat chart="19" format="475">
      <pivotArea type="data" outline="0" fieldPosition="0">
        <references count="2">
          <reference field="4294967294" count="1" selected="0">
            <x v="0"/>
          </reference>
          <reference field="1" count="1" selected="0">
            <x v="126"/>
          </reference>
        </references>
      </pivotArea>
    </chartFormat>
    <chartFormat chart="19" format="476">
      <pivotArea type="data" outline="0" fieldPosition="0">
        <references count="2">
          <reference field="4294967294" count="1" selected="0">
            <x v="0"/>
          </reference>
          <reference field="1" count="1" selected="0">
            <x v="127"/>
          </reference>
        </references>
      </pivotArea>
    </chartFormat>
    <chartFormat chart="19" format="477">
      <pivotArea type="data" outline="0" fieldPosition="0">
        <references count="2">
          <reference field="4294967294" count="1" selected="0">
            <x v="0"/>
          </reference>
          <reference field="1" count="1" selected="0">
            <x v="128"/>
          </reference>
        </references>
      </pivotArea>
    </chartFormat>
    <chartFormat chart="19" format="478">
      <pivotArea type="data" outline="0" fieldPosition="0">
        <references count="2">
          <reference field="4294967294" count="1" selected="0">
            <x v="0"/>
          </reference>
          <reference field="1" count="1" selected="0">
            <x v="129"/>
          </reference>
        </references>
      </pivotArea>
    </chartFormat>
    <chartFormat chart="19" format="479">
      <pivotArea type="data" outline="0" fieldPosition="0">
        <references count="2">
          <reference field="4294967294" count="1" selected="0">
            <x v="0"/>
          </reference>
          <reference field="1" count="1" selected="0">
            <x v="130"/>
          </reference>
        </references>
      </pivotArea>
    </chartFormat>
    <chartFormat chart="19" format="480">
      <pivotArea type="data" outline="0" fieldPosition="0">
        <references count="2">
          <reference field="4294967294" count="1" selected="0">
            <x v="0"/>
          </reference>
          <reference field="1" count="1" selected="0">
            <x v="131"/>
          </reference>
        </references>
      </pivotArea>
    </chartFormat>
    <chartFormat chart="19" format="48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2"/>
          </reference>
        </references>
      </pivotArea>
    </chartFormat>
    <chartFormat chart="19" format="482">
      <pivotArea type="data" outline="0" fieldPosition="0">
        <references count="2">
          <reference field="4294967294" count="1" selected="0">
            <x v="0"/>
          </reference>
          <reference field="1" count="1" selected="0">
            <x v="133"/>
          </reference>
        </references>
      </pivotArea>
    </chartFormat>
    <chartFormat chart="19" format="483">
      <pivotArea type="data" outline="0" fieldPosition="0">
        <references count="2">
          <reference field="4294967294" count="1" selected="0">
            <x v="0"/>
          </reference>
          <reference field="1" count="1" selected="0">
            <x v="134"/>
          </reference>
        </references>
      </pivotArea>
    </chartFormat>
    <chartFormat chart="19" format="484">
      <pivotArea type="data" outline="0" fieldPosition="0">
        <references count="2">
          <reference field="4294967294" count="1" selected="0">
            <x v="0"/>
          </reference>
          <reference field="1" count="1" selected="0">
            <x v="135"/>
          </reference>
        </references>
      </pivotArea>
    </chartFormat>
    <chartFormat chart="19" format="485">
      <pivotArea type="data" outline="0" fieldPosition="0">
        <references count="2">
          <reference field="4294967294" count="1" selected="0">
            <x v="0"/>
          </reference>
          <reference field="1" count="1" selected="0">
            <x v="136"/>
          </reference>
        </references>
      </pivotArea>
    </chartFormat>
    <chartFormat chart="19" format="486">
      <pivotArea type="data" outline="0" fieldPosition="0">
        <references count="2">
          <reference field="4294967294" count="1" selected="0">
            <x v="0"/>
          </reference>
          <reference field="1" count="1" selected="0">
            <x v="137"/>
          </reference>
        </references>
      </pivotArea>
    </chartFormat>
    <chartFormat chart="19" format="487">
      <pivotArea type="data" outline="0" fieldPosition="0">
        <references count="2">
          <reference field="4294967294" count="1" selected="0">
            <x v="0"/>
          </reference>
          <reference field="1" count="1" selected="0">
            <x v="138"/>
          </reference>
        </references>
      </pivotArea>
    </chartFormat>
    <chartFormat chart="19" format="488">
      <pivotArea type="data" outline="0" fieldPosition="0">
        <references count="2">
          <reference field="4294967294" count="1" selected="0">
            <x v="0"/>
          </reference>
          <reference field="1" count="1" selected="0">
            <x v="139"/>
          </reference>
        </references>
      </pivotArea>
    </chartFormat>
    <chartFormat chart="19" format="489">
      <pivotArea type="data" outline="0" fieldPosition="0">
        <references count="2">
          <reference field="4294967294" count="1" selected="0">
            <x v="0"/>
          </reference>
          <reference field="1" count="1" selected="0">
            <x v="140"/>
          </reference>
        </references>
      </pivotArea>
    </chartFormat>
    <chartFormat chart="19" format="490">
      <pivotArea type="data" outline="0" fieldPosition="0">
        <references count="2">
          <reference field="4294967294" count="1" selected="0">
            <x v="0"/>
          </reference>
          <reference field="1" count="1" selected="0">
            <x v="141"/>
          </reference>
        </references>
      </pivotArea>
    </chartFormat>
    <chartFormat chart="19" format="49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2"/>
          </reference>
        </references>
      </pivotArea>
    </chartFormat>
    <chartFormat chart="19" format="492">
      <pivotArea type="data" outline="0" fieldPosition="0">
        <references count="2">
          <reference field="4294967294" count="1" selected="0">
            <x v="0"/>
          </reference>
          <reference field="1" count="1" selected="0">
            <x v="143"/>
          </reference>
        </references>
      </pivotArea>
    </chartFormat>
    <chartFormat chart="19" format="493">
      <pivotArea type="data" outline="0" fieldPosition="0">
        <references count="2">
          <reference field="4294967294" count="1" selected="0">
            <x v="0"/>
          </reference>
          <reference field="1" count="1" selected="0">
            <x v="144"/>
          </reference>
        </references>
      </pivotArea>
    </chartFormat>
    <chartFormat chart="19" format="494">
      <pivotArea type="data" outline="0" fieldPosition="0">
        <references count="2">
          <reference field="4294967294" count="1" selected="0">
            <x v="0"/>
          </reference>
          <reference field="1" count="1" selected="0">
            <x v="145"/>
          </reference>
        </references>
      </pivotArea>
    </chartFormat>
    <chartFormat chart="19" format="49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6"/>
          </reference>
        </references>
      </pivotArea>
    </chartFormat>
    <chartFormat chart="19" format="496">
      <pivotArea type="data" outline="0" fieldPosition="0">
        <references count="2">
          <reference field="4294967294" count="1" selected="0">
            <x v="0"/>
          </reference>
          <reference field="1" count="1" selected="0">
            <x v="147"/>
          </reference>
        </references>
      </pivotArea>
    </chartFormat>
    <chartFormat chart="19" format="497">
      <pivotArea type="data" outline="0" fieldPosition="0">
        <references count="2">
          <reference field="4294967294" count="1" selected="0">
            <x v="0"/>
          </reference>
          <reference field="1" count="1" selected="0">
            <x v="148"/>
          </reference>
        </references>
      </pivotArea>
    </chartFormat>
    <chartFormat chart="19" format="498">
      <pivotArea type="data" outline="0" fieldPosition="0">
        <references count="2">
          <reference field="4294967294" count="1" selected="0">
            <x v="0"/>
          </reference>
          <reference field="1" count="1" selected="0">
            <x v="149"/>
          </reference>
        </references>
      </pivotArea>
    </chartFormat>
    <chartFormat chart="19" format="499">
      <pivotArea type="data" outline="0" fieldPosition="0">
        <references count="2">
          <reference field="4294967294" count="1" selected="0">
            <x v="0"/>
          </reference>
          <reference field="1" count="1" selected="0">
            <x v="150"/>
          </reference>
        </references>
      </pivotArea>
    </chartFormat>
    <chartFormat chart="19" format="500">
      <pivotArea type="data" outline="0" fieldPosition="0">
        <references count="2">
          <reference field="4294967294" count="1" selected="0">
            <x v="0"/>
          </reference>
          <reference field="1" count="1" selected="0">
            <x v="151"/>
          </reference>
        </references>
      </pivotArea>
    </chartFormat>
    <chartFormat chart="19" format="50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2"/>
          </reference>
        </references>
      </pivotArea>
    </chartFormat>
    <chartFormat chart="19" format="502">
      <pivotArea type="data" outline="0" fieldPosition="0">
        <references count="2">
          <reference field="4294967294" count="1" selected="0">
            <x v="0"/>
          </reference>
          <reference field="1" count="1" selected="0">
            <x v="153"/>
          </reference>
        </references>
      </pivotArea>
    </chartFormat>
    <chartFormat chart="19" format="503">
      <pivotArea type="data" outline="0" fieldPosition="0">
        <references count="2">
          <reference field="4294967294" count="1" selected="0">
            <x v="0"/>
          </reference>
          <reference field="1" count="1" selected="0">
            <x v="154"/>
          </reference>
        </references>
      </pivotArea>
    </chartFormat>
    <chartFormat chart="19" format="504">
      <pivotArea type="data" outline="0" fieldPosition="0">
        <references count="2">
          <reference field="4294967294" count="1" selected="0">
            <x v="0"/>
          </reference>
          <reference field="1" count="1" selected="0">
            <x v="155"/>
          </reference>
        </references>
      </pivotArea>
    </chartFormat>
    <chartFormat chart="19" format="505">
      <pivotArea type="data" outline="0" fieldPosition="0">
        <references count="2">
          <reference field="4294967294" count="1" selected="0">
            <x v="0"/>
          </reference>
          <reference field="1" count="1" selected="0">
            <x v="156"/>
          </reference>
        </references>
      </pivotArea>
    </chartFormat>
    <chartFormat chart="19" format="506">
      <pivotArea type="data" outline="0" fieldPosition="0">
        <references count="2">
          <reference field="4294967294" count="1" selected="0">
            <x v="0"/>
          </reference>
          <reference field="1" count="1" selected="0">
            <x v="157"/>
          </reference>
        </references>
      </pivotArea>
    </chartFormat>
    <chartFormat chart="19" format="507">
      <pivotArea type="data" outline="0" fieldPosition="0">
        <references count="2">
          <reference field="4294967294" count="1" selected="0">
            <x v="0"/>
          </reference>
          <reference field="1" count="1" selected="0">
            <x v="158"/>
          </reference>
        </references>
      </pivotArea>
    </chartFormat>
    <chartFormat chart="19" format="508">
      <pivotArea type="data" outline="0" fieldPosition="0">
        <references count="2">
          <reference field="4294967294" count="1" selected="0">
            <x v="0"/>
          </reference>
          <reference field="1" count="1" selected="0">
            <x v="159"/>
          </reference>
        </references>
      </pivotArea>
    </chartFormat>
    <chartFormat chart="19" format="509">
      <pivotArea type="data" outline="0" fieldPosition="0">
        <references count="2">
          <reference field="4294967294" count="1" selected="0">
            <x v="0"/>
          </reference>
          <reference field="1" count="1" selected="0">
            <x v="160"/>
          </reference>
        </references>
      </pivotArea>
    </chartFormat>
    <chartFormat chart="19" format="5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61"/>
          </reference>
        </references>
      </pivotArea>
    </chartFormat>
    <chartFormat chart="19" format="5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2"/>
          </reference>
        </references>
      </pivotArea>
    </chartFormat>
    <chartFormat chart="19" format="5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63"/>
          </reference>
        </references>
      </pivotArea>
    </chartFormat>
    <chartFormat chart="19" format="5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64"/>
          </reference>
        </references>
      </pivotArea>
    </chartFormat>
    <chartFormat chart="19" format="5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65"/>
          </reference>
        </references>
      </pivotArea>
    </chartFormat>
    <chartFormat chart="19" format="5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66"/>
          </reference>
        </references>
      </pivotArea>
    </chartFormat>
    <chartFormat chart="19" format="5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67"/>
          </reference>
        </references>
      </pivotArea>
    </chartFormat>
    <chartFormat chart="19" format="5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68"/>
          </reference>
        </references>
      </pivotArea>
    </chartFormat>
    <chartFormat chart="19" format="5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69"/>
          </reference>
        </references>
      </pivotArea>
    </chartFormat>
    <chartFormat chart="19" format="519">
      <pivotArea type="data" outline="0" fieldPosition="0">
        <references count="2">
          <reference field="4294967294" count="1" selected="0">
            <x v="0"/>
          </reference>
          <reference field="1" count="1" selected="0">
            <x v="170"/>
          </reference>
        </references>
      </pivotArea>
    </chartFormat>
    <chartFormat chart="19" format="520">
      <pivotArea type="data" outline="0" fieldPosition="0">
        <references count="2">
          <reference field="4294967294" count="1" selected="0">
            <x v="0"/>
          </reference>
          <reference field="1" count="1" selected="0">
            <x v="171"/>
          </reference>
        </references>
      </pivotArea>
    </chartFormat>
    <chartFormat chart="19" format="5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2"/>
          </reference>
        </references>
      </pivotArea>
    </chartFormat>
    <chartFormat chart="19" format="522">
      <pivotArea type="data" outline="0" fieldPosition="0">
        <references count="2">
          <reference field="4294967294" count="1" selected="0">
            <x v="0"/>
          </reference>
          <reference field="1" count="1" selected="0">
            <x v="173"/>
          </reference>
        </references>
      </pivotArea>
    </chartFormat>
    <chartFormat chart="19" format="523">
      <pivotArea type="data" outline="0" fieldPosition="0">
        <references count="2">
          <reference field="4294967294" count="1" selected="0">
            <x v="0"/>
          </reference>
          <reference field="1" count="1" selected="0">
            <x v="174"/>
          </reference>
        </references>
      </pivotArea>
    </chartFormat>
    <chartFormat chart="19" format="5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75"/>
          </reference>
        </references>
      </pivotArea>
    </chartFormat>
    <chartFormat chart="19" format="525">
      <pivotArea type="data" outline="0" fieldPosition="0">
        <references count="2">
          <reference field="4294967294" count="1" selected="0">
            <x v="0"/>
          </reference>
          <reference field="1" count="1" selected="0">
            <x v="176"/>
          </reference>
        </references>
      </pivotArea>
    </chartFormat>
    <chartFormat chart="19" format="526">
      <pivotArea type="data" outline="0" fieldPosition="0">
        <references count="2">
          <reference field="4294967294" count="1" selected="0">
            <x v="0"/>
          </reference>
          <reference field="1" count="1" selected="0">
            <x v="177"/>
          </reference>
        </references>
      </pivotArea>
    </chartFormat>
    <chartFormat chart="19" format="527">
      <pivotArea type="data" outline="0" fieldPosition="0">
        <references count="2">
          <reference field="4294967294" count="1" selected="0">
            <x v="0"/>
          </reference>
          <reference field="1" count="1" selected="0">
            <x v="178"/>
          </reference>
        </references>
      </pivotArea>
    </chartFormat>
    <chartFormat chart="19" format="528">
      <pivotArea type="data" outline="0" fieldPosition="0">
        <references count="2">
          <reference field="4294967294" count="1" selected="0">
            <x v="0"/>
          </reference>
          <reference field="1" count="1" selected="0">
            <x v="179"/>
          </reference>
        </references>
      </pivotArea>
    </chartFormat>
    <chartFormat chart="19" format="529">
      <pivotArea type="data" outline="0" fieldPosition="0">
        <references count="2">
          <reference field="4294967294" count="1" selected="0">
            <x v="0"/>
          </reference>
          <reference field="1" count="1" selected="0">
            <x v="180"/>
          </reference>
        </references>
      </pivotArea>
    </chartFormat>
    <chartFormat chart="19" format="530">
      <pivotArea type="data" outline="0" fieldPosition="0">
        <references count="2">
          <reference field="4294967294" count="1" selected="0">
            <x v="0"/>
          </reference>
          <reference field="1" count="1" selected="0">
            <x v="181"/>
          </reference>
        </references>
      </pivotArea>
    </chartFormat>
    <chartFormat chart="19" format="53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2"/>
          </reference>
        </references>
      </pivotArea>
    </chartFormat>
    <chartFormat chart="19" format="532">
      <pivotArea type="data" outline="0" fieldPosition="0">
        <references count="2">
          <reference field="4294967294" count="1" selected="0">
            <x v="0"/>
          </reference>
          <reference field="1" count="1" selected="0">
            <x v="183"/>
          </reference>
        </references>
      </pivotArea>
    </chartFormat>
    <chartFormat chart="19" format="533">
      <pivotArea type="data" outline="0" fieldPosition="0">
        <references count="2">
          <reference field="4294967294" count="1" selected="0">
            <x v="0"/>
          </reference>
          <reference field="1" count="1" selected="0">
            <x v="184"/>
          </reference>
        </references>
      </pivotArea>
    </chartFormat>
    <chartFormat chart="19" format="534">
      <pivotArea type="data" outline="0" fieldPosition="0">
        <references count="2">
          <reference field="4294967294" count="1" selected="0">
            <x v="0"/>
          </reference>
          <reference field="1" count="1" selected="0">
            <x v="185"/>
          </reference>
        </references>
      </pivotArea>
    </chartFormat>
    <chartFormat chart="19" format="535">
      <pivotArea type="data" outline="0" fieldPosition="0">
        <references count="2">
          <reference field="4294967294" count="1" selected="0">
            <x v="0"/>
          </reference>
          <reference field="1" count="1" selected="0">
            <x v="186"/>
          </reference>
        </references>
      </pivotArea>
    </chartFormat>
    <chartFormat chart="19" format="536">
      <pivotArea type="data" outline="0" fieldPosition="0">
        <references count="2">
          <reference field="4294967294" count="1" selected="0">
            <x v="0"/>
          </reference>
          <reference field="1" count="1" selected="0">
            <x v="187"/>
          </reference>
        </references>
      </pivotArea>
    </chartFormat>
    <chartFormat chart="19" format="537">
      <pivotArea type="data" outline="0" fieldPosition="0">
        <references count="2">
          <reference field="4294967294" count="1" selected="0">
            <x v="0"/>
          </reference>
          <reference field="1" count="1" selected="0">
            <x v="188"/>
          </reference>
        </references>
      </pivotArea>
    </chartFormat>
    <chartFormat chart="19" format="538">
      <pivotArea type="data" outline="0" fieldPosition="0">
        <references count="2">
          <reference field="4294967294" count="1" selected="0">
            <x v="0"/>
          </reference>
          <reference field="1" count="1" selected="0">
            <x v="189"/>
          </reference>
        </references>
      </pivotArea>
    </chartFormat>
    <chartFormat chart="19" format="539">
      <pivotArea type="data" outline="0" fieldPosition="0">
        <references count="2">
          <reference field="4294967294" count="1" selected="0">
            <x v="0"/>
          </reference>
          <reference field="1" count="1" selected="0">
            <x v="190"/>
          </reference>
        </references>
      </pivotArea>
    </chartFormat>
    <chartFormat chart="19" format="540">
      <pivotArea type="data" outline="0" fieldPosition="0">
        <references count="2">
          <reference field="4294967294" count="1" selected="0">
            <x v="0"/>
          </reference>
          <reference field="1" count="1" selected="0">
            <x v="191"/>
          </reference>
        </references>
      </pivotArea>
    </chartFormat>
    <chartFormat chart="19" format="54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2"/>
          </reference>
        </references>
      </pivotArea>
    </chartFormat>
    <chartFormat chart="19" format="542">
      <pivotArea type="data" outline="0" fieldPosition="0">
        <references count="2">
          <reference field="4294967294" count="1" selected="0">
            <x v="0"/>
          </reference>
          <reference field="1" count="1" selected="0">
            <x v="193"/>
          </reference>
        </references>
      </pivotArea>
    </chartFormat>
    <chartFormat chart="19" format="543">
      <pivotArea type="data" outline="0" fieldPosition="0">
        <references count="2">
          <reference field="4294967294" count="1" selected="0">
            <x v="0"/>
          </reference>
          <reference field="1" count="1" selected="0">
            <x v="194"/>
          </reference>
        </references>
      </pivotArea>
    </chartFormat>
    <chartFormat chart="19" format="544">
      <pivotArea type="data" outline="0" fieldPosition="0">
        <references count="2">
          <reference field="4294967294" count="1" selected="0">
            <x v="0"/>
          </reference>
          <reference field="1" count="1" selected="0">
            <x v="195"/>
          </reference>
        </references>
      </pivotArea>
    </chartFormat>
    <chartFormat chart="19" format="545">
      <pivotArea type="data" outline="0" fieldPosition="0">
        <references count="2">
          <reference field="4294967294" count="1" selected="0">
            <x v="0"/>
          </reference>
          <reference field="1" count="1" selected="0">
            <x v="196"/>
          </reference>
        </references>
      </pivotArea>
    </chartFormat>
    <chartFormat chart="19" format="546">
      <pivotArea type="data" outline="0" fieldPosition="0">
        <references count="2">
          <reference field="4294967294" count="1" selected="0">
            <x v="0"/>
          </reference>
          <reference field="1" count="1" selected="0">
            <x v="197"/>
          </reference>
        </references>
      </pivotArea>
    </chartFormat>
    <chartFormat chart="19" format="547">
      <pivotArea type="data" outline="0" fieldPosition="0">
        <references count="2">
          <reference field="4294967294" count="1" selected="0">
            <x v="0"/>
          </reference>
          <reference field="1" count="1" selected="0">
            <x v="198"/>
          </reference>
        </references>
      </pivotArea>
    </chartFormat>
    <chartFormat chart="19" format="548">
      <pivotArea type="data" outline="0" fieldPosition="0">
        <references count="2">
          <reference field="4294967294" count="1" selected="0">
            <x v="0"/>
          </reference>
          <reference field="1" count="1" selected="0">
            <x v="199"/>
          </reference>
        </references>
      </pivotArea>
    </chartFormat>
    <chartFormat chart="19" format="549">
      <pivotArea type="data" outline="0" fieldPosition="0">
        <references count="2">
          <reference field="4294967294" count="1" selected="0">
            <x v="0"/>
          </reference>
          <reference field="1" count="1" selected="0">
            <x v="200"/>
          </reference>
        </references>
      </pivotArea>
    </chartFormat>
    <chartFormat chart="19" format="550">
      <pivotArea type="data" outline="0" fieldPosition="0">
        <references count="2">
          <reference field="4294967294" count="1" selected="0">
            <x v="0"/>
          </reference>
          <reference field="1" count="1" selected="0">
            <x v="201"/>
          </reference>
        </references>
      </pivotArea>
    </chartFormat>
    <chartFormat chart="19" format="55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2"/>
          </reference>
        </references>
      </pivotArea>
    </chartFormat>
    <chartFormat chart="19" format="552">
      <pivotArea type="data" outline="0" fieldPosition="0">
        <references count="2">
          <reference field="4294967294" count="1" selected="0">
            <x v="0"/>
          </reference>
          <reference field="1" count="1" selected="0">
            <x v="203"/>
          </reference>
        </references>
      </pivotArea>
    </chartFormat>
    <chartFormat chart="19" format="553">
      <pivotArea type="data" outline="0" fieldPosition="0">
        <references count="2">
          <reference field="4294967294" count="1" selected="0">
            <x v="0"/>
          </reference>
          <reference field="1" count="1" selected="0">
            <x v="204"/>
          </reference>
        </references>
      </pivotArea>
    </chartFormat>
    <chartFormat chart="19" format="554">
      <pivotArea type="data" outline="0" fieldPosition="0">
        <references count="2">
          <reference field="4294967294" count="1" selected="0">
            <x v="0"/>
          </reference>
          <reference field="1" count="1" selected="0">
            <x v="205"/>
          </reference>
        </references>
      </pivotArea>
    </chartFormat>
    <chartFormat chart="19" format="555">
      <pivotArea type="data" outline="0" fieldPosition="0">
        <references count="2">
          <reference field="4294967294" count="1" selected="0">
            <x v="0"/>
          </reference>
          <reference field="1" count="1" selected="0">
            <x v="206"/>
          </reference>
        </references>
      </pivotArea>
    </chartFormat>
    <chartFormat chart="19" format="556">
      <pivotArea type="data" outline="0" fieldPosition="0">
        <references count="2">
          <reference field="4294967294" count="1" selected="0">
            <x v="0"/>
          </reference>
          <reference field="1" count="1" selected="0">
            <x v="207"/>
          </reference>
        </references>
      </pivotArea>
    </chartFormat>
    <chartFormat chart="19" format="557">
      <pivotArea type="data" outline="0" fieldPosition="0">
        <references count="2">
          <reference field="4294967294" count="1" selected="0">
            <x v="0"/>
          </reference>
          <reference field="1" count="1" selected="0">
            <x v="208"/>
          </reference>
        </references>
      </pivotArea>
    </chartFormat>
    <chartFormat chart="19" format="558">
      <pivotArea type="data" outline="0" fieldPosition="0">
        <references count="2">
          <reference field="4294967294" count="1" selected="0">
            <x v="0"/>
          </reference>
          <reference field="1" count="1" selected="0">
            <x v="209"/>
          </reference>
        </references>
      </pivotArea>
    </chartFormat>
    <chartFormat chart="19" format="559">
      <pivotArea type="data" outline="0" fieldPosition="0">
        <references count="2">
          <reference field="4294967294" count="1" selected="0">
            <x v="0"/>
          </reference>
          <reference field="1" count="1" selected="0">
            <x v="210"/>
          </reference>
        </references>
      </pivotArea>
    </chartFormat>
    <chartFormat chart="19" format="560">
      <pivotArea type="data" outline="0" fieldPosition="0">
        <references count="2">
          <reference field="4294967294" count="1" selected="0">
            <x v="0"/>
          </reference>
          <reference field="1" count="1" selected="0">
            <x v="211"/>
          </reference>
        </references>
      </pivotArea>
    </chartFormat>
    <chartFormat chart="19" format="56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2"/>
          </reference>
        </references>
      </pivotArea>
    </chartFormat>
    <chartFormat chart="19" format="562">
      <pivotArea type="data" outline="0" fieldPosition="0">
        <references count="2">
          <reference field="4294967294" count="1" selected="0">
            <x v="0"/>
          </reference>
          <reference field="1" count="1" selected="0">
            <x v="213"/>
          </reference>
        </references>
      </pivotArea>
    </chartFormat>
    <chartFormat chart="19" format="563">
      <pivotArea type="data" outline="0" fieldPosition="0">
        <references count="2">
          <reference field="4294967294" count="1" selected="0">
            <x v="0"/>
          </reference>
          <reference field="1" count="1" selected="0">
            <x v="214"/>
          </reference>
        </references>
      </pivotArea>
    </chartFormat>
    <chartFormat chart="19" format="564">
      <pivotArea type="data" outline="0" fieldPosition="0">
        <references count="2">
          <reference field="4294967294" count="1" selected="0">
            <x v="0"/>
          </reference>
          <reference field="1" count="1" selected="0">
            <x v="215"/>
          </reference>
        </references>
      </pivotArea>
    </chartFormat>
    <chartFormat chart="19" format="565">
      <pivotArea type="data" outline="0" fieldPosition="0">
        <references count="2">
          <reference field="4294967294" count="1" selected="0">
            <x v="0"/>
          </reference>
          <reference field="1" count="1" selected="0">
            <x v="216"/>
          </reference>
        </references>
      </pivotArea>
    </chartFormat>
    <chartFormat chart="19" format="566">
      <pivotArea type="data" outline="0" fieldPosition="0">
        <references count="2">
          <reference field="4294967294" count="1" selected="0">
            <x v="0"/>
          </reference>
          <reference field="1" count="1" selected="0">
            <x v="217"/>
          </reference>
        </references>
      </pivotArea>
    </chartFormat>
    <chartFormat chart="19" format="567">
      <pivotArea type="data" outline="0" fieldPosition="0">
        <references count="2">
          <reference field="4294967294" count="1" selected="0">
            <x v="0"/>
          </reference>
          <reference field="1" count="1" selected="0">
            <x v="218"/>
          </reference>
        </references>
      </pivotArea>
    </chartFormat>
    <chartFormat chart="19" format="568">
      <pivotArea type="data" outline="0" fieldPosition="0">
        <references count="2">
          <reference field="4294967294" count="1" selected="0">
            <x v="0"/>
          </reference>
          <reference field="1" count="1" selected="0">
            <x v="219"/>
          </reference>
        </references>
      </pivotArea>
    </chartFormat>
    <chartFormat chart="19" format="569">
      <pivotArea type="data" outline="0" fieldPosition="0">
        <references count="2">
          <reference field="4294967294" count="1" selected="0">
            <x v="0"/>
          </reference>
          <reference field="1" count="1" selected="0">
            <x v="220"/>
          </reference>
        </references>
      </pivotArea>
    </chartFormat>
    <chartFormat chart="19" format="570">
      <pivotArea type="data" outline="0" fieldPosition="0">
        <references count="2">
          <reference field="4294967294" count="1" selected="0">
            <x v="0"/>
          </reference>
          <reference field="1" count="1" selected="0">
            <x v="221"/>
          </reference>
        </references>
      </pivotArea>
    </chartFormat>
    <chartFormat chart="19" format="57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2"/>
          </reference>
        </references>
      </pivotArea>
    </chartFormat>
    <chartFormat chart="19" format="572">
      <pivotArea type="data" outline="0" fieldPosition="0">
        <references count="2">
          <reference field="4294967294" count="1" selected="0">
            <x v="0"/>
          </reference>
          <reference field="1" count="1" selected="0">
            <x v="223"/>
          </reference>
        </references>
      </pivotArea>
    </chartFormat>
    <chartFormat chart="19" format="573">
      <pivotArea type="data" outline="0" fieldPosition="0">
        <references count="2">
          <reference field="4294967294" count="1" selected="0">
            <x v="0"/>
          </reference>
          <reference field="1" count="1" selected="0">
            <x v="224"/>
          </reference>
        </references>
      </pivotArea>
    </chartFormat>
    <chartFormat chart="19" format="574">
      <pivotArea type="data" outline="0" fieldPosition="0">
        <references count="2">
          <reference field="4294967294" count="1" selected="0">
            <x v="0"/>
          </reference>
          <reference field="1" count="1" selected="0">
            <x v="225"/>
          </reference>
        </references>
      </pivotArea>
    </chartFormat>
    <chartFormat chart="19" format="575">
      <pivotArea type="data" outline="0" fieldPosition="0">
        <references count="2">
          <reference field="4294967294" count="1" selected="0">
            <x v="0"/>
          </reference>
          <reference field="1" count="1" selected="0">
            <x v="226"/>
          </reference>
        </references>
      </pivotArea>
    </chartFormat>
    <chartFormat chart="19" format="576">
      <pivotArea type="data" outline="0" fieldPosition="0">
        <references count="2">
          <reference field="4294967294" count="1" selected="0">
            <x v="0"/>
          </reference>
          <reference field="1" count="1" selected="0">
            <x v="227"/>
          </reference>
        </references>
      </pivotArea>
    </chartFormat>
    <chartFormat chart="19" format="577">
      <pivotArea type="data" outline="0" fieldPosition="0">
        <references count="2">
          <reference field="4294967294" count="1" selected="0">
            <x v="0"/>
          </reference>
          <reference field="1" count="1" selected="0">
            <x v="228"/>
          </reference>
        </references>
      </pivotArea>
    </chartFormat>
    <chartFormat chart="19" format="578">
      <pivotArea type="data" outline="0" fieldPosition="0">
        <references count="2">
          <reference field="4294967294" count="1" selected="0">
            <x v="0"/>
          </reference>
          <reference field="1" count="1" selected="0">
            <x v="229"/>
          </reference>
        </references>
      </pivotArea>
    </chartFormat>
    <chartFormat chart="19" format="579">
      <pivotArea type="data" outline="0" fieldPosition="0">
        <references count="2">
          <reference field="4294967294" count="1" selected="0">
            <x v="0"/>
          </reference>
          <reference field="1" count="1" selected="0">
            <x v="230"/>
          </reference>
        </references>
      </pivotArea>
    </chartFormat>
    <chartFormat chart="19" format="580">
      <pivotArea type="data" outline="0" fieldPosition="0">
        <references count="2">
          <reference field="4294967294" count="1" selected="0">
            <x v="0"/>
          </reference>
          <reference field="1" count="1" selected="0">
            <x v="231"/>
          </reference>
        </references>
      </pivotArea>
    </chartFormat>
    <chartFormat chart="19" format="58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2"/>
          </reference>
        </references>
      </pivotArea>
    </chartFormat>
    <chartFormat chart="19" format="582">
      <pivotArea type="data" outline="0" fieldPosition="0">
        <references count="2">
          <reference field="4294967294" count="1" selected="0">
            <x v="0"/>
          </reference>
          <reference field="1" count="1" selected="0">
            <x v="233"/>
          </reference>
        </references>
      </pivotArea>
    </chartFormat>
    <chartFormat chart="19" format="583">
      <pivotArea type="data" outline="0" fieldPosition="0">
        <references count="2">
          <reference field="4294967294" count="1" selected="0">
            <x v="0"/>
          </reference>
          <reference field="1" count="1" selected="0">
            <x v="234"/>
          </reference>
        </references>
      </pivotArea>
    </chartFormat>
    <chartFormat chart="19" format="584">
      <pivotArea type="data" outline="0" fieldPosition="0">
        <references count="2">
          <reference field="4294967294" count="1" selected="0">
            <x v="0"/>
          </reference>
          <reference field="1" count="1" selected="0">
            <x v="235"/>
          </reference>
        </references>
      </pivotArea>
    </chartFormat>
    <chartFormat chart="19" format="585">
      <pivotArea type="data" outline="0" fieldPosition="0">
        <references count="2">
          <reference field="4294967294" count="1" selected="0">
            <x v="0"/>
          </reference>
          <reference field="1" count="1" selected="0">
            <x v="236"/>
          </reference>
        </references>
      </pivotArea>
    </chartFormat>
    <chartFormat chart="19" format="586">
      <pivotArea type="data" outline="0" fieldPosition="0">
        <references count="2">
          <reference field="4294967294" count="1" selected="0">
            <x v="0"/>
          </reference>
          <reference field="1" count="1" selected="0">
            <x v="237"/>
          </reference>
        </references>
      </pivotArea>
    </chartFormat>
    <chartFormat chart="19" format="587">
      <pivotArea type="data" outline="0" fieldPosition="0">
        <references count="2">
          <reference field="4294967294" count="1" selected="0">
            <x v="0"/>
          </reference>
          <reference field="1" count="1" selected="0">
            <x v="238"/>
          </reference>
        </references>
      </pivotArea>
    </chartFormat>
    <chartFormat chart="19" format="588">
      <pivotArea type="data" outline="0" fieldPosition="0">
        <references count="2">
          <reference field="4294967294" count="1" selected="0">
            <x v="0"/>
          </reference>
          <reference field="1" count="1" selected="0">
            <x v="239"/>
          </reference>
        </references>
      </pivotArea>
    </chartFormat>
    <chartFormat chart="19" format="589">
      <pivotArea type="data" outline="0" fieldPosition="0">
        <references count="2">
          <reference field="4294967294" count="1" selected="0">
            <x v="0"/>
          </reference>
          <reference field="1" count="1" selected="0">
            <x v="240"/>
          </reference>
        </references>
      </pivotArea>
    </chartFormat>
    <chartFormat chart="19" format="590">
      <pivotArea type="data" outline="0" fieldPosition="0">
        <references count="2">
          <reference field="4294967294" count="1" selected="0">
            <x v="0"/>
          </reference>
          <reference field="1" count="1" selected="0">
            <x v="241"/>
          </reference>
        </references>
      </pivotArea>
    </chartFormat>
    <chartFormat chart="19" format="59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2"/>
          </reference>
        </references>
      </pivotArea>
    </chartFormat>
    <chartFormat chart="19" format="592">
      <pivotArea type="data" outline="0" fieldPosition="0">
        <references count="2">
          <reference field="4294967294" count="1" selected="0">
            <x v="0"/>
          </reference>
          <reference field="1" count="1" selected="0">
            <x v="243"/>
          </reference>
        </references>
      </pivotArea>
    </chartFormat>
    <chartFormat chart="19" format="593">
      <pivotArea type="data" outline="0" fieldPosition="0">
        <references count="2">
          <reference field="4294967294" count="1" selected="0">
            <x v="0"/>
          </reference>
          <reference field="1" count="1" selected="0">
            <x v="244"/>
          </reference>
        </references>
      </pivotArea>
    </chartFormat>
    <chartFormat chart="19" format="594">
      <pivotArea type="data" outline="0" fieldPosition="0">
        <references count="2">
          <reference field="4294967294" count="1" selected="0">
            <x v="0"/>
          </reference>
          <reference field="1" count="1" selected="0">
            <x v="245"/>
          </reference>
        </references>
      </pivotArea>
    </chartFormat>
    <chartFormat chart="19" format="595">
      <pivotArea type="data" outline="0" fieldPosition="0">
        <references count="2">
          <reference field="4294967294" count="1" selected="0">
            <x v="0"/>
          </reference>
          <reference field="1" count="1" selected="0">
            <x v="246"/>
          </reference>
        </references>
      </pivotArea>
    </chartFormat>
    <chartFormat chart="19" format="596">
      <pivotArea type="data" outline="0" fieldPosition="0">
        <references count="2">
          <reference field="4294967294" count="1" selected="0">
            <x v="0"/>
          </reference>
          <reference field="1" count="1" selected="0">
            <x v="247"/>
          </reference>
        </references>
      </pivotArea>
    </chartFormat>
    <chartFormat chart="19" format="597">
      <pivotArea type="data" outline="0" fieldPosition="0">
        <references count="2">
          <reference field="4294967294" count="1" selected="0">
            <x v="0"/>
          </reference>
          <reference field="1" count="1" selected="0">
            <x v="248"/>
          </reference>
        </references>
      </pivotArea>
    </chartFormat>
    <chartFormat chart="19" format="598">
      <pivotArea type="data" outline="0" fieldPosition="0">
        <references count="2">
          <reference field="4294967294" count="1" selected="0">
            <x v="0"/>
          </reference>
          <reference field="1" count="1" selected="0">
            <x v="249"/>
          </reference>
        </references>
      </pivotArea>
    </chartFormat>
    <chartFormat chart="19" format="599">
      <pivotArea type="data" outline="0" fieldPosition="0">
        <references count="2">
          <reference field="4294967294" count="1" selected="0">
            <x v="0"/>
          </reference>
          <reference field="1" count="1" selected="0">
            <x v="250"/>
          </reference>
        </references>
      </pivotArea>
    </chartFormat>
    <chartFormat chart="19" format="600">
      <pivotArea type="data" outline="0" fieldPosition="0">
        <references count="2">
          <reference field="4294967294" count="1" selected="0">
            <x v="0"/>
          </reference>
          <reference field="1" count="1" selected="0">
            <x v="251"/>
          </reference>
        </references>
      </pivotArea>
    </chartFormat>
    <chartFormat chart="19" format="60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2"/>
          </reference>
        </references>
      </pivotArea>
    </chartFormat>
    <chartFormat chart="19" format="602">
      <pivotArea type="data" outline="0" fieldPosition="0">
        <references count="2">
          <reference field="4294967294" count="1" selected="0">
            <x v="0"/>
          </reference>
          <reference field="1" count="1" selected="0">
            <x v="253"/>
          </reference>
        </references>
      </pivotArea>
    </chartFormat>
    <chartFormat chart="19" format="603">
      <pivotArea type="data" outline="0" fieldPosition="0">
        <references count="2">
          <reference field="4294967294" count="1" selected="0">
            <x v="0"/>
          </reference>
          <reference field="1" count="1" selected="0">
            <x v="254"/>
          </reference>
        </references>
      </pivotArea>
    </chartFormat>
    <chartFormat chart="19" format="604">
      <pivotArea type="data" outline="0" fieldPosition="0">
        <references count="2">
          <reference field="4294967294" count="1" selected="0">
            <x v="0"/>
          </reference>
          <reference field="1" count="1" selected="0">
            <x v="255"/>
          </reference>
        </references>
      </pivotArea>
    </chartFormat>
    <chartFormat chart="19" format="605">
      <pivotArea type="data" outline="0" fieldPosition="0">
        <references count="2">
          <reference field="4294967294" count="1" selected="0">
            <x v="0"/>
          </reference>
          <reference field="1" count="1" selected="0">
            <x v="256"/>
          </reference>
        </references>
      </pivotArea>
    </chartFormat>
    <chartFormat chart="19" format="606">
      <pivotArea type="data" outline="0" fieldPosition="0">
        <references count="2">
          <reference field="4294967294" count="1" selected="0">
            <x v="0"/>
          </reference>
          <reference field="1" count="1" selected="0">
            <x v="257"/>
          </reference>
        </references>
      </pivotArea>
    </chartFormat>
    <chartFormat chart="19" format="607">
      <pivotArea type="data" outline="0" fieldPosition="0">
        <references count="2">
          <reference field="4294967294" count="1" selected="0">
            <x v="0"/>
          </reference>
          <reference field="1" count="1" selected="0">
            <x v="258"/>
          </reference>
        </references>
      </pivotArea>
    </chartFormat>
    <chartFormat chart="19" format="608">
      <pivotArea type="data" outline="0" fieldPosition="0">
        <references count="2">
          <reference field="4294967294" count="1" selected="0">
            <x v="0"/>
          </reference>
          <reference field="1" count="1" selected="0">
            <x v="259"/>
          </reference>
        </references>
      </pivotArea>
    </chartFormat>
    <chartFormat chart="19" format="609">
      <pivotArea type="data" outline="0" fieldPosition="0">
        <references count="2">
          <reference field="4294967294" count="1" selected="0">
            <x v="0"/>
          </reference>
          <reference field="1" count="1" selected="0">
            <x v="260"/>
          </reference>
        </references>
      </pivotArea>
    </chartFormat>
    <chartFormat chart="19" format="6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61"/>
          </reference>
        </references>
      </pivotArea>
    </chartFormat>
    <chartFormat chart="19" format="6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2"/>
          </reference>
        </references>
      </pivotArea>
    </chartFormat>
    <chartFormat chart="19" format="612">
      <pivotArea type="data" outline="0" fieldPosition="0">
        <references count="2">
          <reference field="4294967294" count="1" selected="0">
            <x v="0"/>
          </reference>
          <reference field="1" count="1" selected="0">
            <x v="263"/>
          </reference>
        </references>
      </pivotArea>
    </chartFormat>
    <chartFormat chart="19" format="6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64"/>
          </reference>
        </references>
      </pivotArea>
    </chartFormat>
    <chartFormat chart="19" format="614">
      <pivotArea type="data" outline="0" fieldPosition="0">
        <references count="2">
          <reference field="4294967294" count="1" selected="0">
            <x v="0"/>
          </reference>
          <reference field="1" count="1" selected="0">
            <x v="265"/>
          </reference>
        </references>
      </pivotArea>
    </chartFormat>
    <chartFormat chart="19" format="6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66"/>
          </reference>
        </references>
      </pivotArea>
    </chartFormat>
    <chartFormat chart="19" format="6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67"/>
          </reference>
        </references>
      </pivotArea>
    </chartFormat>
    <chartFormat chart="19" format="617">
      <pivotArea type="data" outline="0" fieldPosition="0">
        <references count="2">
          <reference field="4294967294" count="1" selected="0">
            <x v="0"/>
          </reference>
          <reference field="1" count="1" selected="0">
            <x v="268"/>
          </reference>
        </references>
      </pivotArea>
    </chartFormat>
    <chartFormat chart="19" format="618">
      <pivotArea type="data" outline="0" fieldPosition="0">
        <references count="2">
          <reference field="4294967294" count="1" selected="0">
            <x v="0"/>
          </reference>
          <reference field="1" count="1" selected="0">
            <x v="269"/>
          </reference>
        </references>
      </pivotArea>
    </chartFormat>
    <chartFormat chart="19" format="619">
      <pivotArea type="data" outline="0" fieldPosition="0">
        <references count="2">
          <reference field="4294967294" count="1" selected="0">
            <x v="0"/>
          </reference>
          <reference field="1" count="1" selected="0">
            <x v="270"/>
          </reference>
        </references>
      </pivotArea>
    </chartFormat>
    <chartFormat chart="19" format="620">
      <pivotArea type="data" outline="0" fieldPosition="0">
        <references count="2">
          <reference field="4294967294" count="1" selected="0">
            <x v="0"/>
          </reference>
          <reference field="1" count="1" selected="0">
            <x v="271"/>
          </reference>
        </references>
      </pivotArea>
    </chartFormat>
    <chartFormat chart="19" format="62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2"/>
          </reference>
        </references>
      </pivotArea>
    </chartFormat>
    <chartFormat chart="19" format="622">
      <pivotArea type="data" outline="0" fieldPosition="0">
        <references count="2">
          <reference field="4294967294" count="1" selected="0">
            <x v="0"/>
          </reference>
          <reference field="1" count="1" selected="0">
            <x v="273"/>
          </reference>
        </references>
      </pivotArea>
    </chartFormat>
    <chartFormat chart="19" format="623">
      <pivotArea type="data" outline="0" fieldPosition="0">
        <references count="2">
          <reference field="4294967294" count="1" selected="0">
            <x v="0"/>
          </reference>
          <reference field="1" count="1" selected="0">
            <x v="274"/>
          </reference>
        </references>
      </pivotArea>
    </chartFormat>
    <chartFormat chart="19" format="624">
      <pivotArea type="data" outline="0" fieldPosition="0">
        <references count="2">
          <reference field="4294967294" count="1" selected="0">
            <x v="0"/>
          </reference>
          <reference field="1" count="1" selected="0">
            <x v="275"/>
          </reference>
        </references>
      </pivotArea>
    </chartFormat>
    <chartFormat chart="19" format="625">
      <pivotArea type="data" outline="0" fieldPosition="0">
        <references count="2">
          <reference field="4294967294" count="1" selected="0">
            <x v="0"/>
          </reference>
          <reference field="1" count="1" selected="0">
            <x v="276"/>
          </reference>
        </references>
      </pivotArea>
    </chartFormat>
    <chartFormat chart="19" format="626">
      <pivotArea type="data" outline="0" fieldPosition="0">
        <references count="2">
          <reference field="4294967294" count="1" selected="0">
            <x v="0"/>
          </reference>
          <reference field="1" count="1" selected="0">
            <x v="277"/>
          </reference>
        </references>
      </pivotArea>
    </chartFormat>
    <chartFormat chart="19" format="627">
      <pivotArea type="data" outline="0" fieldPosition="0">
        <references count="2">
          <reference field="4294967294" count="1" selected="0">
            <x v="0"/>
          </reference>
          <reference field="1" count="1" selected="0">
            <x v="278"/>
          </reference>
        </references>
      </pivotArea>
    </chartFormat>
    <chartFormat chart="19" format="628">
      <pivotArea type="data" outline="0" fieldPosition="0">
        <references count="2">
          <reference field="4294967294" count="1" selected="0">
            <x v="0"/>
          </reference>
          <reference field="1" count="1" selected="0">
            <x v="279"/>
          </reference>
        </references>
      </pivotArea>
    </chartFormat>
    <chartFormat chart="19" format="629">
      <pivotArea type="data" outline="0" fieldPosition="0">
        <references count="2">
          <reference field="4294967294" count="1" selected="0">
            <x v="0"/>
          </reference>
          <reference field="1" count="1" selected="0">
            <x v="280"/>
          </reference>
        </references>
      </pivotArea>
    </chartFormat>
    <chartFormat chart="19" format="630">
      <pivotArea type="data" outline="0" fieldPosition="0">
        <references count="2">
          <reference field="4294967294" count="1" selected="0">
            <x v="0"/>
          </reference>
          <reference field="1" count="1" selected="0">
            <x v="281"/>
          </reference>
        </references>
      </pivotArea>
    </chartFormat>
    <chartFormat chart="19" format="63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2"/>
          </reference>
        </references>
      </pivotArea>
    </chartFormat>
    <chartFormat chart="19" format="632">
      <pivotArea type="data" outline="0" fieldPosition="0">
        <references count="2">
          <reference field="4294967294" count="1" selected="0">
            <x v="0"/>
          </reference>
          <reference field="1" count="1" selected="0">
            <x v="283"/>
          </reference>
        </references>
      </pivotArea>
    </chartFormat>
    <chartFormat chart="19" format="633">
      <pivotArea type="data" outline="0" fieldPosition="0">
        <references count="2">
          <reference field="4294967294" count="1" selected="0">
            <x v="0"/>
          </reference>
          <reference field="1" count="1" selected="0">
            <x v="284"/>
          </reference>
        </references>
      </pivotArea>
    </chartFormat>
    <chartFormat chart="19" format="634">
      <pivotArea type="data" outline="0" fieldPosition="0">
        <references count="2">
          <reference field="4294967294" count="1" selected="0">
            <x v="0"/>
          </reference>
          <reference field="1" count="1" selected="0">
            <x v="285"/>
          </reference>
        </references>
      </pivotArea>
    </chartFormat>
    <chartFormat chart="19" format="635">
      <pivotArea type="data" outline="0" fieldPosition="0">
        <references count="2">
          <reference field="4294967294" count="1" selected="0">
            <x v="0"/>
          </reference>
          <reference field="1" count="1" selected="0">
            <x v="286"/>
          </reference>
        </references>
      </pivotArea>
    </chartFormat>
    <chartFormat chart="19" format="636">
      <pivotArea type="data" outline="0" fieldPosition="0">
        <references count="2">
          <reference field="4294967294" count="1" selected="0">
            <x v="0"/>
          </reference>
          <reference field="1" count="1" selected="0">
            <x v="287"/>
          </reference>
        </references>
      </pivotArea>
    </chartFormat>
    <chartFormat chart="19" format="637">
      <pivotArea type="data" outline="0" fieldPosition="0">
        <references count="2">
          <reference field="4294967294" count="1" selected="0">
            <x v="0"/>
          </reference>
          <reference field="1" count="1" selected="0">
            <x v="288"/>
          </reference>
        </references>
      </pivotArea>
    </chartFormat>
    <chartFormat chart="19" format="638">
      <pivotArea type="data" outline="0" fieldPosition="0">
        <references count="2">
          <reference field="4294967294" count="1" selected="0">
            <x v="0"/>
          </reference>
          <reference field="1" count="1" selected="0">
            <x v="289"/>
          </reference>
        </references>
      </pivotArea>
    </chartFormat>
    <chartFormat chart="19" format="639">
      <pivotArea type="data" outline="0" fieldPosition="0">
        <references count="2">
          <reference field="4294967294" count="1" selected="0">
            <x v="0"/>
          </reference>
          <reference field="1" count="1" selected="0">
            <x v="290"/>
          </reference>
        </references>
      </pivotArea>
    </chartFormat>
    <chartFormat chart="19" format="640">
      <pivotArea type="data" outline="0" fieldPosition="0">
        <references count="2">
          <reference field="4294967294" count="1" selected="0">
            <x v="0"/>
          </reference>
          <reference field="1" count="1" selected="0">
            <x v="291"/>
          </reference>
        </references>
      </pivotArea>
    </chartFormat>
    <chartFormat chart="19" format="64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2"/>
          </reference>
        </references>
      </pivotArea>
    </chartFormat>
    <chartFormat chart="19" format="642">
      <pivotArea type="data" outline="0" fieldPosition="0">
        <references count="2">
          <reference field="4294967294" count="1" selected="0">
            <x v="0"/>
          </reference>
          <reference field="1" count="1" selected="0">
            <x v="293"/>
          </reference>
        </references>
      </pivotArea>
    </chartFormat>
    <chartFormat chart="19" format="643">
      <pivotArea type="data" outline="0" fieldPosition="0">
        <references count="2">
          <reference field="4294967294" count="1" selected="0">
            <x v="0"/>
          </reference>
          <reference field="1" count="1" selected="0">
            <x v="294"/>
          </reference>
        </references>
      </pivotArea>
    </chartFormat>
    <chartFormat chart="19" format="644">
      <pivotArea type="data" outline="0" fieldPosition="0">
        <references count="2">
          <reference field="4294967294" count="1" selected="0">
            <x v="0"/>
          </reference>
          <reference field="1" count="1" selected="0">
            <x v="295"/>
          </reference>
        </references>
      </pivotArea>
    </chartFormat>
    <chartFormat chart="19" format="645">
      <pivotArea type="data" outline="0" fieldPosition="0">
        <references count="2">
          <reference field="4294967294" count="1" selected="0">
            <x v="0"/>
          </reference>
          <reference field="1" count="1" selected="0">
            <x v="296"/>
          </reference>
        </references>
      </pivotArea>
    </chartFormat>
    <chartFormat chart="19" format="646">
      <pivotArea type="data" outline="0" fieldPosition="0">
        <references count="2">
          <reference field="4294967294" count="1" selected="0">
            <x v="0"/>
          </reference>
          <reference field="1" count="1" selected="0">
            <x v="297"/>
          </reference>
        </references>
      </pivotArea>
    </chartFormat>
    <chartFormat chart="19" format="647">
      <pivotArea type="data" outline="0" fieldPosition="0">
        <references count="2">
          <reference field="4294967294" count="1" selected="0">
            <x v="0"/>
          </reference>
          <reference field="1" count="1" selected="0">
            <x v="298"/>
          </reference>
        </references>
      </pivotArea>
    </chartFormat>
    <chartFormat chart="19" format="648">
      <pivotArea type="data" outline="0" fieldPosition="0">
        <references count="2">
          <reference field="4294967294" count="1" selected="0">
            <x v="0"/>
          </reference>
          <reference field="1" count="1" selected="0">
            <x v="299"/>
          </reference>
        </references>
      </pivotArea>
    </chartFormat>
    <chartFormat chart="19" format="649">
      <pivotArea type="data" outline="0" fieldPosition="0">
        <references count="2">
          <reference field="4294967294" count="1" selected="0">
            <x v="0"/>
          </reference>
          <reference field="1" count="1" selected="0">
            <x v="300"/>
          </reference>
        </references>
      </pivotArea>
    </chartFormat>
    <chartFormat chart="19" format="650">
      <pivotArea type="data" outline="0" fieldPosition="0">
        <references count="2">
          <reference field="4294967294" count="1" selected="0">
            <x v="0"/>
          </reference>
          <reference field="1" count="1" selected="0">
            <x v="301"/>
          </reference>
        </references>
      </pivotArea>
    </chartFormat>
    <chartFormat chart="19" format="65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2"/>
          </reference>
        </references>
      </pivotArea>
    </chartFormat>
    <chartFormat chart="19" format="652">
      <pivotArea type="data" outline="0" fieldPosition="0">
        <references count="2">
          <reference field="4294967294" count="1" selected="0">
            <x v="0"/>
          </reference>
          <reference field="1" count="1" selected="0">
            <x v="303"/>
          </reference>
        </references>
      </pivotArea>
    </chartFormat>
    <chartFormat chart="19" format="653">
      <pivotArea type="data" outline="0" fieldPosition="0">
        <references count="2">
          <reference field="4294967294" count="1" selected="0">
            <x v="0"/>
          </reference>
          <reference field="1" count="1" selected="0">
            <x v="304"/>
          </reference>
        </references>
      </pivotArea>
    </chartFormat>
    <chartFormat chart="19" format="654">
      <pivotArea type="data" outline="0" fieldPosition="0">
        <references count="2">
          <reference field="4294967294" count="1" selected="0">
            <x v="0"/>
          </reference>
          <reference field="1" count="1" selected="0">
            <x v="305"/>
          </reference>
        </references>
      </pivotArea>
    </chartFormat>
    <chartFormat chart="19" format="655">
      <pivotArea type="data" outline="0" fieldPosition="0">
        <references count="2">
          <reference field="4294967294" count="1" selected="0">
            <x v="0"/>
          </reference>
          <reference field="1" count="1" selected="0">
            <x v="306"/>
          </reference>
        </references>
      </pivotArea>
    </chartFormat>
    <chartFormat chart="19" format="656">
      <pivotArea type="data" outline="0" fieldPosition="0">
        <references count="2">
          <reference field="4294967294" count="1" selected="0">
            <x v="0"/>
          </reference>
          <reference field="1" count="1" selected="0">
            <x v="307"/>
          </reference>
        </references>
      </pivotArea>
    </chartFormat>
    <chartFormat chart="19" format="657">
      <pivotArea type="data" outline="0" fieldPosition="0">
        <references count="2">
          <reference field="4294967294" count="1" selected="0">
            <x v="0"/>
          </reference>
          <reference field="1" count="1" selected="0">
            <x v="308"/>
          </reference>
        </references>
      </pivotArea>
    </chartFormat>
    <chartFormat chart="19" format="658">
      <pivotArea type="data" outline="0" fieldPosition="0">
        <references count="2">
          <reference field="4294967294" count="1" selected="0">
            <x v="0"/>
          </reference>
          <reference field="1" count="1" selected="0">
            <x v="309"/>
          </reference>
        </references>
      </pivotArea>
    </chartFormat>
    <chartFormat chart="19" format="659">
      <pivotArea type="data" outline="0" fieldPosition="0">
        <references count="2">
          <reference field="4294967294" count="1" selected="0">
            <x v="0"/>
          </reference>
          <reference field="1" count="1" selected="0">
            <x v="310"/>
          </reference>
        </references>
      </pivotArea>
    </chartFormat>
    <chartFormat chart="19" format="660">
      <pivotArea type="data" outline="0" fieldPosition="0">
        <references count="2">
          <reference field="4294967294" count="1" selected="0">
            <x v="0"/>
          </reference>
          <reference field="1" count="1" selected="0">
            <x v="311"/>
          </reference>
        </references>
      </pivotArea>
    </chartFormat>
    <chartFormat chart="19" format="66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2"/>
          </reference>
        </references>
      </pivotArea>
    </chartFormat>
    <chartFormat chart="19" format="662">
      <pivotArea type="data" outline="0" fieldPosition="0">
        <references count="2">
          <reference field="4294967294" count="1" selected="0">
            <x v="0"/>
          </reference>
          <reference field="1" count="1" selected="0">
            <x v="313"/>
          </reference>
        </references>
      </pivotArea>
    </chartFormat>
    <chartFormat chart="19" format="663">
      <pivotArea type="data" outline="0" fieldPosition="0">
        <references count="2">
          <reference field="4294967294" count="1" selected="0">
            <x v="0"/>
          </reference>
          <reference field="1" count="1" selected="0">
            <x v="314"/>
          </reference>
        </references>
      </pivotArea>
    </chartFormat>
    <chartFormat chart="19" format="664">
      <pivotArea type="data" outline="0" fieldPosition="0">
        <references count="2">
          <reference field="4294967294" count="1" selected="0">
            <x v="0"/>
          </reference>
          <reference field="1" count="1" selected="0">
            <x v="315"/>
          </reference>
        </references>
      </pivotArea>
    </chartFormat>
    <chartFormat chart="19" format="665">
      <pivotArea type="data" outline="0" fieldPosition="0">
        <references count="2">
          <reference field="4294967294" count="1" selected="0">
            <x v="0"/>
          </reference>
          <reference field="1" count="1" selected="0">
            <x v="316"/>
          </reference>
        </references>
      </pivotArea>
    </chartFormat>
    <chartFormat chart="19" format="666">
      <pivotArea type="data" outline="0" fieldPosition="0">
        <references count="2">
          <reference field="4294967294" count="1" selected="0">
            <x v="0"/>
          </reference>
          <reference field="1" count="1" selected="0">
            <x v="317"/>
          </reference>
        </references>
      </pivotArea>
    </chartFormat>
    <chartFormat chart="19" format="667">
      <pivotArea type="data" outline="0" fieldPosition="0">
        <references count="2">
          <reference field="4294967294" count="1" selected="0">
            <x v="0"/>
          </reference>
          <reference field="1" count="1" selected="0">
            <x v="318"/>
          </reference>
        </references>
      </pivotArea>
    </chartFormat>
    <chartFormat chart="19" format="668">
      <pivotArea type="data" outline="0" fieldPosition="0">
        <references count="2">
          <reference field="4294967294" count="1" selected="0">
            <x v="0"/>
          </reference>
          <reference field="1" count="1" selected="0">
            <x v="319"/>
          </reference>
        </references>
      </pivotArea>
    </chartFormat>
    <chartFormat chart="19" format="669">
      <pivotArea type="data" outline="0" fieldPosition="0">
        <references count="2">
          <reference field="4294967294" count="1" selected="0">
            <x v="0"/>
          </reference>
          <reference field="1" count="1" selected="0">
            <x v="320"/>
          </reference>
        </references>
      </pivotArea>
    </chartFormat>
    <chartFormat chart="19" format="670">
      <pivotArea type="data" outline="0" fieldPosition="0">
        <references count="2">
          <reference field="4294967294" count="1" selected="0">
            <x v="0"/>
          </reference>
          <reference field="1" count="1" selected="0">
            <x v="321"/>
          </reference>
        </references>
      </pivotArea>
    </chartFormat>
    <chartFormat chart="19" format="67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2"/>
          </reference>
        </references>
      </pivotArea>
    </chartFormat>
    <chartFormat chart="19" format="672">
      <pivotArea type="data" outline="0" fieldPosition="0">
        <references count="2">
          <reference field="4294967294" count="1" selected="0">
            <x v="0"/>
          </reference>
          <reference field="1" count="1" selected="0">
            <x v="323"/>
          </reference>
        </references>
      </pivotArea>
    </chartFormat>
    <chartFormat chart="19" format="673">
      <pivotArea type="data" outline="0" fieldPosition="0">
        <references count="2">
          <reference field="4294967294" count="1" selected="0">
            <x v="0"/>
          </reference>
          <reference field="1" count="1" selected="0">
            <x v="324"/>
          </reference>
        </references>
      </pivotArea>
    </chartFormat>
    <chartFormat chart="19" format="674">
      <pivotArea type="data" outline="0" fieldPosition="0">
        <references count="2">
          <reference field="4294967294" count="1" selected="0">
            <x v="0"/>
          </reference>
          <reference field="1" count="1" selected="0">
            <x v="325"/>
          </reference>
        </references>
      </pivotArea>
    </chartFormat>
    <chartFormat chart="19" format="675">
      <pivotArea type="data" outline="0" fieldPosition="0">
        <references count="2">
          <reference field="4294967294" count="1" selected="0">
            <x v="0"/>
          </reference>
          <reference field="1" count="1" selected="0">
            <x v="326"/>
          </reference>
        </references>
      </pivotArea>
    </chartFormat>
    <chartFormat chart="19" format="676">
      <pivotArea type="data" outline="0" fieldPosition="0">
        <references count="2">
          <reference field="4294967294" count="1" selected="0">
            <x v="0"/>
          </reference>
          <reference field="1" count="1" selected="0">
            <x v="327"/>
          </reference>
        </references>
      </pivotArea>
    </chartFormat>
    <chartFormat chart="19" format="677">
      <pivotArea type="data" outline="0" fieldPosition="0">
        <references count="2">
          <reference field="4294967294" count="1" selected="0">
            <x v="0"/>
          </reference>
          <reference field="1" count="1" selected="0">
            <x v="328"/>
          </reference>
        </references>
      </pivotArea>
    </chartFormat>
    <chartFormat chart="19" format="678">
      <pivotArea type="data" outline="0" fieldPosition="0">
        <references count="2">
          <reference field="4294967294" count="1" selected="0">
            <x v="0"/>
          </reference>
          <reference field="1" count="1" selected="0">
            <x v="329"/>
          </reference>
        </references>
      </pivotArea>
    </chartFormat>
    <chartFormat chart="19" format="679">
      <pivotArea type="data" outline="0" fieldPosition="0">
        <references count="2">
          <reference field="4294967294" count="1" selected="0">
            <x v="0"/>
          </reference>
          <reference field="1" count="1" selected="0">
            <x v="330"/>
          </reference>
        </references>
      </pivotArea>
    </chartFormat>
    <chartFormat chart="19" format="680">
      <pivotArea type="data" outline="0" fieldPosition="0">
        <references count="2">
          <reference field="4294967294" count="1" selected="0">
            <x v="0"/>
          </reference>
          <reference field="1" count="1" selected="0">
            <x v="331"/>
          </reference>
        </references>
      </pivotArea>
    </chartFormat>
    <chartFormat chart="19" format="68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2"/>
          </reference>
        </references>
      </pivotArea>
    </chartFormat>
    <chartFormat chart="19" format="682">
      <pivotArea type="data" outline="0" fieldPosition="0">
        <references count="2">
          <reference field="4294967294" count="1" selected="0">
            <x v="0"/>
          </reference>
          <reference field="1" count="1" selected="0">
            <x v="333"/>
          </reference>
        </references>
      </pivotArea>
    </chartFormat>
    <chartFormat chart="19" format="683">
      <pivotArea type="data" outline="0" fieldPosition="0">
        <references count="2">
          <reference field="4294967294" count="1" selected="0">
            <x v="0"/>
          </reference>
          <reference field="1" count="1" selected="0">
            <x v="334"/>
          </reference>
        </references>
      </pivotArea>
    </chartFormat>
    <chartFormat chart="19" format="684">
      <pivotArea type="data" outline="0" fieldPosition="0">
        <references count="2">
          <reference field="4294967294" count="1" selected="0">
            <x v="0"/>
          </reference>
          <reference field="1" count="1" selected="0">
            <x v="335"/>
          </reference>
        </references>
      </pivotArea>
    </chartFormat>
    <chartFormat chart="19" format="685">
      <pivotArea type="data" outline="0" fieldPosition="0">
        <references count="2">
          <reference field="4294967294" count="1" selected="0">
            <x v="0"/>
          </reference>
          <reference field="1" count="1" selected="0">
            <x v="336"/>
          </reference>
        </references>
      </pivotArea>
    </chartFormat>
    <chartFormat chart="19" format="686">
      <pivotArea type="data" outline="0" fieldPosition="0">
        <references count="2">
          <reference field="4294967294" count="1" selected="0">
            <x v="0"/>
          </reference>
          <reference field="1" count="1" selected="0">
            <x v="337"/>
          </reference>
        </references>
      </pivotArea>
    </chartFormat>
    <chartFormat chart="19" format="687">
      <pivotArea type="data" outline="0" fieldPosition="0">
        <references count="2">
          <reference field="4294967294" count="1" selected="0">
            <x v="0"/>
          </reference>
          <reference field="1" count="1" selected="0">
            <x v="338"/>
          </reference>
        </references>
      </pivotArea>
    </chartFormat>
    <chartFormat chart="19" format="688">
      <pivotArea type="data" outline="0" fieldPosition="0">
        <references count="2">
          <reference field="4294967294" count="1" selected="0">
            <x v="0"/>
          </reference>
          <reference field="1" count="1" selected="0">
            <x v="339"/>
          </reference>
        </references>
      </pivotArea>
    </chartFormat>
    <chartFormat chart="19" format="689">
      <pivotArea type="data" outline="0" fieldPosition="0">
        <references count="2">
          <reference field="4294967294" count="1" selected="0">
            <x v="0"/>
          </reference>
          <reference field="1" count="1" selected="0">
            <x v="340"/>
          </reference>
        </references>
      </pivotArea>
    </chartFormat>
    <chartFormat chart="19" format="690">
      <pivotArea type="data" outline="0" fieldPosition="0">
        <references count="2">
          <reference field="4294967294" count="1" selected="0">
            <x v="0"/>
          </reference>
          <reference field="1" count="1" selected="0">
            <x v="341"/>
          </reference>
        </references>
      </pivotArea>
    </chartFormat>
    <chartFormat chart="19" format="69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2"/>
          </reference>
        </references>
      </pivotArea>
    </chartFormat>
    <chartFormat chart="19" format="692">
      <pivotArea type="data" outline="0" fieldPosition="0">
        <references count="2">
          <reference field="4294967294" count="1" selected="0">
            <x v="0"/>
          </reference>
          <reference field="1" count="1" selected="0">
            <x v="343"/>
          </reference>
        </references>
      </pivotArea>
    </chartFormat>
    <chartFormat chart="19" format="693">
      <pivotArea type="data" outline="0" fieldPosition="0">
        <references count="2">
          <reference field="4294967294" count="1" selected="0">
            <x v="0"/>
          </reference>
          <reference field="1" count="1" selected="0">
            <x v="344"/>
          </reference>
        </references>
      </pivotArea>
    </chartFormat>
    <chartFormat chart="19" format="694">
      <pivotArea type="data" outline="0" fieldPosition="0">
        <references count="2">
          <reference field="4294967294" count="1" selected="0">
            <x v="0"/>
          </reference>
          <reference field="1" count="1" selected="0">
            <x v="345"/>
          </reference>
        </references>
      </pivotArea>
    </chartFormat>
    <chartFormat chart="20" format="3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4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0" format="35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0" format="35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0" format="35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0" format="35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0" format="35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0" format="355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0" format="356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0" format="357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0" format="358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0" format="359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0" format="360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0" format="36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0" format="362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20" format="363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0" format="364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20" format="365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20" format="366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20" format="367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20" format="368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20" format="369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20" format="370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20" format="37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20" format="372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20" format="373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20" format="374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20" format="375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20" format="376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20" format="377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20" format="378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20" format="379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20" format="380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20" format="38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20" format="382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20" format="383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20" format="384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20" format="385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20" format="386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20" format="387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20" format="388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20" format="389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20" format="390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20" format="39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20" format="392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20" format="393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20" format="394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20" format="395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20" format="396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20" format="397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20" format="398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20" format="399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20" format="400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20" format="40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20" format="402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20" format="403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20" format="404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20" format="405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20" format="406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20" format="407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20" format="408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20" format="409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20" format="410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20" format="411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20" format="412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20" format="413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20" format="414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20" format="415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20" format="416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20" format="417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20" format="418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20" format="419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20" format="420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20" format="421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20" format="422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20" format="423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20" format="424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20" format="425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20" format="426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20" format="427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20" format="428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  <chartFormat chart="20" format="429">
      <pivotArea type="data" outline="0" fieldPosition="0">
        <references count="2">
          <reference field="4294967294" count="1" selected="0">
            <x v="0"/>
          </reference>
          <reference field="1" count="1" selected="0">
            <x v="80"/>
          </reference>
        </references>
      </pivotArea>
    </chartFormat>
    <chartFormat chart="20" format="430">
      <pivotArea type="data" outline="0" fieldPosition="0">
        <references count="2">
          <reference field="4294967294" count="1" selected="0">
            <x v="0"/>
          </reference>
          <reference field="1" count="1" selected="0">
            <x v="81"/>
          </reference>
        </references>
      </pivotArea>
    </chartFormat>
    <chartFormat chart="20" format="431">
      <pivotArea type="data" outline="0" fieldPosition="0">
        <references count="2">
          <reference field="4294967294" count="1" selected="0">
            <x v="0"/>
          </reference>
          <reference field="1" count="1" selected="0">
            <x v="82"/>
          </reference>
        </references>
      </pivotArea>
    </chartFormat>
    <chartFormat chart="20" format="432">
      <pivotArea type="data" outline="0" fieldPosition="0">
        <references count="2">
          <reference field="4294967294" count="1" selected="0">
            <x v="0"/>
          </reference>
          <reference field="1" count="1" selected="0">
            <x v="83"/>
          </reference>
        </references>
      </pivotArea>
    </chartFormat>
    <chartFormat chart="20" format="433">
      <pivotArea type="data" outline="0" fieldPosition="0">
        <references count="2">
          <reference field="4294967294" count="1" selected="0">
            <x v="0"/>
          </reference>
          <reference field="1" count="1" selected="0">
            <x v="84"/>
          </reference>
        </references>
      </pivotArea>
    </chartFormat>
    <chartFormat chart="20" format="434">
      <pivotArea type="data" outline="0" fieldPosition="0">
        <references count="2">
          <reference field="4294967294" count="1" selected="0">
            <x v="0"/>
          </reference>
          <reference field="1" count="1" selected="0">
            <x v="85"/>
          </reference>
        </references>
      </pivotArea>
    </chartFormat>
    <chartFormat chart="20" format="435">
      <pivotArea type="data" outline="0" fieldPosition="0">
        <references count="2">
          <reference field="4294967294" count="1" selected="0">
            <x v="0"/>
          </reference>
          <reference field="1" count="1" selected="0">
            <x v="86"/>
          </reference>
        </references>
      </pivotArea>
    </chartFormat>
    <chartFormat chart="20" format="436">
      <pivotArea type="data" outline="0" fieldPosition="0">
        <references count="2">
          <reference field="4294967294" count="1" selected="0">
            <x v="0"/>
          </reference>
          <reference field="1" count="1" selected="0">
            <x v="87"/>
          </reference>
        </references>
      </pivotArea>
    </chartFormat>
    <chartFormat chart="20" format="437">
      <pivotArea type="data" outline="0" fieldPosition="0">
        <references count="2">
          <reference field="4294967294" count="1" selected="0">
            <x v="0"/>
          </reference>
          <reference field="1" count="1" selected="0">
            <x v="88"/>
          </reference>
        </references>
      </pivotArea>
    </chartFormat>
    <chartFormat chart="20" format="438">
      <pivotArea type="data" outline="0" fieldPosition="0">
        <references count="2">
          <reference field="4294967294" count="1" selected="0">
            <x v="0"/>
          </reference>
          <reference field="1" count="1" selected="0">
            <x v="89"/>
          </reference>
        </references>
      </pivotArea>
    </chartFormat>
    <chartFormat chart="20" format="439">
      <pivotArea type="data" outline="0" fieldPosition="0">
        <references count="2">
          <reference field="4294967294" count="1" selected="0">
            <x v="0"/>
          </reference>
          <reference field="1" count="1" selected="0">
            <x v="90"/>
          </reference>
        </references>
      </pivotArea>
    </chartFormat>
    <chartFormat chart="20" format="440">
      <pivotArea type="data" outline="0" fieldPosition="0">
        <references count="2">
          <reference field="4294967294" count="1" selected="0">
            <x v="0"/>
          </reference>
          <reference field="1" count="1" selected="0">
            <x v="91"/>
          </reference>
        </references>
      </pivotArea>
    </chartFormat>
    <chartFormat chart="20" format="441">
      <pivotArea type="data" outline="0" fieldPosition="0">
        <references count="2">
          <reference field="4294967294" count="1" selected="0">
            <x v="0"/>
          </reference>
          <reference field="1" count="1" selected="0">
            <x v="92"/>
          </reference>
        </references>
      </pivotArea>
    </chartFormat>
    <chartFormat chart="20" format="442">
      <pivotArea type="data" outline="0" fieldPosition="0">
        <references count="2">
          <reference field="4294967294" count="1" selected="0">
            <x v="0"/>
          </reference>
          <reference field="1" count="1" selected="0">
            <x v="93"/>
          </reference>
        </references>
      </pivotArea>
    </chartFormat>
    <chartFormat chart="20" format="443">
      <pivotArea type="data" outline="0" fieldPosition="0">
        <references count="2">
          <reference field="4294967294" count="1" selected="0">
            <x v="0"/>
          </reference>
          <reference field="1" count="1" selected="0">
            <x v="94"/>
          </reference>
        </references>
      </pivotArea>
    </chartFormat>
    <chartFormat chart="20" format="444">
      <pivotArea type="data" outline="0" fieldPosition="0">
        <references count="2">
          <reference field="4294967294" count="1" selected="0">
            <x v="0"/>
          </reference>
          <reference field="1" count="1" selected="0">
            <x v="95"/>
          </reference>
        </references>
      </pivotArea>
    </chartFormat>
    <chartFormat chart="20" format="445">
      <pivotArea type="data" outline="0" fieldPosition="0">
        <references count="2">
          <reference field="4294967294" count="1" selected="0">
            <x v="0"/>
          </reference>
          <reference field="1" count="1" selected="0">
            <x v="96"/>
          </reference>
        </references>
      </pivotArea>
    </chartFormat>
    <chartFormat chart="20" format="446">
      <pivotArea type="data" outline="0" fieldPosition="0">
        <references count="2">
          <reference field="4294967294" count="1" selected="0">
            <x v="0"/>
          </reference>
          <reference field="1" count="1" selected="0">
            <x v="97"/>
          </reference>
        </references>
      </pivotArea>
    </chartFormat>
    <chartFormat chart="20" format="447">
      <pivotArea type="data" outline="0" fieldPosition="0">
        <references count="2">
          <reference field="4294967294" count="1" selected="0">
            <x v="0"/>
          </reference>
          <reference field="1" count="1" selected="0">
            <x v="98"/>
          </reference>
        </references>
      </pivotArea>
    </chartFormat>
    <chartFormat chart="20" format="448">
      <pivotArea type="data" outline="0" fieldPosition="0">
        <references count="2">
          <reference field="4294967294" count="1" selected="0">
            <x v="0"/>
          </reference>
          <reference field="1" count="1" selected="0">
            <x v="99"/>
          </reference>
        </references>
      </pivotArea>
    </chartFormat>
    <chartFormat chart="20" format="449">
      <pivotArea type="data" outline="0" fieldPosition="0">
        <references count="2">
          <reference field="4294967294" count="1" selected="0">
            <x v="0"/>
          </reference>
          <reference field="1" count="1" selected="0">
            <x v="100"/>
          </reference>
        </references>
      </pivotArea>
    </chartFormat>
    <chartFormat chart="20" format="450">
      <pivotArea type="data" outline="0" fieldPosition="0">
        <references count="2">
          <reference field="4294967294" count="1" selected="0">
            <x v="0"/>
          </reference>
          <reference field="1" count="1" selected="0">
            <x v="101"/>
          </reference>
        </references>
      </pivotArea>
    </chartFormat>
    <chartFormat chart="20" format="45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2"/>
          </reference>
        </references>
      </pivotArea>
    </chartFormat>
    <chartFormat chart="20" format="452">
      <pivotArea type="data" outline="0" fieldPosition="0">
        <references count="2">
          <reference field="4294967294" count="1" selected="0">
            <x v="0"/>
          </reference>
          <reference field="1" count="1" selected="0">
            <x v="103"/>
          </reference>
        </references>
      </pivotArea>
    </chartFormat>
    <chartFormat chart="20" format="453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"/>
          </reference>
        </references>
      </pivotArea>
    </chartFormat>
    <chartFormat chart="20" format="454">
      <pivotArea type="data" outline="0" fieldPosition="0">
        <references count="2">
          <reference field="4294967294" count="1" selected="0">
            <x v="0"/>
          </reference>
          <reference field="1" count="1" selected="0">
            <x v="105"/>
          </reference>
        </references>
      </pivotArea>
    </chartFormat>
    <chartFormat chart="20" format="455">
      <pivotArea type="data" outline="0" fieldPosition="0">
        <references count="2">
          <reference field="4294967294" count="1" selected="0">
            <x v="0"/>
          </reference>
          <reference field="1" count="1" selected="0">
            <x v="106"/>
          </reference>
        </references>
      </pivotArea>
    </chartFormat>
    <chartFormat chart="20" format="456">
      <pivotArea type="data" outline="0" fieldPosition="0">
        <references count="2">
          <reference field="4294967294" count="1" selected="0">
            <x v="0"/>
          </reference>
          <reference field="1" count="1" selected="0">
            <x v="107"/>
          </reference>
        </references>
      </pivotArea>
    </chartFormat>
    <chartFormat chart="20" format="457">
      <pivotArea type="data" outline="0" fieldPosition="0">
        <references count="2">
          <reference field="4294967294" count="1" selected="0">
            <x v="0"/>
          </reference>
          <reference field="1" count="1" selected="0">
            <x v="108"/>
          </reference>
        </references>
      </pivotArea>
    </chartFormat>
    <chartFormat chart="20" format="458">
      <pivotArea type="data" outline="0" fieldPosition="0">
        <references count="2">
          <reference field="4294967294" count="1" selected="0">
            <x v="0"/>
          </reference>
          <reference field="1" count="1" selected="0">
            <x v="109"/>
          </reference>
        </references>
      </pivotArea>
    </chartFormat>
    <chartFormat chart="20" format="459">
      <pivotArea type="data" outline="0" fieldPosition="0">
        <references count="2">
          <reference field="4294967294" count="1" selected="0">
            <x v="0"/>
          </reference>
          <reference field="1" count="1" selected="0">
            <x v="110"/>
          </reference>
        </references>
      </pivotArea>
    </chartFormat>
    <chartFormat chart="20" format="460">
      <pivotArea type="data" outline="0" fieldPosition="0">
        <references count="2">
          <reference field="4294967294" count="1" selected="0">
            <x v="0"/>
          </reference>
          <reference field="1" count="1" selected="0">
            <x v="111"/>
          </reference>
        </references>
      </pivotArea>
    </chartFormat>
    <chartFormat chart="20" format="46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2"/>
          </reference>
        </references>
      </pivotArea>
    </chartFormat>
    <chartFormat chart="20" format="46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3"/>
          </reference>
        </references>
      </pivotArea>
    </chartFormat>
    <chartFormat chart="20" format="463">
      <pivotArea type="data" outline="0" fieldPosition="0">
        <references count="2">
          <reference field="4294967294" count="1" selected="0">
            <x v="0"/>
          </reference>
          <reference field="1" count="1" selected="0">
            <x v="114"/>
          </reference>
        </references>
      </pivotArea>
    </chartFormat>
    <chartFormat chart="20" format="464">
      <pivotArea type="data" outline="0" fieldPosition="0">
        <references count="2">
          <reference field="4294967294" count="1" selected="0">
            <x v="0"/>
          </reference>
          <reference field="1" count="1" selected="0">
            <x v="115"/>
          </reference>
        </references>
      </pivotArea>
    </chartFormat>
    <chartFormat chart="20" format="465">
      <pivotArea type="data" outline="0" fieldPosition="0">
        <references count="2">
          <reference field="4294967294" count="1" selected="0">
            <x v="0"/>
          </reference>
          <reference field="1" count="1" selected="0">
            <x v="116"/>
          </reference>
        </references>
      </pivotArea>
    </chartFormat>
    <chartFormat chart="20" format="466">
      <pivotArea type="data" outline="0" fieldPosition="0">
        <references count="2">
          <reference field="4294967294" count="1" selected="0">
            <x v="0"/>
          </reference>
          <reference field="1" count="1" selected="0">
            <x v="117"/>
          </reference>
        </references>
      </pivotArea>
    </chartFormat>
    <chartFormat chart="20" format="467">
      <pivotArea type="data" outline="0" fieldPosition="0">
        <references count="2">
          <reference field="4294967294" count="1" selected="0">
            <x v="0"/>
          </reference>
          <reference field="1" count="1" selected="0">
            <x v="118"/>
          </reference>
        </references>
      </pivotArea>
    </chartFormat>
    <chartFormat chart="20" format="468">
      <pivotArea type="data" outline="0" fieldPosition="0">
        <references count="2">
          <reference field="4294967294" count="1" selected="0">
            <x v="0"/>
          </reference>
          <reference field="1" count="1" selected="0">
            <x v="119"/>
          </reference>
        </references>
      </pivotArea>
    </chartFormat>
    <chartFormat chart="20" format="469">
      <pivotArea type="data" outline="0" fieldPosition="0">
        <references count="2">
          <reference field="4294967294" count="1" selected="0">
            <x v="0"/>
          </reference>
          <reference field="1" count="1" selected="0">
            <x v="120"/>
          </reference>
        </references>
      </pivotArea>
    </chartFormat>
    <chartFormat chart="20" format="470">
      <pivotArea type="data" outline="0" fieldPosition="0">
        <references count="2">
          <reference field="4294967294" count="1" selected="0">
            <x v="0"/>
          </reference>
          <reference field="1" count="1" selected="0">
            <x v="121"/>
          </reference>
        </references>
      </pivotArea>
    </chartFormat>
    <chartFormat chart="20" format="47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2"/>
          </reference>
        </references>
      </pivotArea>
    </chartFormat>
    <chartFormat chart="20" format="472">
      <pivotArea type="data" outline="0" fieldPosition="0">
        <references count="2">
          <reference field="4294967294" count="1" selected="0">
            <x v="0"/>
          </reference>
          <reference field="1" count="1" selected="0">
            <x v="123"/>
          </reference>
        </references>
      </pivotArea>
    </chartFormat>
    <chartFormat chart="20" format="473">
      <pivotArea type="data" outline="0" fieldPosition="0">
        <references count="2">
          <reference field="4294967294" count="1" selected="0">
            <x v="0"/>
          </reference>
          <reference field="1" count="1" selected="0">
            <x v="124"/>
          </reference>
        </references>
      </pivotArea>
    </chartFormat>
    <chartFormat chart="20" format="474">
      <pivotArea type="data" outline="0" fieldPosition="0">
        <references count="2">
          <reference field="4294967294" count="1" selected="0">
            <x v="0"/>
          </reference>
          <reference field="1" count="1" selected="0">
            <x v="125"/>
          </reference>
        </references>
      </pivotArea>
    </chartFormat>
    <chartFormat chart="20" format="475">
      <pivotArea type="data" outline="0" fieldPosition="0">
        <references count="2">
          <reference field="4294967294" count="1" selected="0">
            <x v="0"/>
          </reference>
          <reference field="1" count="1" selected="0">
            <x v="126"/>
          </reference>
        </references>
      </pivotArea>
    </chartFormat>
    <chartFormat chart="20" format="476">
      <pivotArea type="data" outline="0" fieldPosition="0">
        <references count="2">
          <reference field="4294967294" count="1" selected="0">
            <x v="0"/>
          </reference>
          <reference field="1" count="1" selected="0">
            <x v="127"/>
          </reference>
        </references>
      </pivotArea>
    </chartFormat>
    <chartFormat chart="20" format="477">
      <pivotArea type="data" outline="0" fieldPosition="0">
        <references count="2">
          <reference field="4294967294" count="1" selected="0">
            <x v="0"/>
          </reference>
          <reference field="1" count="1" selected="0">
            <x v="128"/>
          </reference>
        </references>
      </pivotArea>
    </chartFormat>
    <chartFormat chart="20" format="478">
      <pivotArea type="data" outline="0" fieldPosition="0">
        <references count="2">
          <reference field="4294967294" count="1" selected="0">
            <x v="0"/>
          </reference>
          <reference field="1" count="1" selected="0">
            <x v="129"/>
          </reference>
        </references>
      </pivotArea>
    </chartFormat>
    <chartFormat chart="20" format="479">
      <pivotArea type="data" outline="0" fieldPosition="0">
        <references count="2">
          <reference field="4294967294" count="1" selected="0">
            <x v="0"/>
          </reference>
          <reference field="1" count="1" selected="0">
            <x v="130"/>
          </reference>
        </references>
      </pivotArea>
    </chartFormat>
    <chartFormat chart="20" format="480">
      <pivotArea type="data" outline="0" fieldPosition="0">
        <references count="2">
          <reference field="4294967294" count="1" selected="0">
            <x v="0"/>
          </reference>
          <reference field="1" count="1" selected="0">
            <x v="131"/>
          </reference>
        </references>
      </pivotArea>
    </chartFormat>
    <chartFormat chart="20" format="48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2"/>
          </reference>
        </references>
      </pivotArea>
    </chartFormat>
    <chartFormat chart="20" format="482">
      <pivotArea type="data" outline="0" fieldPosition="0">
        <references count="2">
          <reference field="4294967294" count="1" selected="0">
            <x v="0"/>
          </reference>
          <reference field="1" count="1" selected="0">
            <x v="133"/>
          </reference>
        </references>
      </pivotArea>
    </chartFormat>
    <chartFormat chart="20" format="483">
      <pivotArea type="data" outline="0" fieldPosition="0">
        <references count="2">
          <reference field="4294967294" count="1" selected="0">
            <x v="0"/>
          </reference>
          <reference field="1" count="1" selected="0">
            <x v="134"/>
          </reference>
        </references>
      </pivotArea>
    </chartFormat>
    <chartFormat chart="20" format="484">
      <pivotArea type="data" outline="0" fieldPosition="0">
        <references count="2">
          <reference field="4294967294" count="1" selected="0">
            <x v="0"/>
          </reference>
          <reference field="1" count="1" selected="0">
            <x v="135"/>
          </reference>
        </references>
      </pivotArea>
    </chartFormat>
    <chartFormat chart="20" format="485">
      <pivotArea type="data" outline="0" fieldPosition="0">
        <references count="2">
          <reference field="4294967294" count="1" selected="0">
            <x v="0"/>
          </reference>
          <reference field="1" count="1" selected="0">
            <x v="136"/>
          </reference>
        </references>
      </pivotArea>
    </chartFormat>
    <chartFormat chart="20" format="486">
      <pivotArea type="data" outline="0" fieldPosition="0">
        <references count="2">
          <reference field="4294967294" count="1" selected="0">
            <x v="0"/>
          </reference>
          <reference field="1" count="1" selected="0">
            <x v="137"/>
          </reference>
        </references>
      </pivotArea>
    </chartFormat>
    <chartFormat chart="20" format="487">
      <pivotArea type="data" outline="0" fieldPosition="0">
        <references count="2">
          <reference field="4294967294" count="1" selected="0">
            <x v="0"/>
          </reference>
          <reference field="1" count="1" selected="0">
            <x v="138"/>
          </reference>
        </references>
      </pivotArea>
    </chartFormat>
    <chartFormat chart="20" format="488">
      <pivotArea type="data" outline="0" fieldPosition="0">
        <references count="2">
          <reference field="4294967294" count="1" selected="0">
            <x v="0"/>
          </reference>
          <reference field="1" count="1" selected="0">
            <x v="139"/>
          </reference>
        </references>
      </pivotArea>
    </chartFormat>
    <chartFormat chart="20" format="489">
      <pivotArea type="data" outline="0" fieldPosition="0">
        <references count="2">
          <reference field="4294967294" count="1" selected="0">
            <x v="0"/>
          </reference>
          <reference field="1" count="1" selected="0">
            <x v="140"/>
          </reference>
        </references>
      </pivotArea>
    </chartFormat>
    <chartFormat chart="20" format="490">
      <pivotArea type="data" outline="0" fieldPosition="0">
        <references count="2">
          <reference field="4294967294" count="1" selected="0">
            <x v="0"/>
          </reference>
          <reference field="1" count="1" selected="0">
            <x v="141"/>
          </reference>
        </references>
      </pivotArea>
    </chartFormat>
    <chartFormat chart="20" format="49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2"/>
          </reference>
        </references>
      </pivotArea>
    </chartFormat>
    <chartFormat chart="20" format="492">
      <pivotArea type="data" outline="0" fieldPosition="0">
        <references count="2">
          <reference field="4294967294" count="1" selected="0">
            <x v="0"/>
          </reference>
          <reference field="1" count="1" selected="0">
            <x v="143"/>
          </reference>
        </references>
      </pivotArea>
    </chartFormat>
    <chartFormat chart="20" format="493">
      <pivotArea type="data" outline="0" fieldPosition="0">
        <references count="2">
          <reference field="4294967294" count="1" selected="0">
            <x v="0"/>
          </reference>
          <reference field="1" count="1" selected="0">
            <x v="144"/>
          </reference>
        </references>
      </pivotArea>
    </chartFormat>
    <chartFormat chart="20" format="494">
      <pivotArea type="data" outline="0" fieldPosition="0">
        <references count="2">
          <reference field="4294967294" count="1" selected="0">
            <x v="0"/>
          </reference>
          <reference field="1" count="1" selected="0">
            <x v="145"/>
          </reference>
        </references>
      </pivotArea>
    </chartFormat>
    <chartFormat chart="20" format="49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6"/>
          </reference>
        </references>
      </pivotArea>
    </chartFormat>
    <chartFormat chart="20" format="496">
      <pivotArea type="data" outline="0" fieldPosition="0">
        <references count="2">
          <reference field="4294967294" count="1" selected="0">
            <x v="0"/>
          </reference>
          <reference field="1" count="1" selected="0">
            <x v="147"/>
          </reference>
        </references>
      </pivotArea>
    </chartFormat>
    <chartFormat chart="20" format="497">
      <pivotArea type="data" outline="0" fieldPosition="0">
        <references count="2">
          <reference field="4294967294" count="1" selected="0">
            <x v="0"/>
          </reference>
          <reference field="1" count="1" selected="0">
            <x v="148"/>
          </reference>
        </references>
      </pivotArea>
    </chartFormat>
    <chartFormat chart="20" format="498">
      <pivotArea type="data" outline="0" fieldPosition="0">
        <references count="2">
          <reference field="4294967294" count="1" selected="0">
            <x v="0"/>
          </reference>
          <reference field="1" count="1" selected="0">
            <x v="149"/>
          </reference>
        </references>
      </pivotArea>
    </chartFormat>
    <chartFormat chart="20" format="499">
      <pivotArea type="data" outline="0" fieldPosition="0">
        <references count="2">
          <reference field="4294967294" count="1" selected="0">
            <x v="0"/>
          </reference>
          <reference field="1" count="1" selected="0">
            <x v="150"/>
          </reference>
        </references>
      </pivotArea>
    </chartFormat>
    <chartFormat chart="20" format="500">
      <pivotArea type="data" outline="0" fieldPosition="0">
        <references count="2">
          <reference field="4294967294" count="1" selected="0">
            <x v="0"/>
          </reference>
          <reference field="1" count="1" selected="0">
            <x v="151"/>
          </reference>
        </references>
      </pivotArea>
    </chartFormat>
    <chartFormat chart="20" format="50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2"/>
          </reference>
        </references>
      </pivotArea>
    </chartFormat>
    <chartFormat chart="20" format="502">
      <pivotArea type="data" outline="0" fieldPosition="0">
        <references count="2">
          <reference field="4294967294" count="1" selected="0">
            <x v="0"/>
          </reference>
          <reference field="1" count="1" selected="0">
            <x v="153"/>
          </reference>
        </references>
      </pivotArea>
    </chartFormat>
    <chartFormat chart="20" format="503">
      <pivotArea type="data" outline="0" fieldPosition="0">
        <references count="2">
          <reference field="4294967294" count="1" selected="0">
            <x v="0"/>
          </reference>
          <reference field="1" count="1" selected="0">
            <x v="154"/>
          </reference>
        </references>
      </pivotArea>
    </chartFormat>
    <chartFormat chart="20" format="504">
      <pivotArea type="data" outline="0" fieldPosition="0">
        <references count="2">
          <reference field="4294967294" count="1" selected="0">
            <x v="0"/>
          </reference>
          <reference field="1" count="1" selected="0">
            <x v="155"/>
          </reference>
        </references>
      </pivotArea>
    </chartFormat>
    <chartFormat chart="20" format="505">
      <pivotArea type="data" outline="0" fieldPosition="0">
        <references count="2">
          <reference field="4294967294" count="1" selected="0">
            <x v="0"/>
          </reference>
          <reference field="1" count="1" selected="0">
            <x v="156"/>
          </reference>
        </references>
      </pivotArea>
    </chartFormat>
    <chartFormat chart="20" format="506">
      <pivotArea type="data" outline="0" fieldPosition="0">
        <references count="2">
          <reference field="4294967294" count="1" selected="0">
            <x v="0"/>
          </reference>
          <reference field="1" count="1" selected="0">
            <x v="157"/>
          </reference>
        </references>
      </pivotArea>
    </chartFormat>
    <chartFormat chart="20" format="507">
      <pivotArea type="data" outline="0" fieldPosition="0">
        <references count="2">
          <reference field="4294967294" count="1" selected="0">
            <x v="0"/>
          </reference>
          <reference field="1" count="1" selected="0">
            <x v="158"/>
          </reference>
        </references>
      </pivotArea>
    </chartFormat>
    <chartFormat chart="20" format="508">
      <pivotArea type="data" outline="0" fieldPosition="0">
        <references count="2">
          <reference field="4294967294" count="1" selected="0">
            <x v="0"/>
          </reference>
          <reference field="1" count="1" selected="0">
            <x v="159"/>
          </reference>
        </references>
      </pivotArea>
    </chartFormat>
    <chartFormat chart="20" format="509">
      <pivotArea type="data" outline="0" fieldPosition="0">
        <references count="2">
          <reference field="4294967294" count="1" selected="0">
            <x v="0"/>
          </reference>
          <reference field="1" count="1" selected="0">
            <x v="160"/>
          </reference>
        </references>
      </pivotArea>
    </chartFormat>
    <chartFormat chart="20" format="5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61"/>
          </reference>
        </references>
      </pivotArea>
    </chartFormat>
    <chartFormat chart="20" format="5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2"/>
          </reference>
        </references>
      </pivotArea>
    </chartFormat>
    <chartFormat chart="20" format="5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63"/>
          </reference>
        </references>
      </pivotArea>
    </chartFormat>
    <chartFormat chart="20" format="5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64"/>
          </reference>
        </references>
      </pivotArea>
    </chartFormat>
    <chartFormat chart="20" format="5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65"/>
          </reference>
        </references>
      </pivotArea>
    </chartFormat>
    <chartFormat chart="20" format="5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66"/>
          </reference>
        </references>
      </pivotArea>
    </chartFormat>
    <chartFormat chart="20" format="5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67"/>
          </reference>
        </references>
      </pivotArea>
    </chartFormat>
    <chartFormat chart="20" format="5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68"/>
          </reference>
        </references>
      </pivotArea>
    </chartFormat>
    <chartFormat chart="20" format="5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69"/>
          </reference>
        </references>
      </pivotArea>
    </chartFormat>
    <chartFormat chart="20" format="519">
      <pivotArea type="data" outline="0" fieldPosition="0">
        <references count="2">
          <reference field="4294967294" count="1" selected="0">
            <x v="0"/>
          </reference>
          <reference field="1" count="1" selected="0">
            <x v="170"/>
          </reference>
        </references>
      </pivotArea>
    </chartFormat>
    <chartFormat chart="20" format="520">
      <pivotArea type="data" outline="0" fieldPosition="0">
        <references count="2">
          <reference field="4294967294" count="1" selected="0">
            <x v="0"/>
          </reference>
          <reference field="1" count="1" selected="0">
            <x v="171"/>
          </reference>
        </references>
      </pivotArea>
    </chartFormat>
    <chartFormat chart="20" format="5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2"/>
          </reference>
        </references>
      </pivotArea>
    </chartFormat>
    <chartFormat chart="20" format="522">
      <pivotArea type="data" outline="0" fieldPosition="0">
        <references count="2">
          <reference field="4294967294" count="1" selected="0">
            <x v="0"/>
          </reference>
          <reference field="1" count="1" selected="0">
            <x v="173"/>
          </reference>
        </references>
      </pivotArea>
    </chartFormat>
    <chartFormat chart="20" format="523">
      <pivotArea type="data" outline="0" fieldPosition="0">
        <references count="2">
          <reference field="4294967294" count="1" selected="0">
            <x v="0"/>
          </reference>
          <reference field="1" count="1" selected="0">
            <x v="174"/>
          </reference>
        </references>
      </pivotArea>
    </chartFormat>
    <chartFormat chart="20" format="5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75"/>
          </reference>
        </references>
      </pivotArea>
    </chartFormat>
    <chartFormat chart="20" format="525">
      <pivotArea type="data" outline="0" fieldPosition="0">
        <references count="2">
          <reference field="4294967294" count="1" selected="0">
            <x v="0"/>
          </reference>
          <reference field="1" count="1" selected="0">
            <x v="176"/>
          </reference>
        </references>
      </pivotArea>
    </chartFormat>
    <chartFormat chart="20" format="526">
      <pivotArea type="data" outline="0" fieldPosition="0">
        <references count="2">
          <reference field="4294967294" count="1" selected="0">
            <x v="0"/>
          </reference>
          <reference field="1" count="1" selected="0">
            <x v="177"/>
          </reference>
        </references>
      </pivotArea>
    </chartFormat>
    <chartFormat chart="20" format="527">
      <pivotArea type="data" outline="0" fieldPosition="0">
        <references count="2">
          <reference field="4294967294" count="1" selected="0">
            <x v="0"/>
          </reference>
          <reference field="1" count="1" selected="0">
            <x v="178"/>
          </reference>
        </references>
      </pivotArea>
    </chartFormat>
    <chartFormat chart="20" format="528">
      <pivotArea type="data" outline="0" fieldPosition="0">
        <references count="2">
          <reference field="4294967294" count="1" selected="0">
            <x v="0"/>
          </reference>
          <reference field="1" count="1" selected="0">
            <x v="179"/>
          </reference>
        </references>
      </pivotArea>
    </chartFormat>
    <chartFormat chart="20" format="529">
      <pivotArea type="data" outline="0" fieldPosition="0">
        <references count="2">
          <reference field="4294967294" count="1" selected="0">
            <x v="0"/>
          </reference>
          <reference field="1" count="1" selected="0">
            <x v="180"/>
          </reference>
        </references>
      </pivotArea>
    </chartFormat>
    <chartFormat chart="20" format="530">
      <pivotArea type="data" outline="0" fieldPosition="0">
        <references count="2">
          <reference field="4294967294" count="1" selected="0">
            <x v="0"/>
          </reference>
          <reference field="1" count="1" selected="0">
            <x v="181"/>
          </reference>
        </references>
      </pivotArea>
    </chartFormat>
    <chartFormat chart="20" format="53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2"/>
          </reference>
        </references>
      </pivotArea>
    </chartFormat>
    <chartFormat chart="20" format="532">
      <pivotArea type="data" outline="0" fieldPosition="0">
        <references count="2">
          <reference field="4294967294" count="1" selected="0">
            <x v="0"/>
          </reference>
          <reference field="1" count="1" selected="0">
            <x v="183"/>
          </reference>
        </references>
      </pivotArea>
    </chartFormat>
    <chartFormat chart="20" format="533">
      <pivotArea type="data" outline="0" fieldPosition="0">
        <references count="2">
          <reference field="4294967294" count="1" selected="0">
            <x v="0"/>
          </reference>
          <reference field="1" count="1" selected="0">
            <x v="184"/>
          </reference>
        </references>
      </pivotArea>
    </chartFormat>
    <chartFormat chart="20" format="534">
      <pivotArea type="data" outline="0" fieldPosition="0">
        <references count="2">
          <reference field="4294967294" count="1" selected="0">
            <x v="0"/>
          </reference>
          <reference field="1" count="1" selected="0">
            <x v="185"/>
          </reference>
        </references>
      </pivotArea>
    </chartFormat>
    <chartFormat chart="20" format="535">
      <pivotArea type="data" outline="0" fieldPosition="0">
        <references count="2">
          <reference field="4294967294" count="1" selected="0">
            <x v="0"/>
          </reference>
          <reference field="1" count="1" selected="0">
            <x v="186"/>
          </reference>
        </references>
      </pivotArea>
    </chartFormat>
    <chartFormat chart="20" format="536">
      <pivotArea type="data" outline="0" fieldPosition="0">
        <references count="2">
          <reference field="4294967294" count="1" selected="0">
            <x v="0"/>
          </reference>
          <reference field="1" count="1" selected="0">
            <x v="187"/>
          </reference>
        </references>
      </pivotArea>
    </chartFormat>
    <chartFormat chart="20" format="537">
      <pivotArea type="data" outline="0" fieldPosition="0">
        <references count="2">
          <reference field="4294967294" count="1" selected="0">
            <x v="0"/>
          </reference>
          <reference field="1" count="1" selected="0">
            <x v="188"/>
          </reference>
        </references>
      </pivotArea>
    </chartFormat>
    <chartFormat chart="20" format="538">
      <pivotArea type="data" outline="0" fieldPosition="0">
        <references count="2">
          <reference field="4294967294" count="1" selected="0">
            <x v="0"/>
          </reference>
          <reference field="1" count="1" selected="0">
            <x v="189"/>
          </reference>
        </references>
      </pivotArea>
    </chartFormat>
    <chartFormat chart="20" format="539">
      <pivotArea type="data" outline="0" fieldPosition="0">
        <references count="2">
          <reference field="4294967294" count="1" selected="0">
            <x v="0"/>
          </reference>
          <reference field="1" count="1" selected="0">
            <x v="190"/>
          </reference>
        </references>
      </pivotArea>
    </chartFormat>
    <chartFormat chart="20" format="540">
      <pivotArea type="data" outline="0" fieldPosition="0">
        <references count="2">
          <reference field="4294967294" count="1" selected="0">
            <x v="0"/>
          </reference>
          <reference field="1" count="1" selected="0">
            <x v="191"/>
          </reference>
        </references>
      </pivotArea>
    </chartFormat>
    <chartFormat chart="20" format="54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2"/>
          </reference>
        </references>
      </pivotArea>
    </chartFormat>
    <chartFormat chart="20" format="542">
      <pivotArea type="data" outline="0" fieldPosition="0">
        <references count="2">
          <reference field="4294967294" count="1" selected="0">
            <x v="0"/>
          </reference>
          <reference field="1" count="1" selected="0">
            <x v="193"/>
          </reference>
        </references>
      </pivotArea>
    </chartFormat>
    <chartFormat chart="20" format="543">
      <pivotArea type="data" outline="0" fieldPosition="0">
        <references count="2">
          <reference field="4294967294" count="1" selected="0">
            <x v="0"/>
          </reference>
          <reference field="1" count="1" selected="0">
            <x v="194"/>
          </reference>
        </references>
      </pivotArea>
    </chartFormat>
    <chartFormat chart="20" format="544">
      <pivotArea type="data" outline="0" fieldPosition="0">
        <references count="2">
          <reference field="4294967294" count="1" selected="0">
            <x v="0"/>
          </reference>
          <reference field="1" count="1" selected="0">
            <x v="195"/>
          </reference>
        </references>
      </pivotArea>
    </chartFormat>
    <chartFormat chart="20" format="545">
      <pivotArea type="data" outline="0" fieldPosition="0">
        <references count="2">
          <reference field="4294967294" count="1" selected="0">
            <x v="0"/>
          </reference>
          <reference field="1" count="1" selected="0">
            <x v="196"/>
          </reference>
        </references>
      </pivotArea>
    </chartFormat>
    <chartFormat chart="20" format="546">
      <pivotArea type="data" outline="0" fieldPosition="0">
        <references count="2">
          <reference field="4294967294" count="1" selected="0">
            <x v="0"/>
          </reference>
          <reference field="1" count="1" selected="0">
            <x v="197"/>
          </reference>
        </references>
      </pivotArea>
    </chartFormat>
    <chartFormat chart="20" format="547">
      <pivotArea type="data" outline="0" fieldPosition="0">
        <references count="2">
          <reference field="4294967294" count="1" selected="0">
            <x v="0"/>
          </reference>
          <reference field="1" count="1" selected="0">
            <x v="198"/>
          </reference>
        </references>
      </pivotArea>
    </chartFormat>
    <chartFormat chart="20" format="548">
      <pivotArea type="data" outline="0" fieldPosition="0">
        <references count="2">
          <reference field="4294967294" count="1" selected="0">
            <x v="0"/>
          </reference>
          <reference field="1" count="1" selected="0">
            <x v="199"/>
          </reference>
        </references>
      </pivotArea>
    </chartFormat>
    <chartFormat chart="20" format="549">
      <pivotArea type="data" outline="0" fieldPosition="0">
        <references count="2">
          <reference field="4294967294" count="1" selected="0">
            <x v="0"/>
          </reference>
          <reference field="1" count="1" selected="0">
            <x v="200"/>
          </reference>
        </references>
      </pivotArea>
    </chartFormat>
    <chartFormat chart="20" format="550">
      <pivotArea type="data" outline="0" fieldPosition="0">
        <references count="2">
          <reference field="4294967294" count="1" selected="0">
            <x v="0"/>
          </reference>
          <reference field="1" count="1" selected="0">
            <x v="201"/>
          </reference>
        </references>
      </pivotArea>
    </chartFormat>
    <chartFormat chart="20" format="55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2"/>
          </reference>
        </references>
      </pivotArea>
    </chartFormat>
    <chartFormat chart="20" format="552">
      <pivotArea type="data" outline="0" fieldPosition="0">
        <references count="2">
          <reference field="4294967294" count="1" selected="0">
            <x v="0"/>
          </reference>
          <reference field="1" count="1" selected="0">
            <x v="203"/>
          </reference>
        </references>
      </pivotArea>
    </chartFormat>
    <chartFormat chart="20" format="553">
      <pivotArea type="data" outline="0" fieldPosition="0">
        <references count="2">
          <reference field="4294967294" count="1" selected="0">
            <x v="0"/>
          </reference>
          <reference field="1" count="1" selected="0">
            <x v="204"/>
          </reference>
        </references>
      </pivotArea>
    </chartFormat>
    <chartFormat chart="20" format="554">
      <pivotArea type="data" outline="0" fieldPosition="0">
        <references count="2">
          <reference field="4294967294" count="1" selected="0">
            <x v="0"/>
          </reference>
          <reference field="1" count="1" selected="0">
            <x v="205"/>
          </reference>
        </references>
      </pivotArea>
    </chartFormat>
    <chartFormat chart="20" format="555">
      <pivotArea type="data" outline="0" fieldPosition="0">
        <references count="2">
          <reference field="4294967294" count="1" selected="0">
            <x v="0"/>
          </reference>
          <reference field="1" count="1" selected="0">
            <x v="206"/>
          </reference>
        </references>
      </pivotArea>
    </chartFormat>
    <chartFormat chart="20" format="556">
      <pivotArea type="data" outline="0" fieldPosition="0">
        <references count="2">
          <reference field="4294967294" count="1" selected="0">
            <x v="0"/>
          </reference>
          <reference field="1" count="1" selected="0">
            <x v="207"/>
          </reference>
        </references>
      </pivotArea>
    </chartFormat>
    <chartFormat chart="20" format="557">
      <pivotArea type="data" outline="0" fieldPosition="0">
        <references count="2">
          <reference field="4294967294" count="1" selected="0">
            <x v="0"/>
          </reference>
          <reference field="1" count="1" selected="0">
            <x v="208"/>
          </reference>
        </references>
      </pivotArea>
    </chartFormat>
    <chartFormat chart="20" format="558">
      <pivotArea type="data" outline="0" fieldPosition="0">
        <references count="2">
          <reference field="4294967294" count="1" selected="0">
            <x v="0"/>
          </reference>
          <reference field="1" count="1" selected="0">
            <x v="209"/>
          </reference>
        </references>
      </pivotArea>
    </chartFormat>
    <chartFormat chart="20" format="559">
      <pivotArea type="data" outline="0" fieldPosition="0">
        <references count="2">
          <reference field="4294967294" count="1" selected="0">
            <x v="0"/>
          </reference>
          <reference field="1" count="1" selected="0">
            <x v="210"/>
          </reference>
        </references>
      </pivotArea>
    </chartFormat>
    <chartFormat chart="20" format="560">
      <pivotArea type="data" outline="0" fieldPosition="0">
        <references count="2">
          <reference field="4294967294" count="1" selected="0">
            <x v="0"/>
          </reference>
          <reference field="1" count="1" selected="0">
            <x v="211"/>
          </reference>
        </references>
      </pivotArea>
    </chartFormat>
    <chartFormat chart="20" format="56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2"/>
          </reference>
        </references>
      </pivotArea>
    </chartFormat>
    <chartFormat chart="20" format="562">
      <pivotArea type="data" outline="0" fieldPosition="0">
        <references count="2">
          <reference field="4294967294" count="1" selected="0">
            <x v="0"/>
          </reference>
          <reference field="1" count="1" selected="0">
            <x v="213"/>
          </reference>
        </references>
      </pivotArea>
    </chartFormat>
    <chartFormat chart="20" format="563">
      <pivotArea type="data" outline="0" fieldPosition="0">
        <references count="2">
          <reference field="4294967294" count="1" selected="0">
            <x v="0"/>
          </reference>
          <reference field="1" count="1" selected="0">
            <x v="214"/>
          </reference>
        </references>
      </pivotArea>
    </chartFormat>
    <chartFormat chart="20" format="564">
      <pivotArea type="data" outline="0" fieldPosition="0">
        <references count="2">
          <reference field="4294967294" count="1" selected="0">
            <x v="0"/>
          </reference>
          <reference field="1" count="1" selected="0">
            <x v="215"/>
          </reference>
        </references>
      </pivotArea>
    </chartFormat>
    <chartFormat chart="20" format="565">
      <pivotArea type="data" outline="0" fieldPosition="0">
        <references count="2">
          <reference field="4294967294" count="1" selected="0">
            <x v="0"/>
          </reference>
          <reference field="1" count="1" selected="0">
            <x v="216"/>
          </reference>
        </references>
      </pivotArea>
    </chartFormat>
    <chartFormat chart="20" format="566">
      <pivotArea type="data" outline="0" fieldPosition="0">
        <references count="2">
          <reference field="4294967294" count="1" selected="0">
            <x v="0"/>
          </reference>
          <reference field="1" count="1" selected="0">
            <x v="217"/>
          </reference>
        </references>
      </pivotArea>
    </chartFormat>
    <chartFormat chart="20" format="567">
      <pivotArea type="data" outline="0" fieldPosition="0">
        <references count="2">
          <reference field="4294967294" count="1" selected="0">
            <x v="0"/>
          </reference>
          <reference field="1" count="1" selected="0">
            <x v="218"/>
          </reference>
        </references>
      </pivotArea>
    </chartFormat>
    <chartFormat chart="20" format="568">
      <pivotArea type="data" outline="0" fieldPosition="0">
        <references count="2">
          <reference field="4294967294" count="1" selected="0">
            <x v="0"/>
          </reference>
          <reference field="1" count="1" selected="0">
            <x v="219"/>
          </reference>
        </references>
      </pivotArea>
    </chartFormat>
    <chartFormat chart="20" format="569">
      <pivotArea type="data" outline="0" fieldPosition="0">
        <references count="2">
          <reference field="4294967294" count="1" selected="0">
            <x v="0"/>
          </reference>
          <reference field="1" count="1" selected="0">
            <x v="220"/>
          </reference>
        </references>
      </pivotArea>
    </chartFormat>
    <chartFormat chart="20" format="570">
      <pivotArea type="data" outline="0" fieldPosition="0">
        <references count="2">
          <reference field="4294967294" count="1" selected="0">
            <x v="0"/>
          </reference>
          <reference field="1" count="1" selected="0">
            <x v="221"/>
          </reference>
        </references>
      </pivotArea>
    </chartFormat>
    <chartFormat chart="20" format="57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2"/>
          </reference>
        </references>
      </pivotArea>
    </chartFormat>
    <chartFormat chart="20" format="572">
      <pivotArea type="data" outline="0" fieldPosition="0">
        <references count="2">
          <reference field="4294967294" count="1" selected="0">
            <x v="0"/>
          </reference>
          <reference field="1" count="1" selected="0">
            <x v="223"/>
          </reference>
        </references>
      </pivotArea>
    </chartFormat>
    <chartFormat chart="20" format="573">
      <pivotArea type="data" outline="0" fieldPosition="0">
        <references count="2">
          <reference field="4294967294" count="1" selected="0">
            <x v="0"/>
          </reference>
          <reference field="1" count="1" selected="0">
            <x v="224"/>
          </reference>
        </references>
      </pivotArea>
    </chartFormat>
    <chartFormat chart="20" format="574">
      <pivotArea type="data" outline="0" fieldPosition="0">
        <references count="2">
          <reference field="4294967294" count="1" selected="0">
            <x v="0"/>
          </reference>
          <reference field="1" count="1" selected="0">
            <x v="225"/>
          </reference>
        </references>
      </pivotArea>
    </chartFormat>
    <chartFormat chart="20" format="575">
      <pivotArea type="data" outline="0" fieldPosition="0">
        <references count="2">
          <reference field="4294967294" count="1" selected="0">
            <x v="0"/>
          </reference>
          <reference field="1" count="1" selected="0">
            <x v="226"/>
          </reference>
        </references>
      </pivotArea>
    </chartFormat>
    <chartFormat chart="20" format="576">
      <pivotArea type="data" outline="0" fieldPosition="0">
        <references count="2">
          <reference field="4294967294" count="1" selected="0">
            <x v="0"/>
          </reference>
          <reference field="1" count="1" selected="0">
            <x v="227"/>
          </reference>
        </references>
      </pivotArea>
    </chartFormat>
    <chartFormat chart="20" format="577">
      <pivotArea type="data" outline="0" fieldPosition="0">
        <references count="2">
          <reference field="4294967294" count="1" selected="0">
            <x v="0"/>
          </reference>
          <reference field="1" count="1" selected="0">
            <x v="228"/>
          </reference>
        </references>
      </pivotArea>
    </chartFormat>
    <chartFormat chart="20" format="578">
      <pivotArea type="data" outline="0" fieldPosition="0">
        <references count="2">
          <reference field="4294967294" count="1" selected="0">
            <x v="0"/>
          </reference>
          <reference field="1" count="1" selected="0">
            <x v="229"/>
          </reference>
        </references>
      </pivotArea>
    </chartFormat>
    <chartFormat chart="20" format="579">
      <pivotArea type="data" outline="0" fieldPosition="0">
        <references count="2">
          <reference field="4294967294" count="1" selected="0">
            <x v="0"/>
          </reference>
          <reference field="1" count="1" selected="0">
            <x v="230"/>
          </reference>
        </references>
      </pivotArea>
    </chartFormat>
    <chartFormat chart="20" format="580">
      <pivotArea type="data" outline="0" fieldPosition="0">
        <references count="2">
          <reference field="4294967294" count="1" selected="0">
            <x v="0"/>
          </reference>
          <reference field="1" count="1" selected="0">
            <x v="231"/>
          </reference>
        </references>
      </pivotArea>
    </chartFormat>
    <chartFormat chart="20" format="58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2"/>
          </reference>
        </references>
      </pivotArea>
    </chartFormat>
    <chartFormat chart="20" format="582">
      <pivotArea type="data" outline="0" fieldPosition="0">
        <references count="2">
          <reference field="4294967294" count="1" selected="0">
            <x v="0"/>
          </reference>
          <reference field="1" count="1" selected="0">
            <x v="233"/>
          </reference>
        </references>
      </pivotArea>
    </chartFormat>
    <chartFormat chart="20" format="583">
      <pivotArea type="data" outline="0" fieldPosition="0">
        <references count="2">
          <reference field="4294967294" count="1" selected="0">
            <x v="0"/>
          </reference>
          <reference field="1" count="1" selected="0">
            <x v="234"/>
          </reference>
        </references>
      </pivotArea>
    </chartFormat>
    <chartFormat chart="20" format="584">
      <pivotArea type="data" outline="0" fieldPosition="0">
        <references count="2">
          <reference field="4294967294" count="1" selected="0">
            <x v="0"/>
          </reference>
          <reference field="1" count="1" selected="0">
            <x v="235"/>
          </reference>
        </references>
      </pivotArea>
    </chartFormat>
    <chartFormat chart="20" format="585">
      <pivotArea type="data" outline="0" fieldPosition="0">
        <references count="2">
          <reference field="4294967294" count="1" selected="0">
            <x v="0"/>
          </reference>
          <reference field="1" count="1" selected="0">
            <x v="236"/>
          </reference>
        </references>
      </pivotArea>
    </chartFormat>
    <chartFormat chart="20" format="586">
      <pivotArea type="data" outline="0" fieldPosition="0">
        <references count="2">
          <reference field="4294967294" count="1" selected="0">
            <x v="0"/>
          </reference>
          <reference field="1" count="1" selected="0">
            <x v="237"/>
          </reference>
        </references>
      </pivotArea>
    </chartFormat>
    <chartFormat chart="20" format="587">
      <pivotArea type="data" outline="0" fieldPosition="0">
        <references count="2">
          <reference field="4294967294" count="1" selected="0">
            <x v="0"/>
          </reference>
          <reference field="1" count="1" selected="0">
            <x v="238"/>
          </reference>
        </references>
      </pivotArea>
    </chartFormat>
    <chartFormat chart="20" format="588">
      <pivotArea type="data" outline="0" fieldPosition="0">
        <references count="2">
          <reference field="4294967294" count="1" selected="0">
            <x v="0"/>
          </reference>
          <reference field="1" count="1" selected="0">
            <x v="239"/>
          </reference>
        </references>
      </pivotArea>
    </chartFormat>
    <chartFormat chart="20" format="589">
      <pivotArea type="data" outline="0" fieldPosition="0">
        <references count="2">
          <reference field="4294967294" count="1" selected="0">
            <x v="0"/>
          </reference>
          <reference field="1" count="1" selected="0">
            <x v="240"/>
          </reference>
        </references>
      </pivotArea>
    </chartFormat>
    <chartFormat chart="20" format="590">
      <pivotArea type="data" outline="0" fieldPosition="0">
        <references count="2">
          <reference field="4294967294" count="1" selected="0">
            <x v="0"/>
          </reference>
          <reference field="1" count="1" selected="0">
            <x v="241"/>
          </reference>
        </references>
      </pivotArea>
    </chartFormat>
    <chartFormat chart="20" format="59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2"/>
          </reference>
        </references>
      </pivotArea>
    </chartFormat>
    <chartFormat chart="20" format="592">
      <pivotArea type="data" outline="0" fieldPosition="0">
        <references count="2">
          <reference field="4294967294" count="1" selected="0">
            <x v="0"/>
          </reference>
          <reference field="1" count="1" selected="0">
            <x v="243"/>
          </reference>
        </references>
      </pivotArea>
    </chartFormat>
    <chartFormat chart="20" format="593">
      <pivotArea type="data" outline="0" fieldPosition="0">
        <references count="2">
          <reference field="4294967294" count="1" selected="0">
            <x v="0"/>
          </reference>
          <reference field="1" count="1" selected="0">
            <x v="244"/>
          </reference>
        </references>
      </pivotArea>
    </chartFormat>
    <chartFormat chart="20" format="594">
      <pivotArea type="data" outline="0" fieldPosition="0">
        <references count="2">
          <reference field="4294967294" count="1" selected="0">
            <x v="0"/>
          </reference>
          <reference field="1" count="1" selected="0">
            <x v="245"/>
          </reference>
        </references>
      </pivotArea>
    </chartFormat>
    <chartFormat chart="20" format="595">
      <pivotArea type="data" outline="0" fieldPosition="0">
        <references count="2">
          <reference field="4294967294" count="1" selected="0">
            <x v="0"/>
          </reference>
          <reference field="1" count="1" selected="0">
            <x v="246"/>
          </reference>
        </references>
      </pivotArea>
    </chartFormat>
    <chartFormat chart="20" format="596">
      <pivotArea type="data" outline="0" fieldPosition="0">
        <references count="2">
          <reference field="4294967294" count="1" selected="0">
            <x v="0"/>
          </reference>
          <reference field="1" count="1" selected="0">
            <x v="247"/>
          </reference>
        </references>
      </pivotArea>
    </chartFormat>
    <chartFormat chart="20" format="597">
      <pivotArea type="data" outline="0" fieldPosition="0">
        <references count="2">
          <reference field="4294967294" count="1" selected="0">
            <x v="0"/>
          </reference>
          <reference field="1" count="1" selected="0">
            <x v="248"/>
          </reference>
        </references>
      </pivotArea>
    </chartFormat>
    <chartFormat chart="20" format="598">
      <pivotArea type="data" outline="0" fieldPosition="0">
        <references count="2">
          <reference field="4294967294" count="1" selected="0">
            <x v="0"/>
          </reference>
          <reference field="1" count="1" selected="0">
            <x v="249"/>
          </reference>
        </references>
      </pivotArea>
    </chartFormat>
    <chartFormat chart="20" format="599">
      <pivotArea type="data" outline="0" fieldPosition="0">
        <references count="2">
          <reference field="4294967294" count="1" selected="0">
            <x v="0"/>
          </reference>
          <reference field="1" count="1" selected="0">
            <x v="250"/>
          </reference>
        </references>
      </pivotArea>
    </chartFormat>
    <chartFormat chart="20" format="600">
      <pivotArea type="data" outline="0" fieldPosition="0">
        <references count="2">
          <reference field="4294967294" count="1" selected="0">
            <x v="0"/>
          </reference>
          <reference field="1" count="1" selected="0">
            <x v="251"/>
          </reference>
        </references>
      </pivotArea>
    </chartFormat>
    <chartFormat chart="20" format="60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2"/>
          </reference>
        </references>
      </pivotArea>
    </chartFormat>
    <chartFormat chart="20" format="602">
      <pivotArea type="data" outline="0" fieldPosition="0">
        <references count="2">
          <reference field="4294967294" count="1" selected="0">
            <x v="0"/>
          </reference>
          <reference field="1" count="1" selected="0">
            <x v="253"/>
          </reference>
        </references>
      </pivotArea>
    </chartFormat>
    <chartFormat chart="20" format="603">
      <pivotArea type="data" outline="0" fieldPosition="0">
        <references count="2">
          <reference field="4294967294" count="1" selected="0">
            <x v="0"/>
          </reference>
          <reference field="1" count="1" selected="0">
            <x v="254"/>
          </reference>
        </references>
      </pivotArea>
    </chartFormat>
    <chartFormat chart="20" format="604">
      <pivotArea type="data" outline="0" fieldPosition="0">
        <references count="2">
          <reference field="4294967294" count="1" selected="0">
            <x v="0"/>
          </reference>
          <reference field="1" count="1" selected="0">
            <x v="255"/>
          </reference>
        </references>
      </pivotArea>
    </chartFormat>
    <chartFormat chart="20" format="605">
      <pivotArea type="data" outline="0" fieldPosition="0">
        <references count="2">
          <reference field="4294967294" count="1" selected="0">
            <x v="0"/>
          </reference>
          <reference field="1" count="1" selected="0">
            <x v="256"/>
          </reference>
        </references>
      </pivotArea>
    </chartFormat>
    <chartFormat chart="20" format="606">
      <pivotArea type="data" outline="0" fieldPosition="0">
        <references count="2">
          <reference field="4294967294" count="1" selected="0">
            <x v="0"/>
          </reference>
          <reference field="1" count="1" selected="0">
            <x v="257"/>
          </reference>
        </references>
      </pivotArea>
    </chartFormat>
    <chartFormat chart="20" format="607">
      <pivotArea type="data" outline="0" fieldPosition="0">
        <references count="2">
          <reference field="4294967294" count="1" selected="0">
            <x v="0"/>
          </reference>
          <reference field="1" count="1" selected="0">
            <x v="258"/>
          </reference>
        </references>
      </pivotArea>
    </chartFormat>
    <chartFormat chart="20" format="608">
      <pivotArea type="data" outline="0" fieldPosition="0">
        <references count="2">
          <reference field="4294967294" count="1" selected="0">
            <x v="0"/>
          </reference>
          <reference field="1" count="1" selected="0">
            <x v="259"/>
          </reference>
        </references>
      </pivotArea>
    </chartFormat>
    <chartFormat chart="20" format="609">
      <pivotArea type="data" outline="0" fieldPosition="0">
        <references count="2">
          <reference field="4294967294" count="1" selected="0">
            <x v="0"/>
          </reference>
          <reference field="1" count="1" selected="0">
            <x v="260"/>
          </reference>
        </references>
      </pivotArea>
    </chartFormat>
    <chartFormat chart="20" format="6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61"/>
          </reference>
        </references>
      </pivotArea>
    </chartFormat>
    <chartFormat chart="20" format="6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2"/>
          </reference>
        </references>
      </pivotArea>
    </chartFormat>
    <chartFormat chart="20" format="612">
      <pivotArea type="data" outline="0" fieldPosition="0">
        <references count="2">
          <reference field="4294967294" count="1" selected="0">
            <x v="0"/>
          </reference>
          <reference field="1" count="1" selected="0">
            <x v="263"/>
          </reference>
        </references>
      </pivotArea>
    </chartFormat>
    <chartFormat chart="20" format="6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64"/>
          </reference>
        </references>
      </pivotArea>
    </chartFormat>
    <chartFormat chart="20" format="614">
      <pivotArea type="data" outline="0" fieldPosition="0">
        <references count="2">
          <reference field="4294967294" count="1" selected="0">
            <x v="0"/>
          </reference>
          <reference field="1" count="1" selected="0">
            <x v="265"/>
          </reference>
        </references>
      </pivotArea>
    </chartFormat>
    <chartFormat chart="20" format="6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66"/>
          </reference>
        </references>
      </pivotArea>
    </chartFormat>
    <chartFormat chart="20" format="6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67"/>
          </reference>
        </references>
      </pivotArea>
    </chartFormat>
    <chartFormat chart="20" format="617">
      <pivotArea type="data" outline="0" fieldPosition="0">
        <references count="2">
          <reference field="4294967294" count="1" selected="0">
            <x v="0"/>
          </reference>
          <reference field="1" count="1" selected="0">
            <x v="268"/>
          </reference>
        </references>
      </pivotArea>
    </chartFormat>
    <chartFormat chart="20" format="618">
      <pivotArea type="data" outline="0" fieldPosition="0">
        <references count="2">
          <reference field="4294967294" count="1" selected="0">
            <x v="0"/>
          </reference>
          <reference field="1" count="1" selected="0">
            <x v="269"/>
          </reference>
        </references>
      </pivotArea>
    </chartFormat>
    <chartFormat chart="20" format="619">
      <pivotArea type="data" outline="0" fieldPosition="0">
        <references count="2">
          <reference field="4294967294" count="1" selected="0">
            <x v="0"/>
          </reference>
          <reference field="1" count="1" selected="0">
            <x v="270"/>
          </reference>
        </references>
      </pivotArea>
    </chartFormat>
    <chartFormat chart="20" format="620">
      <pivotArea type="data" outline="0" fieldPosition="0">
        <references count="2">
          <reference field="4294967294" count="1" selected="0">
            <x v="0"/>
          </reference>
          <reference field="1" count="1" selected="0">
            <x v="271"/>
          </reference>
        </references>
      </pivotArea>
    </chartFormat>
    <chartFormat chart="20" format="62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2"/>
          </reference>
        </references>
      </pivotArea>
    </chartFormat>
    <chartFormat chart="20" format="622">
      <pivotArea type="data" outline="0" fieldPosition="0">
        <references count="2">
          <reference field="4294967294" count="1" selected="0">
            <x v="0"/>
          </reference>
          <reference field="1" count="1" selected="0">
            <x v="273"/>
          </reference>
        </references>
      </pivotArea>
    </chartFormat>
    <chartFormat chart="20" format="623">
      <pivotArea type="data" outline="0" fieldPosition="0">
        <references count="2">
          <reference field="4294967294" count="1" selected="0">
            <x v="0"/>
          </reference>
          <reference field="1" count="1" selected="0">
            <x v="274"/>
          </reference>
        </references>
      </pivotArea>
    </chartFormat>
    <chartFormat chart="20" format="624">
      <pivotArea type="data" outline="0" fieldPosition="0">
        <references count="2">
          <reference field="4294967294" count="1" selected="0">
            <x v="0"/>
          </reference>
          <reference field="1" count="1" selected="0">
            <x v="275"/>
          </reference>
        </references>
      </pivotArea>
    </chartFormat>
    <chartFormat chart="20" format="625">
      <pivotArea type="data" outline="0" fieldPosition="0">
        <references count="2">
          <reference field="4294967294" count="1" selected="0">
            <x v="0"/>
          </reference>
          <reference field="1" count="1" selected="0">
            <x v="276"/>
          </reference>
        </references>
      </pivotArea>
    </chartFormat>
    <chartFormat chart="20" format="626">
      <pivotArea type="data" outline="0" fieldPosition="0">
        <references count="2">
          <reference field="4294967294" count="1" selected="0">
            <x v="0"/>
          </reference>
          <reference field="1" count="1" selected="0">
            <x v="277"/>
          </reference>
        </references>
      </pivotArea>
    </chartFormat>
    <chartFormat chart="20" format="627">
      <pivotArea type="data" outline="0" fieldPosition="0">
        <references count="2">
          <reference field="4294967294" count="1" selected="0">
            <x v="0"/>
          </reference>
          <reference field="1" count="1" selected="0">
            <x v="278"/>
          </reference>
        </references>
      </pivotArea>
    </chartFormat>
    <chartFormat chart="20" format="628">
      <pivotArea type="data" outline="0" fieldPosition="0">
        <references count="2">
          <reference field="4294967294" count="1" selected="0">
            <x v="0"/>
          </reference>
          <reference field="1" count="1" selected="0">
            <x v="279"/>
          </reference>
        </references>
      </pivotArea>
    </chartFormat>
    <chartFormat chart="20" format="629">
      <pivotArea type="data" outline="0" fieldPosition="0">
        <references count="2">
          <reference field="4294967294" count="1" selected="0">
            <x v="0"/>
          </reference>
          <reference field="1" count="1" selected="0">
            <x v="280"/>
          </reference>
        </references>
      </pivotArea>
    </chartFormat>
    <chartFormat chart="20" format="630">
      <pivotArea type="data" outline="0" fieldPosition="0">
        <references count="2">
          <reference field="4294967294" count="1" selected="0">
            <x v="0"/>
          </reference>
          <reference field="1" count="1" selected="0">
            <x v="281"/>
          </reference>
        </references>
      </pivotArea>
    </chartFormat>
    <chartFormat chart="20" format="63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2"/>
          </reference>
        </references>
      </pivotArea>
    </chartFormat>
    <chartFormat chart="20" format="632">
      <pivotArea type="data" outline="0" fieldPosition="0">
        <references count="2">
          <reference field="4294967294" count="1" selected="0">
            <x v="0"/>
          </reference>
          <reference field="1" count="1" selected="0">
            <x v="283"/>
          </reference>
        </references>
      </pivotArea>
    </chartFormat>
    <chartFormat chart="20" format="633">
      <pivotArea type="data" outline="0" fieldPosition="0">
        <references count="2">
          <reference field="4294967294" count="1" selected="0">
            <x v="0"/>
          </reference>
          <reference field="1" count="1" selected="0">
            <x v="284"/>
          </reference>
        </references>
      </pivotArea>
    </chartFormat>
    <chartFormat chart="20" format="634">
      <pivotArea type="data" outline="0" fieldPosition="0">
        <references count="2">
          <reference field="4294967294" count="1" selected="0">
            <x v="0"/>
          </reference>
          <reference field="1" count="1" selected="0">
            <x v="285"/>
          </reference>
        </references>
      </pivotArea>
    </chartFormat>
    <chartFormat chart="20" format="635">
      <pivotArea type="data" outline="0" fieldPosition="0">
        <references count="2">
          <reference field="4294967294" count="1" selected="0">
            <x v="0"/>
          </reference>
          <reference field="1" count="1" selected="0">
            <x v="286"/>
          </reference>
        </references>
      </pivotArea>
    </chartFormat>
    <chartFormat chart="20" format="636">
      <pivotArea type="data" outline="0" fieldPosition="0">
        <references count="2">
          <reference field="4294967294" count="1" selected="0">
            <x v="0"/>
          </reference>
          <reference field="1" count="1" selected="0">
            <x v="287"/>
          </reference>
        </references>
      </pivotArea>
    </chartFormat>
    <chartFormat chart="20" format="637">
      <pivotArea type="data" outline="0" fieldPosition="0">
        <references count="2">
          <reference field="4294967294" count="1" selected="0">
            <x v="0"/>
          </reference>
          <reference field="1" count="1" selected="0">
            <x v="288"/>
          </reference>
        </references>
      </pivotArea>
    </chartFormat>
    <chartFormat chart="20" format="638">
      <pivotArea type="data" outline="0" fieldPosition="0">
        <references count="2">
          <reference field="4294967294" count="1" selected="0">
            <x v="0"/>
          </reference>
          <reference field="1" count="1" selected="0">
            <x v="289"/>
          </reference>
        </references>
      </pivotArea>
    </chartFormat>
    <chartFormat chart="20" format="639">
      <pivotArea type="data" outline="0" fieldPosition="0">
        <references count="2">
          <reference field="4294967294" count="1" selected="0">
            <x v="0"/>
          </reference>
          <reference field="1" count="1" selected="0">
            <x v="290"/>
          </reference>
        </references>
      </pivotArea>
    </chartFormat>
    <chartFormat chart="20" format="640">
      <pivotArea type="data" outline="0" fieldPosition="0">
        <references count="2">
          <reference field="4294967294" count="1" selected="0">
            <x v="0"/>
          </reference>
          <reference field="1" count="1" selected="0">
            <x v="291"/>
          </reference>
        </references>
      </pivotArea>
    </chartFormat>
    <chartFormat chart="20" format="64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2"/>
          </reference>
        </references>
      </pivotArea>
    </chartFormat>
    <chartFormat chart="20" format="642">
      <pivotArea type="data" outline="0" fieldPosition="0">
        <references count="2">
          <reference field="4294967294" count="1" selected="0">
            <x v="0"/>
          </reference>
          <reference field="1" count="1" selected="0">
            <x v="293"/>
          </reference>
        </references>
      </pivotArea>
    </chartFormat>
    <chartFormat chart="20" format="643">
      <pivotArea type="data" outline="0" fieldPosition="0">
        <references count="2">
          <reference field="4294967294" count="1" selected="0">
            <x v="0"/>
          </reference>
          <reference field="1" count="1" selected="0">
            <x v="294"/>
          </reference>
        </references>
      </pivotArea>
    </chartFormat>
    <chartFormat chart="20" format="644">
      <pivotArea type="data" outline="0" fieldPosition="0">
        <references count="2">
          <reference field="4294967294" count="1" selected="0">
            <x v="0"/>
          </reference>
          <reference field="1" count="1" selected="0">
            <x v="295"/>
          </reference>
        </references>
      </pivotArea>
    </chartFormat>
    <chartFormat chart="20" format="645">
      <pivotArea type="data" outline="0" fieldPosition="0">
        <references count="2">
          <reference field="4294967294" count="1" selected="0">
            <x v="0"/>
          </reference>
          <reference field="1" count="1" selected="0">
            <x v="296"/>
          </reference>
        </references>
      </pivotArea>
    </chartFormat>
    <chartFormat chart="20" format="646">
      <pivotArea type="data" outline="0" fieldPosition="0">
        <references count="2">
          <reference field="4294967294" count="1" selected="0">
            <x v="0"/>
          </reference>
          <reference field="1" count="1" selected="0">
            <x v="297"/>
          </reference>
        </references>
      </pivotArea>
    </chartFormat>
    <chartFormat chart="20" format="647">
      <pivotArea type="data" outline="0" fieldPosition="0">
        <references count="2">
          <reference field="4294967294" count="1" selected="0">
            <x v="0"/>
          </reference>
          <reference field="1" count="1" selected="0">
            <x v="298"/>
          </reference>
        </references>
      </pivotArea>
    </chartFormat>
    <chartFormat chart="20" format="648">
      <pivotArea type="data" outline="0" fieldPosition="0">
        <references count="2">
          <reference field="4294967294" count="1" selected="0">
            <x v="0"/>
          </reference>
          <reference field="1" count="1" selected="0">
            <x v="299"/>
          </reference>
        </references>
      </pivotArea>
    </chartFormat>
    <chartFormat chart="20" format="649">
      <pivotArea type="data" outline="0" fieldPosition="0">
        <references count="2">
          <reference field="4294967294" count="1" selected="0">
            <x v="0"/>
          </reference>
          <reference field="1" count="1" selected="0">
            <x v="300"/>
          </reference>
        </references>
      </pivotArea>
    </chartFormat>
    <chartFormat chart="20" format="650">
      <pivotArea type="data" outline="0" fieldPosition="0">
        <references count="2">
          <reference field="4294967294" count="1" selected="0">
            <x v="0"/>
          </reference>
          <reference field="1" count="1" selected="0">
            <x v="301"/>
          </reference>
        </references>
      </pivotArea>
    </chartFormat>
    <chartFormat chart="20" format="65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2"/>
          </reference>
        </references>
      </pivotArea>
    </chartFormat>
    <chartFormat chart="20" format="652">
      <pivotArea type="data" outline="0" fieldPosition="0">
        <references count="2">
          <reference field="4294967294" count="1" selected="0">
            <x v="0"/>
          </reference>
          <reference field="1" count="1" selected="0">
            <x v="303"/>
          </reference>
        </references>
      </pivotArea>
    </chartFormat>
    <chartFormat chart="20" format="653">
      <pivotArea type="data" outline="0" fieldPosition="0">
        <references count="2">
          <reference field="4294967294" count="1" selected="0">
            <x v="0"/>
          </reference>
          <reference field="1" count="1" selected="0">
            <x v="304"/>
          </reference>
        </references>
      </pivotArea>
    </chartFormat>
    <chartFormat chart="20" format="654">
      <pivotArea type="data" outline="0" fieldPosition="0">
        <references count="2">
          <reference field="4294967294" count="1" selected="0">
            <x v="0"/>
          </reference>
          <reference field="1" count="1" selected="0">
            <x v="305"/>
          </reference>
        </references>
      </pivotArea>
    </chartFormat>
    <chartFormat chart="20" format="655">
      <pivotArea type="data" outline="0" fieldPosition="0">
        <references count="2">
          <reference field="4294967294" count="1" selected="0">
            <x v="0"/>
          </reference>
          <reference field="1" count="1" selected="0">
            <x v="306"/>
          </reference>
        </references>
      </pivotArea>
    </chartFormat>
    <chartFormat chart="20" format="656">
      <pivotArea type="data" outline="0" fieldPosition="0">
        <references count="2">
          <reference field="4294967294" count="1" selected="0">
            <x v="0"/>
          </reference>
          <reference field="1" count="1" selected="0">
            <x v="307"/>
          </reference>
        </references>
      </pivotArea>
    </chartFormat>
    <chartFormat chart="20" format="657">
      <pivotArea type="data" outline="0" fieldPosition="0">
        <references count="2">
          <reference field="4294967294" count="1" selected="0">
            <x v="0"/>
          </reference>
          <reference field="1" count="1" selected="0">
            <x v="308"/>
          </reference>
        </references>
      </pivotArea>
    </chartFormat>
    <chartFormat chart="20" format="658">
      <pivotArea type="data" outline="0" fieldPosition="0">
        <references count="2">
          <reference field="4294967294" count="1" selected="0">
            <x v="0"/>
          </reference>
          <reference field="1" count="1" selected="0">
            <x v="309"/>
          </reference>
        </references>
      </pivotArea>
    </chartFormat>
    <chartFormat chart="20" format="659">
      <pivotArea type="data" outline="0" fieldPosition="0">
        <references count="2">
          <reference field="4294967294" count="1" selected="0">
            <x v="0"/>
          </reference>
          <reference field="1" count="1" selected="0">
            <x v="310"/>
          </reference>
        </references>
      </pivotArea>
    </chartFormat>
    <chartFormat chart="20" format="660">
      <pivotArea type="data" outline="0" fieldPosition="0">
        <references count="2">
          <reference field="4294967294" count="1" selected="0">
            <x v="0"/>
          </reference>
          <reference field="1" count="1" selected="0">
            <x v="311"/>
          </reference>
        </references>
      </pivotArea>
    </chartFormat>
    <chartFormat chart="20" format="66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2"/>
          </reference>
        </references>
      </pivotArea>
    </chartFormat>
    <chartFormat chart="20" format="662">
      <pivotArea type="data" outline="0" fieldPosition="0">
        <references count="2">
          <reference field="4294967294" count="1" selected="0">
            <x v="0"/>
          </reference>
          <reference field="1" count="1" selected="0">
            <x v="313"/>
          </reference>
        </references>
      </pivotArea>
    </chartFormat>
    <chartFormat chart="20" format="663">
      <pivotArea type="data" outline="0" fieldPosition="0">
        <references count="2">
          <reference field="4294967294" count="1" selected="0">
            <x v="0"/>
          </reference>
          <reference field="1" count="1" selected="0">
            <x v="314"/>
          </reference>
        </references>
      </pivotArea>
    </chartFormat>
    <chartFormat chart="20" format="664">
      <pivotArea type="data" outline="0" fieldPosition="0">
        <references count="2">
          <reference field="4294967294" count="1" selected="0">
            <x v="0"/>
          </reference>
          <reference field="1" count="1" selected="0">
            <x v="315"/>
          </reference>
        </references>
      </pivotArea>
    </chartFormat>
    <chartFormat chart="20" format="665">
      <pivotArea type="data" outline="0" fieldPosition="0">
        <references count="2">
          <reference field="4294967294" count="1" selected="0">
            <x v="0"/>
          </reference>
          <reference field="1" count="1" selected="0">
            <x v="316"/>
          </reference>
        </references>
      </pivotArea>
    </chartFormat>
    <chartFormat chart="20" format="666">
      <pivotArea type="data" outline="0" fieldPosition="0">
        <references count="2">
          <reference field="4294967294" count="1" selected="0">
            <x v="0"/>
          </reference>
          <reference field="1" count="1" selected="0">
            <x v="317"/>
          </reference>
        </references>
      </pivotArea>
    </chartFormat>
    <chartFormat chart="20" format="667">
      <pivotArea type="data" outline="0" fieldPosition="0">
        <references count="2">
          <reference field="4294967294" count="1" selected="0">
            <x v="0"/>
          </reference>
          <reference field="1" count="1" selected="0">
            <x v="318"/>
          </reference>
        </references>
      </pivotArea>
    </chartFormat>
    <chartFormat chart="20" format="668">
      <pivotArea type="data" outline="0" fieldPosition="0">
        <references count="2">
          <reference field="4294967294" count="1" selected="0">
            <x v="0"/>
          </reference>
          <reference field="1" count="1" selected="0">
            <x v="319"/>
          </reference>
        </references>
      </pivotArea>
    </chartFormat>
    <chartFormat chart="20" format="669">
      <pivotArea type="data" outline="0" fieldPosition="0">
        <references count="2">
          <reference field="4294967294" count="1" selected="0">
            <x v="0"/>
          </reference>
          <reference field="1" count="1" selected="0">
            <x v="320"/>
          </reference>
        </references>
      </pivotArea>
    </chartFormat>
    <chartFormat chart="20" format="670">
      <pivotArea type="data" outline="0" fieldPosition="0">
        <references count="2">
          <reference field="4294967294" count="1" selected="0">
            <x v="0"/>
          </reference>
          <reference field="1" count="1" selected="0">
            <x v="321"/>
          </reference>
        </references>
      </pivotArea>
    </chartFormat>
    <chartFormat chart="20" format="67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2"/>
          </reference>
        </references>
      </pivotArea>
    </chartFormat>
    <chartFormat chart="20" format="672">
      <pivotArea type="data" outline="0" fieldPosition="0">
        <references count="2">
          <reference field="4294967294" count="1" selected="0">
            <x v="0"/>
          </reference>
          <reference field="1" count="1" selected="0">
            <x v="323"/>
          </reference>
        </references>
      </pivotArea>
    </chartFormat>
    <chartFormat chart="20" format="673">
      <pivotArea type="data" outline="0" fieldPosition="0">
        <references count="2">
          <reference field="4294967294" count="1" selected="0">
            <x v="0"/>
          </reference>
          <reference field="1" count="1" selected="0">
            <x v="324"/>
          </reference>
        </references>
      </pivotArea>
    </chartFormat>
    <chartFormat chart="20" format="674">
      <pivotArea type="data" outline="0" fieldPosition="0">
        <references count="2">
          <reference field="4294967294" count="1" selected="0">
            <x v="0"/>
          </reference>
          <reference field="1" count="1" selected="0">
            <x v="325"/>
          </reference>
        </references>
      </pivotArea>
    </chartFormat>
    <chartFormat chart="20" format="675">
      <pivotArea type="data" outline="0" fieldPosition="0">
        <references count="2">
          <reference field="4294967294" count="1" selected="0">
            <x v="0"/>
          </reference>
          <reference field="1" count="1" selected="0">
            <x v="326"/>
          </reference>
        </references>
      </pivotArea>
    </chartFormat>
    <chartFormat chart="20" format="676">
      <pivotArea type="data" outline="0" fieldPosition="0">
        <references count="2">
          <reference field="4294967294" count="1" selected="0">
            <x v="0"/>
          </reference>
          <reference field="1" count="1" selected="0">
            <x v="327"/>
          </reference>
        </references>
      </pivotArea>
    </chartFormat>
    <chartFormat chart="20" format="677">
      <pivotArea type="data" outline="0" fieldPosition="0">
        <references count="2">
          <reference field="4294967294" count="1" selected="0">
            <x v="0"/>
          </reference>
          <reference field="1" count="1" selected="0">
            <x v="328"/>
          </reference>
        </references>
      </pivotArea>
    </chartFormat>
    <chartFormat chart="20" format="678">
      <pivotArea type="data" outline="0" fieldPosition="0">
        <references count="2">
          <reference field="4294967294" count="1" selected="0">
            <x v="0"/>
          </reference>
          <reference field="1" count="1" selected="0">
            <x v="329"/>
          </reference>
        </references>
      </pivotArea>
    </chartFormat>
    <chartFormat chart="20" format="679">
      <pivotArea type="data" outline="0" fieldPosition="0">
        <references count="2">
          <reference field="4294967294" count="1" selected="0">
            <x v="0"/>
          </reference>
          <reference field="1" count="1" selected="0">
            <x v="330"/>
          </reference>
        </references>
      </pivotArea>
    </chartFormat>
    <chartFormat chart="20" format="680">
      <pivotArea type="data" outline="0" fieldPosition="0">
        <references count="2">
          <reference field="4294967294" count="1" selected="0">
            <x v="0"/>
          </reference>
          <reference field="1" count="1" selected="0">
            <x v="331"/>
          </reference>
        </references>
      </pivotArea>
    </chartFormat>
    <chartFormat chart="20" format="68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2"/>
          </reference>
        </references>
      </pivotArea>
    </chartFormat>
    <chartFormat chart="20" format="682">
      <pivotArea type="data" outline="0" fieldPosition="0">
        <references count="2">
          <reference field="4294967294" count="1" selected="0">
            <x v="0"/>
          </reference>
          <reference field="1" count="1" selected="0">
            <x v="333"/>
          </reference>
        </references>
      </pivotArea>
    </chartFormat>
    <chartFormat chart="20" format="683">
      <pivotArea type="data" outline="0" fieldPosition="0">
        <references count="2">
          <reference field="4294967294" count="1" selected="0">
            <x v="0"/>
          </reference>
          <reference field="1" count="1" selected="0">
            <x v="334"/>
          </reference>
        </references>
      </pivotArea>
    </chartFormat>
    <chartFormat chart="20" format="684">
      <pivotArea type="data" outline="0" fieldPosition="0">
        <references count="2">
          <reference field="4294967294" count="1" selected="0">
            <x v="0"/>
          </reference>
          <reference field="1" count="1" selected="0">
            <x v="335"/>
          </reference>
        </references>
      </pivotArea>
    </chartFormat>
    <chartFormat chart="20" format="685">
      <pivotArea type="data" outline="0" fieldPosition="0">
        <references count="2">
          <reference field="4294967294" count="1" selected="0">
            <x v="0"/>
          </reference>
          <reference field="1" count="1" selected="0">
            <x v="336"/>
          </reference>
        </references>
      </pivotArea>
    </chartFormat>
    <chartFormat chart="20" format="686">
      <pivotArea type="data" outline="0" fieldPosition="0">
        <references count="2">
          <reference field="4294967294" count="1" selected="0">
            <x v="0"/>
          </reference>
          <reference field="1" count="1" selected="0">
            <x v="337"/>
          </reference>
        </references>
      </pivotArea>
    </chartFormat>
    <chartFormat chart="20" format="687">
      <pivotArea type="data" outline="0" fieldPosition="0">
        <references count="2">
          <reference field="4294967294" count="1" selected="0">
            <x v="0"/>
          </reference>
          <reference field="1" count="1" selected="0">
            <x v="338"/>
          </reference>
        </references>
      </pivotArea>
    </chartFormat>
    <chartFormat chart="20" format="688">
      <pivotArea type="data" outline="0" fieldPosition="0">
        <references count="2">
          <reference field="4294967294" count="1" selected="0">
            <x v="0"/>
          </reference>
          <reference field="1" count="1" selected="0">
            <x v="339"/>
          </reference>
        </references>
      </pivotArea>
    </chartFormat>
    <chartFormat chart="20" format="689">
      <pivotArea type="data" outline="0" fieldPosition="0">
        <references count="2">
          <reference field="4294967294" count="1" selected="0">
            <x v="0"/>
          </reference>
          <reference field="1" count="1" selected="0">
            <x v="340"/>
          </reference>
        </references>
      </pivotArea>
    </chartFormat>
    <chartFormat chart="20" format="690">
      <pivotArea type="data" outline="0" fieldPosition="0">
        <references count="2">
          <reference field="4294967294" count="1" selected="0">
            <x v="0"/>
          </reference>
          <reference field="1" count="1" selected="0">
            <x v="341"/>
          </reference>
        </references>
      </pivotArea>
    </chartFormat>
    <chartFormat chart="20" format="69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2"/>
          </reference>
        </references>
      </pivotArea>
    </chartFormat>
    <chartFormat chart="20" format="692">
      <pivotArea type="data" outline="0" fieldPosition="0">
        <references count="2">
          <reference field="4294967294" count="1" selected="0">
            <x v="0"/>
          </reference>
          <reference field="1" count="1" selected="0">
            <x v="343"/>
          </reference>
        </references>
      </pivotArea>
    </chartFormat>
    <chartFormat chart="20" format="693">
      <pivotArea type="data" outline="0" fieldPosition="0">
        <references count="2">
          <reference field="4294967294" count="1" selected="0">
            <x v="0"/>
          </reference>
          <reference field="1" count="1" selected="0">
            <x v="344"/>
          </reference>
        </references>
      </pivotArea>
    </chartFormat>
    <chartFormat chart="20" format="694">
      <pivotArea type="data" outline="0" fieldPosition="0">
        <references count="2">
          <reference field="4294967294" count="1" selected="0">
            <x v="0"/>
          </reference>
          <reference field="1" count="1" selected="0">
            <x v="34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976F9A-1CAF-4967-8FB0-6DC7EDD5910C}" name="State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H18:I24" firstHeaderRow="1" firstDataRow="1" firstDataCol="1"/>
  <pivotFields count="16">
    <pivotField showAll="0"/>
    <pivotField showAll="0"/>
    <pivotField showAll="0">
      <items count="291">
        <item x="177"/>
        <item x="230"/>
        <item x="65"/>
        <item x="122"/>
        <item x="202"/>
        <item x="30"/>
        <item x="118"/>
        <item x="124"/>
        <item x="20"/>
        <item x="236"/>
        <item x="195"/>
        <item x="253"/>
        <item x="163"/>
        <item x="2"/>
        <item x="7"/>
        <item x="61"/>
        <item x="243"/>
        <item x="128"/>
        <item x="68"/>
        <item x="117"/>
        <item x="73"/>
        <item x="149"/>
        <item x="108"/>
        <item x="258"/>
        <item x="251"/>
        <item x="18"/>
        <item x="223"/>
        <item x="181"/>
        <item x="25"/>
        <item x="272"/>
        <item x="174"/>
        <item x="97"/>
        <item x="106"/>
        <item x="219"/>
        <item x="15"/>
        <item x="233"/>
        <item x="185"/>
        <item x="34"/>
        <item x="92"/>
        <item x="252"/>
        <item x="45"/>
        <item x="22"/>
        <item x="244"/>
        <item x="286"/>
        <item x="173"/>
        <item x="66"/>
        <item x="51"/>
        <item x="153"/>
        <item x="240"/>
        <item x="114"/>
        <item x="158"/>
        <item x="285"/>
        <item x="98"/>
        <item x="103"/>
        <item x="88"/>
        <item x="24"/>
        <item x="110"/>
        <item x="154"/>
        <item x="17"/>
        <item x="268"/>
        <item x="115"/>
        <item x="218"/>
        <item x="86"/>
        <item x="189"/>
        <item x="41"/>
        <item x="83"/>
        <item x="28"/>
        <item x="166"/>
        <item x="95"/>
        <item x="261"/>
        <item x="14"/>
        <item x="194"/>
        <item x="54"/>
        <item x="12"/>
        <item x="231"/>
        <item x="151"/>
        <item x="43"/>
        <item x="82"/>
        <item x="70"/>
        <item x="165"/>
        <item x="234"/>
        <item x="288"/>
        <item x="53"/>
        <item x="212"/>
        <item x="213"/>
        <item x="134"/>
        <item x="275"/>
        <item x="193"/>
        <item x="270"/>
        <item x="273"/>
        <item x="255"/>
        <item x="168"/>
        <item x="141"/>
        <item x="136"/>
        <item x="99"/>
        <item x="152"/>
        <item x="281"/>
        <item x="52"/>
        <item x="172"/>
        <item x="105"/>
        <item x="5"/>
        <item x="19"/>
        <item x="50"/>
        <item x="100"/>
        <item x="42"/>
        <item x="8"/>
        <item x="164"/>
        <item x="210"/>
        <item x="142"/>
        <item x="74"/>
        <item x="214"/>
        <item x="224"/>
        <item x="132"/>
        <item x="248"/>
        <item x="254"/>
        <item x="102"/>
        <item x="46"/>
        <item x="144"/>
        <item x="58"/>
        <item x="63"/>
        <item x="11"/>
        <item x="21"/>
        <item x="274"/>
        <item x="183"/>
        <item x="171"/>
        <item x="162"/>
        <item x="191"/>
        <item x="36"/>
        <item x="35"/>
        <item x="196"/>
        <item x="176"/>
        <item x="282"/>
        <item x="188"/>
        <item x="109"/>
        <item x="91"/>
        <item x="40"/>
        <item x="85"/>
        <item x="190"/>
        <item x="49"/>
        <item x="247"/>
        <item x="113"/>
        <item x="67"/>
        <item x="227"/>
        <item x="170"/>
        <item x="81"/>
        <item x="47"/>
        <item x="137"/>
        <item x="79"/>
        <item x="221"/>
        <item x="57"/>
        <item x="204"/>
        <item x="123"/>
        <item x="10"/>
        <item x="93"/>
        <item x="31"/>
        <item x="55"/>
        <item x="80"/>
        <item x="3"/>
        <item x="178"/>
        <item x="104"/>
        <item x="78"/>
        <item x="169"/>
        <item x="120"/>
        <item x="211"/>
        <item x="140"/>
        <item x="200"/>
        <item x="250"/>
        <item x="121"/>
        <item x="84"/>
        <item x="266"/>
        <item x="228"/>
        <item x="160"/>
        <item x="201"/>
        <item x="89"/>
        <item x="239"/>
        <item x="259"/>
        <item x="143"/>
        <item x="180"/>
        <item x="284"/>
        <item x="278"/>
        <item x="235"/>
        <item x="156"/>
        <item x="29"/>
        <item x="241"/>
        <item x="145"/>
        <item x="283"/>
        <item x="75"/>
        <item x="111"/>
        <item x="1"/>
        <item x="265"/>
        <item x="245"/>
        <item x="226"/>
        <item x="184"/>
        <item x="264"/>
        <item x="262"/>
        <item x="287"/>
        <item x="155"/>
        <item x="205"/>
        <item x="9"/>
        <item x="130"/>
        <item x="107"/>
        <item x="192"/>
        <item x="277"/>
        <item x="256"/>
        <item x="59"/>
        <item x="39"/>
        <item x="133"/>
        <item x="48"/>
        <item x="199"/>
        <item x="27"/>
        <item x="237"/>
        <item x="16"/>
        <item x="4"/>
        <item x="276"/>
        <item x="249"/>
        <item x="44"/>
        <item x="90"/>
        <item x="179"/>
        <item x="125"/>
        <item x="206"/>
        <item x="64"/>
        <item x="37"/>
        <item x="33"/>
        <item x="271"/>
        <item x="267"/>
        <item x="225"/>
        <item x="280"/>
        <item x="96"/>
        <item x="175"/>
        <item x="260"/>
        <item x="101"/>
        <item x="56"/>
        <item x="131"/>
        <item x="0"/>
        <item x="23"/>
        <item x="203"/>
        <item x="69"/>
        <item x="215"/>
        <item x="60"/>
        <item x="6"/>
        <item x="246"/>
        <item x="77"/>
        <item x="119"/>
        <item x="186"/>
        <item x="26"/>
        <item x="71"/>
        <item x="209"/>
        <item x="129"/>
        <item x="232"/>
        <item x="208"/>
        <item x="150"/>
        <item x="289"/>
        <item x="220"/>
        <item x="161"/>
        <item x="139"/>
        <item x="76"/>
        <item x="157"/>
        <item x="198"/>
        <item x="135"/>
        <item x="13"/>
        <item x="222"/>
        <item x="263"/>
        <item x="167"/>
        <item x="87"/>
        <item x="148"/>
        <item x="38"/>
        <item x="197"/>
        <item x="182"/>
        <item x="279"/>
        <item x="159"/>
        <item x="216"/>
        <item x="62"/>
        <item x="94"/>
        <item x="72"/>
        <item x="242"/>
        <item x="147"/>
        <item x="116"/>
        <item x="112"/>
        <item x="229"/>
        <item x="187"/>
        <item x="127"/>
        <item x="238"/>
        <item x="146"/>
        <item x="269"/>
        <item x="138"/>
        <item x="207"/>
        <item x="126"/>
        <item x="257"/>
        <item x="217"/>
        <item x="32"/>
        <item t="default"/>
      </items>
    </pivotField>
    <pivotField showAll="0">
      <items count="6">
        <item x="2"/>
        <item x="0"/>
        <item x="4"/>
        <item x="1"/>
        <item x="3"/>
        <item t="default"/>
      </items>
    </pivotField>
    <pivotField showAll="0">
      <items count="8">
        <item x="0"/>
        <item x="6"/>
        <item x="5"/>
        <item x="4"/>
        <item x="3"/>
        <item x="2"/>
        <item x="1"/>
        <item t="default"/>
      </items>
    </pivotField>
    <pivotField showAll="0">
      <items count="6">
        <item x="0"/>
        <item x="3"/>
        <item x="4"/>
        <item x="2"/>
        <item x="1"/>
        <item t="default"/>
      </items>
    </pivotField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11" baseField="0" baseItem="0" numFmtId="3"/>
  </dataFields>
  <chartFormats count="7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1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1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1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1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B59FE-222A-495B-94C0-0CA1D3F1A09E}" name="Payment Method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J4:K9" firstHeaderRow="1" firstDataRow="1" firstDataCol="1"/>
  <pivotFields count="16">
    <pivotField showAll="0"/>
    <pivotField showAll="0"/>
    <pivotField showAll="0">
      <items count="291">
        <item x="177"/>
        <item x="230"/>
        <item x="65"/>
        <item x="122"/>
        <item x="202"/>
        <item x="30"/>
        <item x="118"/>
        <item x="124"/>
        <item x="20"/>
        <item x="236"/>
        <item x="195"/>
        <item x="253"/>
        <item x="163"/>
        <item x="2"/>
        <item x="7"/>
        <item x="61"/>
        <item x="243"/>
        <item x="128"/>
        <item x="68"/>
        <item x="117"/>
        <item x="73"/>
        <item x="149"/>
        <item x="108"/>
        <item x="258"/>
        <item x="251"/>
        <item x="18"/>
        <item x="223"/>
        <item x="181"/>
        <item x="25"/>
        <item x="272"/>
        <item x="174"/>
        <item x="97"/>
        <item x="106"/>
        <item x="219"/>
        <item x="15"/>
        <item x="233"/>
        <item x="185"/>
        <item x="34"/>
        <item x="92"/>
        <item x="252"/>
        <item x="45"/>
        <item x="22"/>
        <item x="244"/>
        <item x="286"/>
        <item x="173"/>
        <item x="66"/>
        <item x="51"/>
        <item x="153"/>
        <item x="240"/>
        <item x="114"/>
        <item x="158"/>
        <item x="285"/>
        <item x="98"/>
        <item x="103"/>
        <item x="88"/>
        <item x="24"/>
        <item x="110"/>
        <item x="154"/>
        <item x="17"/>
        <item x="268"/>
        <item x="115"/>
        <item x="218"/>
        <item x="86"/>
        <item x="189"/>
        <item x="41"/>
        <item x="83"/>
        <item x="28"/>
        <item x="166"/>
        <item x="95"/>
        <item x="261"/>
        <item x="14"/>
        <item x="194"/>
        <item x="54"/>
        <item x="12"/>
        <item x="231"/>
        <item x="151"/>
        <item x="43"/>
        <item x="82"/>
        <item x="70"/>
        <item x="165"/>
        <item x="234"/>
        <item x="288"/>
        <item x="53"/>
        <item x="212"/>
        <item x="213"/>
        <item x="134"/>
        <item x="275"/>
        <item x="193"/>
        <item x="270"/>
        <item x="273"/>
        <item x="255"/>
        <item x="168"/>
        <item x="141"/>
        <item x="136"/>
        <item x="99"/>
        <item x="152"/>
        <item x="281"/>
        <item x="52"/>
        <item x="172"/>
        <item x="105"/>
        <item x="5"/>
        <item x="19"/>
        <item x="50"/>
        <item x="100"/>
        <item x="42"/>
        <item x="8"/>
        <item x="164"/>
        <item x="210"/>
        <item x="142"/>
        <item x="74"/>
        <item x="214"/>
        <item x="224"/>
        <item x="132"/>
        <item x="248"/>
        <item x="254"/>
        <item x="102"/>
        <item x="46"/>
        <item x="144"/>
        <item x="58"/>
        <item x="63"/>
        <item x="11"/>
        <item x="21"/>
        <item x="274"/>
        <item x="183"/>
        <item x="171"/>
        <item x="162"/>
        <item x="191"/>
        <item x="36"/>
        <item x="35"/>
        <item x="196"/>
        <item x="176"/>
        <item x="282"/>
        <item x="188"/>
        <item x="109"/>
        <item x="91"/>
        <item x="40"/>
        <item x="85"/>
        <item x="190"/>
        <item x="49"/>
        <item x="247"/>
        <item x="113"/>
        <item x="67"/>
        <item x="227"/>
        <item x="170"/>
        <item x="81"/>
        <item x="47"/>
        <item x="137"/>
        <item x="79"/>
        <item x="221"/>
        <item x="57"/>
        <item x="204"/>
        <item x="123"/>
        <item x="10"/>
        <item x="93"/>
        <item x="31"/>
        <item x="55"/>
        <item x="80"/>
        <item x="3"/>
        <item x="178"/>
        <item x="104"/>
        <item x="78"/>
        <item x="169"/>
        <item x="120"/>
        <item x="211"/>
        <item x="140"/>
        <item x="200"/>
        <item x="250"/>
        <item x="121"/>
        <item x="84"/>
        <item x="266"/>
        <item x="228"/>
        <item x="160"/>
        <item x="201"/>
        <item x="89"/>
        <item x="239"/>
        <item x="259"/>
        <item x="143"/>
        <item x="180"/>
        <item x="284"/>
        <item x="278"/>
        <item x="235"/>
        <item x="156"/>
        <item x="29"/>
        <item x="241"/>
        <item x="145"/>
        <item x="283"/>
        <item x="75"/>
        <item x="111"/>
        <item x="1"/>
        <item x="265"/>
        <item x="245"/>
        <item x="226"/>
        <item x="184"/>
        <item x="264"/>
        <item x="262"/>
        <item x="287"/>
        <item x="155"/>
        <item x="205"/>
        <item x="9"/>
        <item x="130"/>
        <item x="107"/>
        <item x="192"/>
        <item x="277"/>
        <item x="256"/>
        <item x="59"/>
        <item x="39"/>
        <item x="133"/>
        <item x="48"/>
        <item x="199"/>
        <item x="27"/>
        <item x="237"/>
        <item x="16"/>
        <item x="4"/>
        <item x="276"/>
        <item x="249"/>
        <item x="44"/>
        <item x="90"/>
        <item x="179"/>
        <item x="125"/>
        <item x="206"/>
        <item x="64"/>
        <item x="37"/>
        <item x="33"/>
        <item x="271"/>
        <item x="267"/>
        <item x="225"/>
        <item x="280"/>
        <item x="96"/>
        <item x="175"/>
        <item x="260"/>
        <item x="101"/>
        <item x="56"/>
        <item x="131"/>
        <item x="0"/>
        <item x="23"/>
        <item x="203"/>
        <item x="69"/>
        <item x="215"/>
        <item x="60"/>
        <item x="6"/>
        <item x="246"/>
        <item x="77"/>
        <item x="119"/>
        <item x="186"/>
        <item x="26"/>
        <item x="71"/>
        <item x="209"/>
        <item x="129"/>
        <item x="232"/>
        <item x="208"/>
        <item x="150"/>
        <item x="289"/>
        <item x="220"/>
        <item x="161"/>
        <item x="139"/>
        <item x="76"/>
        <item x="157"/>
        <item x="198"/>
        <item x="135"/>
        <item x="13"/>
        <item x="222"/>
        <item x="263"/>
        <item x="167"/>
        <item x="87"/>
        <item x="148"/>
        <item x="38"/>
        <item x="197"/>
        <item x="182"/>
        <item x="279"/>
        <item x="159"/>
        <item x="216"/>
        <item x="62"/>
        <item x="94"/>
        <item x="72"/>
        <item x="242"/>
        <item x="147"/>
        <item x="116"/>
        <item x="112"/>
        <item x="229"/>
        <item x="187"/>
        <item x="127"/>
        <item x="238"/>
        <item x="146"/>
        <item x="269"/>
        <item x="138"/>
        <item x="207"/>
        <item x="126"/>
        <item x="257"/>
        <item x="217"/>
        <item x="32"/>
        <item t="default"/>
      </items>
    </pivotField>
    <pivotField showAll="0">
      <items count="6">
        <item x="2"/>
        <item x="0"/>
        <item x="4"/>
        <item x="1"/>
        <item x="3"/>
        <item t="default"/>
      </items>
    </pivotField>
    <pivotField showAll="0">
      <items count="8">
        <item x="0"/>
        <item x="6"/>
        <item x="5"/>
        <item x="4"/>
        <item x="3"/>
        <item x="2"/>
        <item x="1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11" baseField="0" baseItem="0" numFmtId="3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EF2BE0-97BB-4131-A73C-070B41FC8CD4}" name="Product Category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4:H10" firstHeaderRow="1" firstDataRow="1" firstDataCol="1"/>
  <pivotFields count="16">
    <pivotField showAll="0"/>
    <pivotField showAll="0"/>
    <pivotField showAll="0">
      <items count="291">
        <item x="177"/>
        <item x="230"/>
        <item x="65"/>
        <item x="122"/>
        <item x="202"/>
        <item x="30"/>
        <item x="118"/>
        <item x="124"/>
        <item x="20"/>
        <item x="236"/>
        <item x="195"/>
        <item x="253"/>
        <item x="163"/>
        <item x="2"/>
        <item x="7"/>
        <item x="61"/>
        <item x="243"/>
        <item x="128"/>
        <item x="68"/>
        <item x="117"/>
        <item x="73"/>
        <item x="149"/>
        <item x="108"/>
        <item x="258"/>
        <item x="251"/>
        <item x="18"/>
        <item x="223"/>
        <item x="181"/>
        <item x="25"/>
        <item x="272"/>
        <item x="174"/>
        <item x="97"/>
        <item x="106"/>
        <item x="219"/>
        <item x="15"/>
        <item x="233"/>
        <item x="185"/>
        <item x="34"/>
        <item x="92"/>
        <item x="252"/>
        <item x="45"/>
        <item x="22"/>
        <item x="244"/>
        <item x="286"/>
        <item x="173"/>
        <item x="66"/>
        <item x="51"/>
        <item x="153"/>
        <item x="240"/>
        <item x="114"/>
        <item x="158"/>
        <item x="285"/>
        <item x="98"/>
        <item x="103"/>
        <item x="88"/>
        <item x="24"/>
        <item x="110"/>
        <item x="154"/>
        <item x="17"/>
        <item x="268"/>
        <item x="115"/>
        <item x="218"/>
        <item x="86"/>
        <item x="189"/>
        <item x="41"/>
        <item x="83"/>
        <item x="28"/>
        <item x="166"/>
        <item x="95"/>
        <item x="261"/>
        <item x="14"/>
        <item x="194"/>
        <item x="54"/>
        <item x="12"/>
        <item x="231"/>
        <item x="151"/>
        <item x="43"/>
        <item x="82"/>
        <item x="70"/>
        <item x="165"/>
        <item x="234"/>
        <item x="288"/>
        <item x="53"/>
        <item x="212"/>
        <item x="213"/>
        <item x="134"/>
        <item x="275"/>
        <item x="193"/>
        <item x="270"/>
        <item x="273"/>
        <item x="255"/>
        <item x="168"/>
        <item x="141"/>
        <item x="136"/>
        <item x="99"/>
        <item x="152"/>
        <item x="281"/>
        <item x="52"/>
        <item x="172"/>
        <item x="105"/>
        <item x="5"/>
        <item x="19"/>
        <item x="50"/>
        <item x="100"/>
        <item x="42"/>
        <item x="8"/>
        <item x="164"/>
        <item x="210"/>
        <item x="142"/>
        <item x="74"/>
        <item x="214"/>
        <item x="224"/>
        <item x="132"/>
        <item x="248"/>
        <item x="254"/>
        <item x="102"/>
        <item x="46"/>
        <item x="144"/>
        <item x="58"/>
        <item x="63"/>
        <item x="11"/>
        <item x="21"/>
        <item x="274"/>
        <item x="183"/>
        <item x="171"/>
        <item x="162"/>
        <item x="191"/>
        <item x="36"/>
        <item x="35"/>
        <item x="196"/>
        <item x="176"/>
        <item x="282"/>
        <item x="188"/>
        <item x="109"/>
        <item x="91"/>
        <item x="40"/>
        <item x="85"/>
        <item x="190"/>
        <item x="49"/>
        <item x="247"/>
        <item x="113"/>
        <item x="67"/>
        <item x="227"/>
        <item x="170"/>
        <item x="81"/>
        <item x="47"/>
        <item x="137"/>
        <item x="79"/>
        <item x="221"/>
        <item x="57"/>
        <item x="204"/>
        <item x="123"/>
        <item x="10"/>
        <item x="93"/>
        <item x="31"/>
        <item x="55"/>
        <item x="80"/>
        <item x="3"/>
        <item x="178"/>
        <item x="104"/>
        <item x="78"/>
        <item x="169"/>
        <item x="120"/>
        <item x="211"/>
        <item x="140"/>
        <item x="200"/>
        <item x="250"/>
        <item x="121"/>
        <item x="84"/>
        <item x="266"/>
        <item x="228"/>
        <item x="160"/>
        <item x="201"/>
        <item x="89"/>
        <item x="239"/>
        <item x="259"/>
        <item x="143"/>
        <item x="180"/>
        <item x="284"/>
        <item x="278"/>
        <item x="235"/>
        <item x="156"/>
        <item x="29"/>
        <item x="241"/>
        <item x="145"/>
        <item x="283"/>
        <item x="75"/>
        <item x="111"/>
        <item x="1"/>
        <item x="265"/>
        <item x="245"/>
        <item x="226"/>
        <item x="184"/>
        <item x="264"/>
        <item x="262"/>
        <item x="287"/>
        <item x="155"/>
        <item x="205"/>
        <item x="9"/>
        <item x="130"/>
        <item x="107"/>
        <item x="192"/>
        <item x="277"/>
        <item x="256"/>
        <item x="59"/>
        <item x="39"/>
        <item x="133"/>
        <item x="48"/>
        <item x="199"/>
        <item x="27"/>
        <item x="237"/>
        <item x="16"/>
        <item x="4"/>
        <item x="276"/>
        <item x="249"/>
        <item x="44"/>
        <item x="90"/>
        <item x="179"/>
        <item x="125"/>
        <item x="206"/>
        <item x="64"/>
        <item x="37"/>
        <item x="33"/>
        <item x="271"/>
        <item x="267"/>
        <item x="225"/>
        <item x="280"/>
        <item x="96"/>
        <item x="175"/>
        <item x="260"/>
        <item x="101"/>
        <item x="56"/>
        <item x="131"/>
        <item x="0"/>
        <item x="23"/>
        <item x="203"/>
        <item x="69"/>
        <item x="215"/>
        <item x="60"/>
        <item x="6"/>
        <item x="246"/>
        <item x="77"/>
        <item x="119"/>
        <item x="186"/>
        <item x="26"/>
        <item x="71"/>
        <item x="209"/>
        <item x="129"/>
        <item x="232"/>
        <item x="208"/>
        <item x="150"/>
        <item x="289"/>
        <item x="220"/>
        <item x="161"/>
        <item x="139"/>
        <item x="76"/>
        <item x="157"/>
        <item x="198"/>
        <item x="135"/>
        <item x="13"/>
        <item x="222"/>
        <item x="263"/>
        <item x="167"/>
        <item x="87"/>
        <item x="148"/>
        <item x="38"/>
        <item x="197"/>
        <item x="182"/>
        <item x="279"/>
        <item x="159"/>
        <item x="216"/>
        <item x="62"/>
        <item x="94"/>
        <item x="72"/>
        <item x="242"/>
        <item x="147"/>
        <item x="116"/>
        <item x="112"/>
        <item x="229"/>
        <item x="187"/>
        <item x="127"/>
        <item x="238"/>
        <item x="146"/>
        <item x="269"/>
        <item x="138"/>
        <item x="207"/>
        <item x="126"/>
        <item x="257"/>
        <item x="217"/>
        <item x="32"/>
        <item t="default"/>
      </items>
    </pivotField>
    <pivotField axis="axisRow" showAll="0">
      <items count="6">
        <item x="2"/>
        <item x="0"/>
        <item x="4"/>
        <item x="1"/>
        <item x="3"/>
        <item t="default"/>
      </items>
    </pivotField>
    <pivotField showAll="0">
      <items count="8">
        <item x="0"/>
        <item x="6"/>
        <item x="5"/>
        <item x="4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11" baseField="0" baseItem="0" numFmtId="3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944A1-DB7A-4320-9DA8-008C4ECC3A2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8">
    <pivotField showAll="0"/>
    <pivotField showAll="0"/>
    <pivotField showAll="0"/>
    <pivotField showAll="0">
      <items count="6">
        <item x="1"/>
        <item x="3"/>
        <item x="4"/>
        <item x="0"/>
        <item x="2"/>
        <item t="default"/>
      </items>
    </pivotField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workbookViewId="0">
      <selection activeCell="O997" sqref="O997"/>
    </sheetView>
  </sheetViews>
  <sheetFormatPr defaultRowHeight="14.4" x14ac:dyDescent="0.3"/>
  <cols>
    <col min="1" max="2" width="11.33203125" customWidth="1"/>
    <col min="3" max="3" width="11.5546875" customWidth="1"/>
    <col min="4" max="4" width="12.44140625" customWidth="1"/>
    <col min="5" max="5" width="16.33203125" customWidth="1"/>
    <col min="6" max="6" width="12" customWidth="1"/>
    <col min="7" max="7" width="11.6640625" customWidth="1"/>
    <col min="8" max="8" width="16.33203125" customWidth="1"/>
    <col min="9" max="9" width="14" customWidth="1"/>
    <col min="10" max="10" width="11.5546875" customWidth="1"/>
    <col min="11" max="11" width="11.6640625" customWidth="1"/>
    <col min="12" max="12" width="12.33203125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</row>
    <row r="2" spans="1:13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>
        <v>1</v>
      </c>
      <c r="J2" s="2">
        <v>1591</v>
      </c>
      <c r="K2" s="2">
        <v>12</v>
      </c>
      <c r="L2" s="2">
        <v>1400.08</v>
      </c>
    </row>
    <row r="3" spans="1:13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19</v>
      </c>
      <c r="I3" s="2">
        <v>4</v>
      </c>
      <c r="J3" s="2">
        <v>4131</v>
      </c>
      <c r="K3" s="2">
        <v>17</v>
      </c>
      <c r="L3" s="2">
        <v>13714.92</v>
      </c>
    </row>
    <row r="4" spans="1:13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18</v>
      </c>
      <c r="H4" s="2" t="s">
        <v>33</v>
      </c>
      <c r="I4" s="2">
        <v>5</v>
      </c>
      <c r="J4" s="2">
        <v>2621</v>
      </c>
      <c r="K4" s="2">
        <v>1</v>
      </c>
      <c r="L4" s="2">
        <v>12973.95</v>
      </c>
    </row>
    <row r="5" spans="1:13" x14ac:dyDescent="0.3">
      <c r="A5" s="2" t="s">
        <v>34</v>
      </c>
      <c r="B5" s="2" t="s">
        <v>35</v>
      </c>
      <c r="C5" s="2" t="s">
        <v>36</v>
      </c>
      <c r="D5" s="2" t="s">
        <v>30</v>
      </c>
      <c r="E5" s="2" t="s">
        <v>16</v>
      </c>
      <c r="F5" s="2" t="s">
        <v>17</v>
      </c>
      <c r="G5" s="2" t="s">
        <v>18</v>
      </c>
      <c r="H5" s="2" t="s">
        <v>19</v>
      </c>
      <c r="I5" s="2">
        <v>1</v>
      </c>
      <c r="J5" s="2">
        <v>1151</v>
      </c>
      <c r="K5" s="2">
        <v>25</v>
      </c>
      <c r="L5" s="2">
        <v>863.25</v>
      </c>
    </row>
    <row r="6" spans="1:13" x14ac:dyDescent="0.3">
      <c r="A6" s="2" t="s">
        <v>37</v>
      </c>
      <c r="B6" s="2" t="s">
        <v>38</v>
      </c>
      <c r="C6" s="2" t="s">
        <v>39</v>
      </c>
      <c r="D6" s="2" t="s">
        <v>23</v>
      </c>
      <c r="E6" s="2" t="s">
        <v>31</v>
      </c>
      <c r="F6" s="2" t="s">
        <v>32</v>
      </c>
      <c r="G6" s="2" t="s">
        <v>40</v>
      </c>
      <c r="H6" s="2" t="s">
        <v>19</v>
      </c>
      <c r="I6" s="2">
        <v>5</v>
      </c>
      <c r="J6" s="2">
        <v>3797</v>
      </c>
      <c r="K6" s="2">
        <v>15</v>
      </c>
      <c r="L6" s="2">
        <v>16137.25</v>
      </c>
    </row>
    <row r="7" spans="1:13" x14ac:dyDescent="0.3">
      <c r="A7" s="2" t="s">
        <v>41</v>
      </c>
      <c r="B7" s="2" t="s">
        <v>42</v>
      </c>
      <c r="C7" s="2" t="s">
        <v>43</v>
      </c>
      <c r="D7" s="2" t="s">
        <v>15</v>
      </c>
      <c r="E7" s="2" t="s">
        <v>16</v>
      </c>
      <c r="F7" s="2" t="s">
        <v>25</v>
      </c>
      <c r="G7" s="2" t="s">
        <v>40</v>
      </c>
      <c r="H7" s="2" t="s">
        <v>44</v>
      </c>
      <c r="I7" s="2">
        <v>4</v>
      </c>
      <c r="J7" s="2">
        <v>3862</v>
      </c>
      <c r="K7" s="2">
        <v>14</v>
      </c>
      <c r="L7" s="2">
        <v>13285.28</v>
      </c>
    </row>
    <row r="8" spans="1:13" x14ac:dyDescent="0.3">
      <c r="A8" s="2" t="s">
        <v>45</v>
      </c>
      <c r="B8" s="2" t="s">
        <v>46</v>
      </c>
      <c r="C8" s="2" t="s">
        <v>47</v>
      </c>
      <c r="D8" s="2" t="s">
        <v>30</v>
      </c>
      <c r="E8" s="2" t="s">
        <v>48</v>
      </c>
      <c r="F8" s="2" t="s">
        <v>49</v>
      </c>
      <c r="G8" s="2" t="s">
        <v>26</v>
      </c>
      <c r="H8" s="2" t="s">
        <v>33</v>
      </c>
      <c r="I8" s="2">
        <v>5</v>
      </c>
      <c r="J8" s="2">
        <v>2081</v>
      </c>
      <c r="K8" s="2">
        <v>27</v>
      </c>
      <c r="L8" s="2">
        <v>7595.65</v>
      </c>
    </row>
    <row r="9" spans="1:13" x14ac:dyDescent="0.3">
      <c r="A9" s="2" t="s">
        <v>50</v>
      </c>
      <c r="B9" s="2" t="s">
        <v>51</v>
      </c>
      <c r="C9" s="2" t="s">
        <v>52</v>
      </c>
      <c r="D9" s="2" t="s">
        <v>53</v>
      </c>
      <c r="E9" s="2" t="s">
        <v>48</v>
      </c>
      <c r="F9" s="2" t="s">
        <v>40</v>
      </c>
      <c r="G9" s="2" t="s">
        <v>54</v>
      </c>
      <c r="H9" s="2" t="s">
        <v>19</v>
      </c>
      <c r="I9" s="2">
        <v>1</v>
      </c>
      <c r="J9" s="2">
        <v>2884</v>
      </c>
      <c r="K9" s="2">
        <v>4</v>
      </c>
      <c r="L9" s="2">
        <v>2768.64</v>
      </c>
    </row>
    <row r="10" spans="1:13" x14ac:dyDescent="0.3">
      <c r="A10" s="2" t="s">
        <v>55</v>
      </c>
      <c r="B10" s="2" t="s">
        <v>56</v>
      </c>
      <c r="C10" s="2" t="s">
        <v>57</v>
      </c>
      <c r="D10" s="2" t="s">
        <v>23</v>
      </c>
      <c r="E10" s="2" t="s">
        <v>58</v>
      </c>
      <c r="F10" s="2" t="s">
        <v>40</v>
      </c>
      <c r="G10" s="2" t="s">
        <v>26</v>
      </c>
      <c r="H10" s="2" t="s">
        <v>33</v>
      </c>
      <c r="I10" s="2">
        <v>1</v>
      </c>
      <c r="J10" s="2">
        <v>785</v>
      </c>
      <c r="K10" s="2">
        <v>9</v>
      </c>
      <c r="L10" s="2">
        <v>714.35</v>
      </c>
    </row>
    <row r="11" spans="1:13" x14ac:dyDescent="0.3">
      <c r="A11" s="2" t="s">
        <v>59</v>
      </c>
      <c r="B11" s="2" t="s">
        <v>60</v>
      </c>
      <c r="C11" s="2" t="s">
        <v>61</v>
      </c>
      <c r="D11" s="2" t="s">
        <v>30</v>
      </c>
      <c r="E11" s="2" t="s">
        <v>48</v>
      </c>
      <c r="F11" s="2" t="s">
        <v>17</v>
      </c>
      <c r="G11" s="2" t="s">
        <v>62</v>
      </c>
      <c r="H11" s="2" t="s">
        <v>33</v>
      </c>
      <c r="I11" s="2">
        <v>3</v>
      </c>
      <c r="J11" s="2">
        <v>4287</v>
      </c>
      <c r="K11" s="2">
        <v>30</v>
      </c>
      <c r="L11" s="2">
        <v>9002.7000000000007</v>
      </c>
    </row>
    <row r="12" spans="1:13" x14ac:dyDescent="0.3">
      <c r="A12" s="2" t="s">
        <v>63</v>
      </c>
      <c r="B12" s="2" t="s">
        <v>64</v>
      </c>
      <c r="C12" s="2" t="s">
        <v>39</v>
      </c>
      <c r="D12" s="2" t="s">
        <v>23</v>
      </c>
      <c r="E12" s="2" t="s">
        <v>58</v>
      </c>
      <c r="F12" s="2" t="s">
        <v>40</v>
      </c>
      <c r="G12" s="2" t="s">
        <v>18</v>
      </c>
      <c r="H12" s="2" t="s">
        <v>19</v>
      </c>
      <c r="I12" s="2">
        <v>4</v>
      </c>
      <c r="J12" s="2">
        <v>1873</v>
      </c>
      <c r="K12" s="2">
        <v>26</v>
      </c>
      <c r="L12" s="2">
        <v>5544.08</v>
      </c>
    </row>
    <row r="13" spans="1:13" x14ac:dyDescent="0.3">
      <c r="A13" s="2" t="s">
        <v>65</v>
      </c>
      <c r="B13" s="2" t="s">
        <v>66</v>
      </c>
      <c r="C13" s="2" t="s">
        <v>67</v>
      </c>
      <c r="D13" s="2" t="s">
        <v>30</v>
      </c>
      <c r="E13" s="2" t="s">
        <v>68</v>
      </c>
      <c r="F13" s="2" t="s">
        <v>17</v>
      </c>
      <c r="G13" s="2" t="s">
        <v>62</v>
      </c>
      <c r="H13" s="2" t="s">
        <v>44</v>
      </c>
      <c r="I13" s="2">
        <v>2</v>
      </c>
      <c r="J13" s="2">
        <v>3237</v>
      </c>
      <c r="K13" s="2">
        <v>11</v>
      </c>
      <c r="L13" s="2">
        <v>5761.86</v>
      </c>
    </row>
    <row r="14" spans="1:13" x14ac:dyDescent="0.3">
      <c r="A14" s="2" t="s">
        <v>69</v>
      </c>
      <c r="B14" s="2" t="s">
        <v>70</v>
      </c>
      <c r="C14" s="2" t="s">
        <v>71</v>
      </c>
      <c r="D14" s="2" t="s">
        <v>15</v>
      </c>
      <c r="E14" s="2" t="s">
        <v>68</v>
      </c>
      <c r="F14" s="2" t="s">
        <v>17</v>
      </c>
      <c r="G14" s="2" t="s">
        <v>62</v>
      </c>
      <c r="H14" s="2" t="s">
        <v>19</v>
      </c>
      <c r="I14" s="2">
        <v>1</v>
      </c>
      <c r="J14" s="2">
        <v>2073</v>
      </c>
      <c r="K14" s="2">
        <v>16</v>
      </c>
      <c r="L14" s="2">
        <v>1741.32</v>
      </c>
    </row>
    <row r="15" spans="1:13" x14ac:dyDescent="0.3">
      <c r="A15" s="2" t="s">
        <v>72</v>
      </c>
      <c r="B15" s="2" t="s">
        <v>73</v>
      </c>
      <c r="C15" s="2" t="s">
        <v>74</v>
      </c>
      <c r="D15" s="2" t="s">
        <v>15</v>
      </c>
      <c r="E15" s="2" t="s">
        <v>24</v>
      </c>
      <c r="F15" s="2" t="s">
        <v>32</v>
      </c>
      <c r="G15" s="2" t="s">
        <v>18</v>
      </c>
      <c r="H15" s="2" t="s">
        <v>75</v>
      </c>
      <c r="I15" s="2">
        <v>2</v>
      </c>
      <c r="J15" s="2">
        <v>2873</v>
      </c>
      <c r="K15" s="2">
        <v>5</v>
      </c>
      <c r="L15" s="2">
        <v>5458.7</v>
      </c>
    </row>
    <row r="16" spans="1:13" x14ac:dyDescent="0.3">
      <c r="A16" s="2" t="s">
        <v>76</v>
      </c>
      <c r="B16" s="2" t="s">
        <v>77</v>
      </c>
      <c r="C16" s="2" t="s">
        <v>78</v>
      </c>
      <c r="D16" s="2" t="s">
        <v>30</v>
      </c>
      <c r="E16" s="2" t="s">
        <v>79</v>
      </c>
      <c r="F16" s="2" t="s">
        <v>49</v>
      </c>
      <c r="G16" s="2" t="s">
        <v>26</v>
      </c>
      <c r="H16" s="2" t="s">
        <v>33</v>
      </c>
      <c r="I16" s="2">
        <v>5</v>
      </c>
      <c r="J16" s="2">
        <v>1182</v>
      </c>
      <c r="K16" s="2">
        <v>1</v>
      </c>
      <c r="L16" s="2">
        <v>5850.9</v>
      </c>
    </row>
    <row r="17" spans="1:12" x14ac:dyDescent="0.3">
      <c r="A17" s="2" t="s">
        <v>80</v>
      </c>
      <c r="B17" s="2" t="s">
        <v>81</v>
      </c>
      <c r="C17" s="2" t="s">
        <v>61</v>
      </c>
      <c r="D17" s="2" t="s">
        <v>30</v>
      </c>
      <c r="E17" s="2" t="s">
        <v>16</v>
      </c>
      <c r="F17" s="2" t="s">
        <v>40</v>
      </c>
      <c r="G17" s="2" t="s">
        <v>54</v>
      </c>
      <c r="H17" s="2" t="s">
        <v>19</v>
      </c>
      <c r="I17" s="2">
        <v>5</v>
      </c>
      <c r="J17" s="2">
        <v>4185</v>
      </c>
      <c r="K17" s="2">
        <v>10</v>
      </c>
      <c r="L17" s="2">
        <v>18832.5</v>
      </c>
    </row>
    <row r="18" spans="1:12" x14ac:dyDescent="0.3">
      <c r="A18" s="2" t="s">
        <v>82</v>
      </c>
      <c r="B18" s="2" t="s">
        <v>83</v>
      </c>
      <c r="C18" s="2" t="s">
        <v>84</v>
      </c>
      <c r="D18" s="2" t="s">
        <v>23</v>
      </c>
      <c r="E18" s="2" t="s">
        <v>31</v>
      </c>
      <c r="F18" s="2" t="s">
        <v>17</v>
      </c>
      <c r="G18" s="2" t="s">
        <v>18</v>
      </c>
      <c r="H18" s="2" t="s">
        <v>44</v>
      </c>
      <c r="I18" s="2">
        <v>1</v>
      </c>
      <c r="J18" s="2">
        <v>340</v>
      </c>
      <c r="K18" s="2">
        <v>16</v>
      </c>
      <c r="L18" s="2">
        <v>285.60000000000002</v>
      </c>
    </row>
    <row r="19" spans="1:12" x14ac:dyDescent="0.3">
      <c r="A19" s="2" t="s">
        <v>85</v>
      </c>
      <c r="B19" s="2" t="s">
        <v>86</v>
      </c>
      <c r="C19" s="2" t="s">
        <v>87</v>
      </c>
      <c r="D19" s="2" t="s">
        <v>88</v>
      </c>
      <c r="E19" s="2" t="s">
        <v>16</v>
      </c>
      <c r="F19" s="2" t="s">
        <v>40</v>
      </c>
      <c r="G19" s="2" t="s">
        <v>26</v>
      </c>
      <c r="H19" s="2" t="s">
        <v>19</v>
      </c>
      <c r="I19" s="2">
        <v>5</v>
      </c>
      <c r="J19" s="2">
        <v>4238</v>
      </c>
      <c r="K19" s="2">
        <v>13</v>
      </c>
      <c r="L19" s="2">
        <v>18435.3</v>
      </c>
    </row>
    <row r="20" spans="1:12" x14ac:dyDescent="0.3">
      <c r="A20" s="2" t="s">
        <v>89</v>
      </c>
      <c r="B20" s="2" t="s">
        <v>90</v>
      </c>
      <c r="C20" s="2" t="s">
        <v>91</v>
      </c>
      <c r="D20" s="2" t="s">
        <v>53</v>
      </c>
      <c r="E20" s="2" t="s">
        <v>68</v>
      </c>
      <c r="F20" s="2" t="s">
        <v>49</v>
      </c>
      <c r="G20" s="2" t="s">
        <v>26</v>
      </c>
      <c r="H20" s="2" t="s">
        <v>19</v>
      </c>
      <c r="I20" s="2">
        <v>3</v>
      </c>
      <c r="J20" s="2">
        <v>2358</v>
      </c>
      <c r="K20" s="2">
        <v>25</v>
      </c>
      <c r="L20" s="2">
        <v>5305.5</v>
      </c>
    </row>
    <row r="21" spans="1:12" x14ac:dyDescent="0.3">
      <c r="A21" s="2" t="s">
        <v>92</v>
      </c>
      <c r="B21" s="2" t="s">
        <v>93</v>
      </c>
      <c r="C21" s="2" t="s">
        <v>94</v>
      </c>
      <c r="D21" s="2" t="s">
        <v>53</v>
      </c>
      <c r="E21" s="2" t="s">
        <v>31</v>
      </c>
      <c r="F21" s="2" t="s">
        <v>40</v>
      </c>
      <c r="G21" s="2" t="s">
        <v>40</v>
      </c>
      <c r="H21" s="2" t="s">
        <v>44</v>
      </c>
      <c r="I21" s="2">
        <v>2</v>
      </c>
      <c r="J21" s="2">
        <v>293</v>
      </c>
      <c r="K21" s="2">
        <v>2</v>
      </c>
      <c r="L21" s="2">
        <v>574.28</v>
      </c>
    </row>
    <row r="22" spans="1:12" x14ac:dyDescent="0.3">
      <c r="A22" s="2" t="s">
        <v>95</v>
      </c>
      <c r="B22" s="2" t="s">
        <v>96</v>
      </c>
      <c r="C22" s="2" t="s">
        <v>97</v>
      </c>
      <c r="D22" s="2" t="s">
        <v>15</v>
      </c>
      <c r="E22" s="2" t="s">
        <v>68</v>
      </c>
      <c r="F22" s="2" t="s">
        <v>32</v>
      </c>
      <c r="G22" s="2" t="s">
        <v>26</v>
      </c>
      <c r="H22" s="2" t="s">
        <v>44</v>
      </c>
      <c r="I22" s="2">
        <v>3</v>
      </c>
      <c r="J22" s="2">
        <v>4401</v>
      </c>
      <c r="K22" s="2">
        <v>5</v>
      </c>
      <c r="L22" s="2">
        <v>12542.85</v>
      </c>
    </row>
    <row r="23" spans="1:12" x14ac:dyDescent="0.3">
      <c r="A23" s="2" t="s">
        <v>98</v>
      </c>
      <c r="B23" s="2" t="s">
        <v>86</v>
      </c>
      <c r="C23" s="2" t="s">
        <v>99</v>
      </c>
      <c r="D23" s="2" t="s">
        <v>15</v>
      </c>
      <c r="E23" s="2" t="s">
        <v>31</v>
      </c>
      <c r="F23" s="2" t="s">
        <v>49</v>
      </c>
      <c r="G23" s="2" t="s">
        <v>54</v>
      </c>
      <c r="H23" s="2" t="s">
        <v>19</v>
      </c>
      <c r="I23" s="2">
        <v>3</v>
      </c>
      <c r="J23" s="2">
        <v>2795</v>
      </c>
      <c r="K23" s="2">
        <v>11</v>
      </c>
      <c r="L23" s="2">
        <v>7462.65</v>
      </c>
    </row>
    <row r="24" spans="1:12" x14ac:dyDescent="0.3">
      <c r="A24" s="2" t="s">
        <v>100</v>
      </c>
      <c r="B24" s="2" t="s">
        <v>101</v>
      </c>
      <c r="C24" s="2" t="s">
        <v>102</v>
      </c>
      <c r="D24" s="2" t="s">
        <v>15</v>
      </c>
      <c r="E24" s="2" t="s">
        <v>16</v>
      </c>
      <c r="F24" s="2" t="s">
        <v>40</v>
      </c>
      <c r="G24" s="2" t="s">
        <v>18</v>
      </c>
      <c r="H24" s="2" t="s">
        <v>44</v>
      </c>
      <c r="I24" s="2">
        <v>1</v>
      </c>
      <c r="J24" s="2">
        <v>637</v>
      </c>
      <c r="K24" s="2">
        <v>9</v>
      </c>
      <c r="L24" s="2">
        <v>579.66999999999996</v>
      </c>
    </row>
    <row r="25" spans="1:12" x14ac:dyDescent="0.3">
      <c r="A25" s="2" t="s">
        <v>103</v>
      </c>
      <c r="B25" s="2" t="s">
        <v>104</v>
      </c>
      <c r="C25" s="2" t="s">
        <v>105</v>
      </c>
      <c r="D25" s="2" t="s">
        <v>88</v>
      </c>
      <c r="E25" s="2" t="s">
        <v>24</v>
      </c>
      <c r="F25" s="2" t="s">
        <v>25</v>
      </c>
      <c r="G25" s="2" t="s">
        <v>26</v>
      </c>
      <c r="H25" s="2" t="s">
        <v>33</v>
      </c>
      <c r="I25" s="2">
        <v>2</v>
      </c>
      <c r="J25" s="2">
        <v>1569</v>
      </c>
      <c r="K25" s="2">
        <v>10</v>
      </c>
      <c r="L25" s="2">
        <v>2824.2</v>
      </c>
    </row>
    <row r="26" spans="1:12" x14ac:dyDescent="0.3">
      <c r="A26" s="2" t="s">
        <v>106</v>
      </c>
      <c r="B26" s="2" t="s">
        <v>107</v>
      </c>
      <c r="C26" s="2" t="s">
        <v>108</v>
      </c>
      <c r="D26" s="2" t="s">
        <v>88</v>
      </c>
      <c r="E26" s="2" t="s">
        <v>16</v>
      </c>
      <c r="F26" s="2" t="s">
        <v>40</v>
      </c>
      <c r="G26" s="2" t="s">
        <v>40</v>
      </c>
      <c r="H26" s="2" t="s">
        <v>19</v>
      </c>
      <c r="I26" s="2">
        <v>1</v>
      </c>
      <c r="J26" s="2">
        <v>1988</v>
      </c>
      <c r="K26" s="2">
        <v>8</v>
      </c>
      <c r="L26" s="2">
        <v>1828.96</v>
      </c>
    </row>
    <row r="27" spans="1:12" x14ac:dyDescent="0.3">
      <c r="A27" s="2" t="s">
        <v>109</v>
      </c>
      <c r="B27" s="2" t="s">
        <v>110</v>
      </c>
      <c r="C27" s="2" t="s">
        <v>111</v>
      </c>
      <c r="D27" s="2" t="s">
        <v>88</v>
      </c>
      <c r="E27" s="2" t="s">
        <v>24</v>
      </c>
      <c r="F27" s="2" t="s">
        <v>32</v>
      </c>
      <c r="G27" s="2" t="s">
        <v>62</v>
      </c>
      <c r="H27" s="2" t="s">
        <v>19</v>
      </c>
      <c r="I27" s="2">
        <v>5</v>
      </c>
      <c r="J27" s="2">
        <v>1933</v>
      </c>
      <c r="K27" s="2">
        <v>28</v>
      </c>
      <c r="L27" s="2">
        <v>6958.8</v>
      </c>
    </row>
    <row r="28" spans="1:12" x14ac:dyDescent="0.3">
      <c r="A28" s="2" t="s">
        <v>112</v>
      </c>
      <c r="B28" s="2" t="s">
        <v>113</v>
      </c>
      <c r="C28" s="2" t="s">
        <v>114</v>
      </c>
      <c r="D28" s="2" t="s">
        <v>23</v>
      </c>
      <c r="E28" s="2" t="s">
        <v>58</v>
      </c>
      <c r="F28" s="2" t="s">
        <v>17</v>
      </c>
      <c r="G28" s="2" t="s">
        <v>26</v>
      </c>
      <c r="H28" s="2" t="s">
        <v>33</v>
      </c>
      <c r="I28" s="2">
        <v>2</v>
      </c>
      <c r="J28" s="2">
        <v>3875</v>
      </c>
      <c r="K28" s="2">
        <v>9</v>
      </c>
      <c r="L28" s="2">
        <v>7052.5</v>
      </c>
    </row>
    <row r="29" spans="1:12" x14ac:dyDescent="0.3">
      <c r="A29" s="2" t="s">
        <v>115</v>
      </c>
      <c r="B29" s="2" t="s">
        <v>116</v>
      </c>
      <c r="C29" s="2" t="s">
        <v>117</v>
      </c>
      <c r="D29" s="2" t="s">
        <v>53</v>
      </c>
      <c r="E29" s="2" t="s">
        <v>31</v>
      </c>
      <c r="F29" s="2" t="s">
        <v>32</v>
      </c>
      <c r="G29" s="2" t="s">
        <v>18</v>
      </c>
      <c r="H29" s="2" t="s">
        <v>75</v>
      </c>
      <c r="I29" s="2">
        <v>4</v>
      </c>
      <c r="J29" s="2">
        <v>2139</v>
      </c>
      <c r="K29" s="2">
        <v>26</v>
      </c>
      <c r="L29" s="2">
        <v>6331.44</v>
      </c>
    </row>
    <row r="30" spans="1:12" x14ac:dyDescent="0.3">
      <c r="A30" s="2" t="s">
        <v>118</v>
      </c>
      <c r="B30" s="2" t="s">
        <v>119</v>
      </c>
      <c r="C30" s="2" t="s">
        <v>67</v>
      </c>
      <c r="D30" s="2" t="s">
        <v>53</v>
      </c>
      <c r="E30" s="2" t="s">
        <v>68</v>
      </c>
      <c r="F30" s="2" t="s">
        <v>32</v>
      </c>
      <c r="G30" s="2" t="s">
        <v>62</v>
      </c>
      <c r="H30" s="2" t="s">
        <v>19</v>
      </c>
      <c r="I30" s="2">
        <v>2</v>
      </c>
      <c r="J30" s="2">
        <v>4666</v>
      </c>
      <c r="K30" s="2">
        <v>28</v>
      </c>
      <c r="L30" s="2">
        <v>6719.04</v>
      </c>
    </row>
    <row r="31" spans="1:12" x14ac:dyDescent="0.3">
      <c r="A31" s="2" t="s">
        <v>120</v>
      </c>
      <c r="B31" s="2" t="s">
        <v>121</v>
      </c>
      <c r="C31" s="2" t="s">
        <v>102</v>
      </c>
      <c r="D31" s="2" t="s">
        <v>15</v>
      </c>
      <c r="E31" s="2" t="s">
        <v>79</v>
      </c>
      <c r="F31" s="2" t="s">
        <v>40</v>
      </c>
      <c r="G31" s="2" t="s">
        <v>18</v>
      </c>
      <c r="H31" s="2" t="s">
        <v>19</v>
      </c>
      <c r="I31" s="2">
        <v>5</v>
      </c>
      <c r="J31" s="2">
        <v>1645</v>
      </c>
      <c r="K31" s="2">
        <v>21</v>
      </c>
      <c r="L31" s="2">
        <v>6497.75</v>
      </c>
    </row>
    <row r="32" spans="1:12" x14ac:dyDescent="0.3">
      <c r="A32" s="2" t="s">
        <v>122</v>
      </c>
      <c r="B32" s="2" t="s">
        <v>123</v>
      </c>
      <c r="C32" s="2" t="s">
        <v>124</v>
      </c>
      <c r="D32" s="2" t="s">
        <v>15</v>
      </c>
      <c r="E32" s="2" t="s">
        <v>79</v>
      </c>
      <c r="F32" s="2" t="s">
        <v>32</v>
      </c>
      <c r="G32" s="2" t="s">
        <v>62</v>
      </c>
      <c r="H32" s="2" t="s">
        <v>33</v>
      </c>
      <c r="I32" s="2">
        <v>4</v>
      </c>
      <c r="J32" s="2">
        <v>4358</v>
      </c>
      <c r="K32" s="2">
        <v>23</v>
      </c>
      <c r="L32" s="2">
        <v>13422.64</v>
      </c>
    </row>
    <row r="33" spans="1:12" x14ac:dyDescent="0.3">
      <c r="A33" s="2" t="s">
        <v>125</v>
      </c>
      <c r="B33" s="2" t="s">
        <v>126</v>
      </c>
      <c r="C33" s="2" t="s">
        <v>127</v>
      </c>
      <c r="D33" s="2" t="s">
        <v>23</v>
      </c>
      <c r="E33" s="2" t="s">
        <v>79</v>
      </c>
      <c r="F33" s="2" t="s">
        <v>25</v>
      </c>
      <c r="G33" s="2" t="s">
        <v>40</v>
      </c>
      <c r="H33" s="2" t="s">
        <v>33</v>
      </c>
      <c r="I33" s="2">
        <v>4</v>
      </c>
      <c r="J33" s="2">
        <v>757</v>
      </c>
      <c r="K33" s="2">
        <v>23</v>
      </c>
      <c r="L33" s="2">
        <v>2331.56</v>
      </c>
    </row>
    <row r="34" spans="1:12" x14ac:dyDescent="0.3">
      <c r="A34" s="2" t="s">
        <v>128</v>
      </c>
      <c r="B34" s="2" t="s">
        <v>129</v>
      </c>
      <c r="C34" s="2" t="s">
        <v>130</v>
      </c>
      <c r="D34" s="2" t="s">
        <v>30</v>
      </c>
      <c r="E34" s="2" t="s">
        <v>24</v>
      </c>
      <c r="F34" s="2" t="s">
        <v>17</v>
      </c>
      <c r="G34" s="2" t="s">
        <v>18</v>
      </c>
      <c r="H34" s="2" t="s">
        <v>19</v>
      </c>
      <c r="I34" s="2">
        <v>5</v>
      </c>
      <c r="J34" s="2">
        <v>4483</v>
      </c>
      <c r="K34" s="2">
        <v>27</v>
      </c>
      <c r="L34" s="2">
        <v>16362.95</v>
      </c>
    </row>
    <row r="35" spans="1:12" x14ac:dyDescent="0.3">
      <c r="A35" s="2" t="s">
        <v>131</v>
      </c>
      <c r="B35" s="2" t="s">
        <v>132</v>
      </c>
      <c r="C35" s="2" t="s">
        <v>133</v>
      </c>
      <c r="D35" s="2" t="s">
        <v>30</v>
      </c>
      <c r="E35" s="2" t="s">
        <v>58</v>
      </c>
      <c r="F35" s="2" t="s">
        <v>49</v>
      </c>
      <c r="G35" s="2" t="s">
        <v>62</v>
      </c>
      <c r="H35" s="2" t="s">
        <v>44</v>
      </c>
      <c r="I35" s="2">
        <v>1</v>
      </c>
      <c r="J35" s="2">
        <v>2182</v>
      </c>
      <c r="K35" s="2">
        <v>4</v>
      </c>
      <c r="L35" s="2">
        <v>2094.7199999999998</v>
      </c>
    </row>
    <row r="36" spans="1:12" x14ac:dyDescent="0.3">
      <c r="A36" s="2" t="s">
        <v>134</v>
      </c>
      <c r="B36" s="2" t="s">
        <v>135</v>
      </c>
      <c r="C36" s="2" t="s">
        <v>136</v>
      </c>
      <c r="D36" s="2" t="s">
        <v>30</v>
      </c>
      <c r="E36" s="2" t="s">
        <v>16</v>
      </c>
      <c r="F36" s="2" t="s">
        <v>40</v>
      </c>
      <c r="G36" s="2" t="s">
        <v>18</v>
      </c>
      <c r="H36" s="2" t="s">
        <v>44</v>
      </c>
      <c r="I36" s="2">
        <v>3</v>
      </c>
      <c r="J36" s="2">
        <v>2012</v>
      </c>
      <c r="K36" s="2">
        <v>23</v>
      </c>
      <c r="L36" s="2">
        <v>4647.72</v>
      </c>
    </row>
    <row r="37" spans="1:12" x14ac:dyDescent="0.3">
      <c r="A37" s="2" t="s">
        <v>137</v>
      </c>
      <c r="B37" s="2" t="s">
        <v>138</v>
      </c>
      <c r="C37" s="2" t="s">
        <v>139</v>
      </c>
      <c r="D37" s="2" t="s">
        <v>23</v>
      </c>
      <c r="E37" s="2" t="s">
        <v>68</v>
      </c>
      <c r="F37" s="2" t="s">
        <v>17</v>
      </c>
      <c r="G37" s="2" t="s">
        <v>18</v>
      </c>
      <c r="H37" s="2" t="s">
        <v>44</v>
      </c>
      <c r="I37" s="2">
        <v>1</v>
      </c>
      <c r="J37" s="2">
        <v>3640</v>
      </c>
      <c r="K37" s="2">
        <v>16</v>
      </c>
      <c r="L37" s="2">
        <v>3057.6</v>
      </c>
    </row>
    <row r="38" spans="1:12" x14ac:dyDescent="0.3">
      <c r="A38" s="2" t="s">
        <v>140</v>
      </c>
      <c r="B38" s="2" t="s">
        <v>141</v>
      </c>
      <c r="C38" s="2" t="s">
        <v>142</v>
      </c>
      <c r="D38" s="2" t="s">
        <v>23</v>
      </c>
      <c r="E38" s="2" t="s">
        <v>58</v>
      </c>
      <c r="F38" s="2" t="s">
        <v>49</v>
      </c>
      <c r="G38" s="2" t="s">
        <v>62</v>
      </c>
      <c r="H38" s="2" t="s">
        <v>44</v>
      </c>
      <c r="I38" s="2">
        <v>2</v>
      </c>
      <c r="J38" s="2">
        <v>1542</v>
      </c>
      <c r="K38" s="2">
        <v>8</v>
      </c>
      <c r="L38" s="2">
        <v>2837.28</v>
      </c>
    </row>
    <row r="39" spans="1:12" x14ac:dyDescent="0.3">
      <c r="A39" s="2" t="s">
        <v>143</v>
      </c>
      <c r="B39" s="2" t="s">
        <v>144</v>
      </c>
      <c r="C39" s="2" t="s">
        <v>145</v>
      </c>
      <c r="D39" s="2" t="s">
        <v>30</v>
      </c>
      <c r="E39" s="2" t="s">
        <v>79</v>
      </c>
      <c r="F39" s="2" t="s">
        <v>40</v>
      </c>
      <c r="G39" s="2" t="s">
        <v>26</v>
      </c>
      <c r="H39" s="2" t="s">
        <v>19</v>
      </c>
      <c r="I39" s="2">
        <v>2</v>
      </c>
      <c r="J39" s="2">
        <v>2773</v>
      </c>
      <c r="K39" s="2">
        <v>11</v>
      </c>
      <c r="L39" s="2">
        <v>4935.9399999999996</v>
      </c>
    </row>
    <row r="40" spans="1:12" x14ac:dyDescent="0.3">
      <c r="A40" s="2" t="s">
        <v>146</v>
      </c>
      <c r="B40" s="2" t="s">
        <v>147</v>
      </c>
      <c r="C40" s="2" t="s">
        <v>148</v>
      </c>
      <c r="D40" s="2" t="s">
        <v>23</v>
      </c>
      <c r="E40" s="2" t="s">
        <v>24</v>
      </c>
      <c r="F40" s="2" t="s">
        <v>49</v>
      </c>
      <c r="G40" s="2" t="s">
        <v>40</v>
      </c>
      <c r="H40" s="2" t="s">
        <v>33</v>
      </c>
      <c r="I40" s="2">
        <v>2</v>
      </c>
      <c r="J40" s="2">
        <v>3842</v>
      </c>
      <c r="K40" s="2">
        <v>3</v>
      </c>
      <c r="L40" s="2">
        <v>7453.48</v>
      </c>
    </row>
    <row r="41" spans="1:12" x14ac:dyDescent="0.3">
      <c r="A41" s="2" t="s">
        <v>149</v>
      </c>
      <c r="B41" s="2" t="s">
        <v>150</v>
      </c>
      <c r="C41" s="2" t="s">
        <v>151</v>
      </c>
      <c r="D41" s="2" t="s">
        <v>30</v>
      </c>
      <c r="E41" s="2" t="s">
        <v>58</v>
      </c>
      <c r="F41" s="2" t="s">
        <v>49</v>
      </c>
      <c r="G41" s="2" t="s">
        <v>18</v>
      </c>
      <c r="H41" s="2" t="s">
        <v>19</v>
      </c>
      <c r="I41" s="2">
        <v>5</v>
      </c>
      <c r="J41" s="2">
        <v>1213</v>
      </c>
      <c r="K41" s="2">
        <v>29</v>
      </c>
      <c r="L41" s="2">
        <v>4306.1499999999996</v>
      </c>
    </row>
    <row r="42" spans="1:12" x14ac:dyDescent="0.3">
      <c r="A42" s="2" t="s">
        <v>152</v>
      </c>
      <c r="B42" s="2" t="s">
        <v>153</v>
      </c>
      <c r="C42" s="2" t="s">
        <v>154</v>
      </c>
      <c r="D42" s="2" t="s">
        <v>23</v>
      </c>
      <c r="E42" s="2" t="s">
        <v>16</v>
      </c>
      <c r="F42" s="2" t="s">
        <v>49</v>
      </c>
      <c r="G42" s="2" t="s">
        <v>40</v>
      </c>
      <c r="H42" s="2" t="s">
        <v>19</v>
      </c>
      <c r="I42" s="2">
        <v>4</v>
      </c>
      <c r="J42" s="2">
        <v>1707</v>
      </c>
      <c r="K42" s="2">
        <v>28</v>
      </c>
      <c r="L42" s="2">
        <v>4916.16</v>
      </c>
    </row>
    <row r="43" spans="1:12" x14ac:dyDescent="0.3">
      <c r="A43" s="2" t="s">
        <v>155</v>
      </c>
      <c r="B43" s="2" t="s">
        <v>51</v>
      </c>
      <c r="C43" s="2" t="s">
        <v>29</v>
      </c>
      <c r="D43" s="2" t="s">
        <v>53</v>
      </c>
      <c r="E43" s="2" t="s">
        <v>79</v>
      </c>
      <c r="F43" s="2" t="s">
        <v>17</v>
      </c>
      <c r="G43" s="2" t="s">
        <v>54</v>
      </c>
      <c r="H43" s="2" t="s">
        <v>19</v>
      </c>
      <c r="I43" s="2">
        <v>5</v>
      </c>
      <c r="J43" s="2">
        <v>3092</v>
      </c>
      <c r="K43" s="2">
        <v>7</v>
      </c>
      <c r="L43" s="2">
        <v>14377.8</v>
      </c>
    </row>
    <row r="44" spans="1:12" x14ac:dyDescent="0.3">
      <c r="A44" s="2" t="s">
        <v>156</v>
      </c>
      <c r="B44" s="2" t="s">
        <v>104</v>
      </c>
      <c r="C44" s="2" t="s">
        <v>157</v>
      </c>
      <c r="D44" s="2" t="s">
        <v>53</v>
      </c>
      <c r="E44" s="2" t="s">
        <v>58</v>
      </c>
      <c r="F44" s="2" t="s">
        <v>40</v>
      </c>
      <c r="G44" s="2" t="s">
        <v>26</v>
      </c>
      <c r="H44" s="2" t="s">
        <v>44</v>
      </c>
      <c r="I44" s="2">
        <v>2</v>
      </c>
      <c r="J44" s="2">
        <v>473</v>
      </c>
      <c r="K44" s="2">
        <v>25</v>
      </c>
      <c r="L44" s="2">
        <v>709.5</v>
      </c>
    </row>
    <row r="45" spans="1:12" x14ac:dyDescent="0.3">
      <c r="A45" s="2" t="s">
        <v>158</v>
      </c>
      <c r="B45" s="2" t="s">
        <v>159</v>
      </c>
      <c r="C45" s="2" t="s">
        <v>160</v>
      </c>
      <c r="D45" s="2" t="s">
        <v>15</v>
      </c>
      <c r="E45" s="2" t="s">
        <v>58</v>
      </c>
      <c r="F45" s="2" t="s">
        <v>40</v>
      </c>
      <c r="G45" s="2" t="s">
        <v>54</v>
      </c>
      <c r="H45" s="2" t="s">
        <v>75</v>
      </c>
      <c r="I45" s="2">
        <v>3</v>
      </c>
      <c r="J45" s="2">
        <v>1457</v>
      </c>
      <c r="K45" s="2">
        <v>30</v>
      </c>
      <c r="L45" s="2">
        <v>3059.7</v>
      </c>
    </row>
    <row r="46" spans="1:12" x14ac:dyDescent="0.3">
      <c r="A46" s="2" t="s">
        <v>161</v>
      </c>
      <c r="B46" s="2" t="s">
        <v>162</v>
      </c>
      <c r="C46" s="2" t="s">
        <v>163</v>
      </c>
      <c r="D46" s="2" t="s">
        <v>30</v>
      </c>
      <c r="E46" s="2" t="s">
        <v>68</v>
      </c>
      <c r="F46" s="2" t="s">
        <v>32</v>
      </c>
      <c r="G46" s="2" t="s">
        <v>62</v>
      </c>
      <c r="H46" s="2" t="s">
        <v>33</v>
      </c>
      <c r="I46" s="2">
        <v>3</v>
      </c>
      <c r="J46" s="2">
        <v>4862</v>
      </c>
      <c r="K46" s="2">
        <v>13</v>
      </c>
      <c r="L46" s="2">
        <v>12689.82</v>
      </c>
    </row>
    <row r="47" spans="1:12" x14ac:dyDescent="0.3">
      <c r="A47" s="2" t="s">
        <v>164</v>
      </c>
      <c r="B47" s="2" t="s">
        <v>165</v>
      </c>
      <c r="C47" s="2" t="s">
        <v>166</v>
      </c>
      <c r="D47" s="2" t="s">
        <v>88</v>
      </c>
      <c r="E47" s="2" t="s">
        <v>79</v>
      </c>
      <c r="F47" s="2" t="s">
        <v>32</v>
      </c>
      <c r="G47" s="2" t="s">
        <v>40</v>
      </c>
      <c r="H47" s="2" t="s">
        <v>44</v>
      </c>
      <c r="I47" s="2">
        <v>1</v>
      </c>
      <c r="J47" s="2">
        <v>991</v>
      </c>
      <c r="K47" s="2">
        <v>20</v>
      </c>
      <c r="L47" s="2">
        <v>792.8</v>
      </c>
    </row>
    <row r="48" spans="1:12" x14ac:dyDescent="0.3">
      <c r="A48" s="2" t="s">
        <v>167</v>
      </c>
      <c r="B48" s="2" t="s">
        <v>168</v>
      </c>
      <c r="C48" s="2" t="s">
        <v>169</v>
      </c>
      <c r="D48" s="2" t="s">
        <v>88</v>
      </c>
      <c r="E48" s="2" t="s">
        <v>31</v>
      </c>
      <c r="F48" s="2" t="s">
        <v>17</v>
      </c>
      <c r="G48" s="2" t="s">
        <v>40</v>
      </c>
      <c r="H48" s="2" t="s">
        <v>19</v>
      </c>
      <c r="I48" s="2">
        <v>2</v>
      </c>
      <c r="J48" s="2">
        <v>4146</v>
      </c>
      <c r="K48" s="2">
        <v>0</v>
      </c>
      <c r="L48" s="2">
        <v>8292</v>
      </c>
    </row>
    <row r="49" spans="1:12" x14ac:dyDescent="0.3">
      <c r="A49" s="2" t="s">
        <v>170</v>
      </c>
      <c r="B49" s="2" t="s">
        <v>171</v>
      </c>
      <c r="C49" s="2" t="s">
        <v>172</v>
      </c>
      <c r="D49" s="2" t="s">
        <v>15</v>
      </c>
      <c r="E49" s="2" t="s">
        <v>48</v>
      </c>
      <c r="F49" s="2" t="s">
        <v>25</v>
      </c>
      <c r="G49" s="2" t="s">
        <v>54</v>
      </c>
      <c r="H49" s="2" t="s">
        <v>44</v>
      </c>
      <c r="I49" s="2">
        <v>5</v>
      </c>
      <c r="J49" s="2">
        <v>3392</v>
      </c>
      <c r="K49" s="2">
        <v>23</v>
      </c>
      <c r="L49" s="2">
        <v>13059.2</v>
      </c>
    </row>
    <row r="50" spans="1:12" x14ac:dyDescent="0.3">
      <c r="A50" s="2" t="s">
        <v>173</v>
      </c>
      <c r="B50" s="2" t="s">
        <v>174</v>
      </c>
      <c r="C50" s="2" t="s">
        <v>175</v>
      </c>
      <c r="D50" s="2" t="s">
        <v>88</v>
      </c>
      <c r="E50" s="2" t="s">
        <v>24</v>
      </c>
      <c r="F50" s="2" t="s">
        <v>40</v>
      </c>
      <c r="G50" s="2" t="s">
        <v>54</v>
      </c>
      <c r="H50" s="2" t="s">
        <v>33</v>
      </c>
      <c r="I50" s="2">
        <v>3</v>
      </c>
      <c r="J50" s="2">
        <v>1535</v>
      </c>
      <c r="K50" s="2">
        <v>5</v>
      </c>
      <c r="L50" s="2">
        <v>4374.75</v>
      </c>
    </row>
    <row r="51" spans="1:12" x14ac:dyDescent="0.3">
      <c r="A51" s="2" t="s">
        <v>176</v>
      </c>
      <c r="B51" s="2" t="s">
        <v>177</v>
      </c>
      <c r="C51" s="2" t="s">
        <v>22</v>
      </c>
      <c r="D51" s="2" t="s">
        <v>88</v>
      </c>
      <c r="E51" s="2" t="s">
        <v>68</v>
      </c>
      <c r="F51" s="2" t="s">
        <v>17</v>
      </c>
      <c r="G51" s="2" t="s">
        <v>18</v>
      </c>
      <c r="H51" s="2" t="s">
        <v>19</v>
      </c>
      <c r="I51" s="2">
        <v>3</v>
      </c>
      <c r="J51" s="2">
        <v>1462</v>
      </c>
      <c r="K51" s="2">
        <v>18</v>
      </c>
      <c r="L51" s="2">
        <v>3596.52</v>
      </c>
    </row>
    <row r="52" spans="1:12" x14ac:dyDescent="0.3">
      <c r="A52" s="2" t="s">
        <v>178</v>
      </c>
      <c r="B52" s="2" t="s">
        <v>179</v>
      </c>
      <c r="C52" s="2" t="s">
        <v>180</v>
      </c>
      <c r="D52" s="2" t="s">
        <v>15</v>
      </c>
      <c r="E52" s="2" t="s">
        <v>58</v>
      </c>
      <c r="F52" s="2" t="s">
        <v>40</v>
      </c>
      <c r="G52" s="2" t="s">
        <v>26</v>
      </c>
      <c r="H52" s="2" t="s">
        <v>75</v>
      </c>
      <c r="I52" s="2">
        <v>2</v>
      </c>
      <c r="J52" s="2">
        <v>1305</v>
      </c>
      <c r="K52" s="2">
        <v>16</v>
      </c>
      <c r="L52" s="2">
        <v>2192.4</v>
      </c>
    </row>
    <row r="53" spans="1:12" x14ac:dyDescent="0.3">
      <c r="A53" s="2" t="s">
        <v>181</v>
      </c>
      <c r="B53" s="2" t="s">
        <v>182</v>
      </c>
      <c r="C53" s="2" t="s">
        <v>183</v>
      </c>
      <c r="D53" s="2" t="s">
        <v>15</v>
      </c>
      <c r="E53" s="2" t="s">
        <v>16</v>
      </c>
      <c r="F53" s="2" t="s">
        <v>49</v>
      </c>
      <c r="G53" s="2" t="s">
        <v>54</v>
      </c>
      <c r="H53" s="2" t="s">
        <v>33</v>
      </c>
      <c r="I53" s="2">
        <v>1</v>
      </c>
      <c r="J53" s="2">
        <v>3081</v>
      </c>
      <c r="K53" s="2">
        <v>25</v>
      </c>
      <c r="L53" s="2">
        <v>2310.75</v>
      </c>
    </row>
    <row r="54" spans="1:12" x14ac:dyDescent="0.3">
      <c r="A54" s="2" t="s">
        <v>184</v>
      </c>
      <c r="B54" s="2" t="s">
        <v>185</v>
      </c>
      <c r="C54" s="2" t="s">
        <v>186</v>
      </c>
      <c r="D54" s="2" t="s">
        <v>88</v>
      </c>
      <c r="E54" s="2" t="s">
        <v>58</v>
      </c>
      <c r="F54" s="2" t="s">
        <v>17</v>
      </c>
      <c r="G54" s="2" t="s">
        <v>54</v>
      </c>
      <c r="H54" s="2" t="s">
        <v>44</v>
      </c>
      <c r="I54" s="2">
        <v>5</v>
      </c>
      <c r="J54" s="2">
        <v>2041</v>
      </c>
      <c r="K54" s="2">
        <v>24</v>
      </c>
      <c r="L54" s="2">
        <v>7755.8</v>
      </c>
    </row>
    <row r="55" spans="1:12" x14ac:dyDescent="0.3">
      <c r="A55" s="2" t="s">
        <v>187</v>
      </c>
      <c r="B55" s="2" t="s">
        <v>188</v>
      </c>
      <c r="C55" s="2" t="s">
        <v>151</v>
      </c>
      <c r="D55" s="2" t="s">
        <v>30</v>
      </c>
      <c r="E55" s="2" t="s">
        <v>48</v>
      </c>
      <c r="F55" s="2" t="s">
        <v>49</v>
      </c>
      <c r="G55" s="2" t="s">
        <v>40</v>
      </c>
      <c r="H55" s="2" t="s">
        <v>75</v>
      </c>
      <c r="I55" s="2">
        <v>3</v>
      </c>
      <c r="J55" s="2">
        <v>1223</v>
      </c>
      <c r="K55" s="2">
        <v>14</v>
      </c>
      <c r="L55" s="2">
        <v>3155.34</v>
      </c>
    </row>
    <row r="56" spans="1:12" x14ac:dyDescent="0.3">
      <c r="A56" s="2" t="s">
        <v>189</v>
      </c>
      <c r="B56" s="2" t="s">
        <v>190</v>
      </c>
      <c r="C56" s="2" t="s">
        <v>191</v>
      </c>
      <c r="D56" s="2" t="s">
        <v>88</v>
      </c>
      <c r="E56" s="2" t="s">
        <v>48</v>
      </c>
      <c r="F56" s="2" t="s">
        <v>32</v>
      </c>
      <c r="G56" s="2" t="s">
        <v>40</v>
      </c>
      <c r="H56" s="2" t="s">
        <v>33</v>
      </c>
      <c r="I56" s="2">
        <v>3</v>
      </c>
      <c r="J56" s="2">
        <v>4293</v>
      </c>
      <c r="K56" s="2">
        <v>11</v>
      </c>
      <c r="L56" s="2">
        <v>11462.31</v>
      </c>
    </row>
    <row r="57" spans="1:12" x14ac:dyDescent="0.3">
      <c r="A57" s="2" t="s">
        <v>192</v>
      </c>
      <c r="B57" s="2" t="s">
        <v>193</v>
      </c>
      <c r="C57" s="2" t="s">
        <v>194</v>
      </c>
      <c r="D57" s="2" t="s">
        <v>30</v>
      </c>
      <c r="E57" s="2" t="s">
        <v>68</v>
      </c>
      <c r="F57" s="2" t="s">
        <v>40</v>
      </c>
      <c r="G57" s="2" t="s">
        <v>40</v>
      </c>
      <c r="H57" s="2" t="s">
        <v>44</v>
      </c>
      <c r="I57" s="2">
        <v>2</v>
      </c>
      <c r="J57" s="2">
        <v>213</v>
      </c>
      <c r="K57" s="2">
        <v>26</v>
      </c>
      <c r="L57" s="2">
        <v>315.24</v>
      </c>
    </row>
    <row r="58" spans="1:12" x14ac:dyDescent="0.3">
      <c r="A58" s="2" t="s">
        <v>195</v>
      </c>
      <c r="B58" s="2" t="s">
        <v>196</v>
      </c>
      <c r="C58" s="2" t="s">
        <v>197</v>
      </c>
      <c r="D58" s="2" t="s">
        <v>30</v>
      </c>
      <c r="E58" s="2" t="s">
        <v>48</v>
      </c>
      <c r="F58" s="2" t="s">
        <v>32</v>
      </c>
      <c r="G58" s="2" t="s">
        <v>54</v>
      </c>
      <c r="H58" s="2" t="s">
        <v>33</v>
      </c>
      <c r="I58" s="2">
        <v>4</v>
      </c>
      <c r="J58" s="2">
        <v>1463</v>
      </c>
      <c r="K58" s="2">
        <v>26</v>
      </c>
      <c r="L58" s="2">
        <v>4330.4799999999996</v>
      </c>
    </row>
    <row r="59" spans="1:12" x14ac:dyDescent="0.3">
      <c r="A59" s="2" t="s">
        <v>198</v>
      </c>
      <c r="B59" s="2" t="s">
        <v>174</v>
      </c>
      <c r="C59" s="2" t="s">
        <v>71</v>
      </c>
      <c r="D59" s="2" t="s">
        <v>30</v>
      </c>
      <c r="E59" s="2" t="s">
        <v>79</v>
      </c>
      <c r="F59" s="2" t="s">
        <v>17</v>
      </c>
      <c r="G59" s="2" t="s">
        <v>40</v>
      </c>
      <c r="H59" s="2" t="s">
        <v>33</v>
      </c>
      <c r="I59" s="2">
        <v>2</v>
      </c>
      <c r="J59" s="2">
        <v>4120</v>
      </c>
      <c r="K59" s="2">
        <v>22</v>
      </c>
      <c r="L59" s="2">
        <v>6427.2</v>
      </c>
    </row>
    <row r="60" spans="1:12" x14ac:dyDescent="0.3">
      <c r="A60" s="2" t="s">
        <v>199</v>
      </c>
      <c r="B60" s="2" t="s">
        <v>171</v>
      </c>
      <c r="C60" s="2" t="s">
        <v>200</v>
      </c>
      <c r="D60" s="2" t="s">
        <v>23</v>
      </c>
      <c r="E60" s="2" t="s">
        <v>48</v>
      </c>
      <c r="F60" s="2" t="s">
        <v>17</v>
      </c>
      <c r="G60" s="2" t="s">
        <v>54</v>
      </c>
      <c r="H60" s="2" t="s">
        <v>75</v>
      </c>
      <c r="I60" s="2">
        <v>4</v>
      </c>
      <c r="J60" s="2">
        <v>4126</v>
      </c>
      <c r="K60" s="2">
        <v>4</v>
      </c>
      <c r="L60" s="2">
        <v>15843.84</v>
      </c>
    </row>
    <row r="61" spans="1:12" x14ac:dyDescent="0.3">
      <c r="A61" s="2" t="s">
        <v>201</v>
      </c>
      <c r="B61" s="2" t="s">
        <v>202</v>
      </c>
      <c r="C61" s="2" t="s">
        <v>203</v>
      </c>
      <c r="D61" s="2" t="s">
        <v>88</v>
      </c>
      <c r="E61" s="2" t="s">
        <v>48</v>
      </c>
      <c r="F61" s="2" t="s">
        <v>49</v>
      </c>
      <c r="G61" s="2" t="s">
        <v>26</v>
      </c>
      <c r="H61" s="2" t="s">
        <v>75</v>
      </c>
      <c r="I61" s="2">
        <v>2</v>
      </c>
      <c r="J61" s="2">
        <v>2421</v>
      </c>
      <c r="K61" s="2">
        <v>6</v>
      </c>
      <c r="L61" s="2">
        <v>4551.4799999999996</v>
      </c>
    </row>
    <row r="62" spans="1:12" x14ac:dyDescent="0.3">
      <c r="A62" s="2" t="s">
        <v>204</v>
      </c>
      <c r="B62" s="2" t="s">
        <v>205</v>
      </c>
      <c r="C62" s="2" t="s">
        <v>206</v>
      </c>
      <c r="D62" s="2" t="s">
        <v>30</v>
      </c>
      <c r="E62" s="2" t="s">
        <v>16</v>
      </c>
      <c r="F62" s="2" t="s">
        <v>17</v>
      </c>
      <c r="G62" s="2" t="s">
        <v>62</v>
      </c>
      <c r="H62" s="2" t="s">
        <v>75</v>
      </c>
      <c r="I62" s="2">
        <v>4</v>
      </c>
      <c r="J62" s="2">
        <v>1781</v>
      </c>
      <c r="K62" s="2">
        <v>29</v>
      </c>
      <c r="L62" s="2">
        <v>5058.04</v>
      </c>
    </row>
    <row r="63" spans="1:12" x14ac:dyDescent="0.3">
      <c r="A63" s="2" t="s">
        <v>207</v>
      </c>
      <c r="B63" s="2" t="s">
        <v>208</v>
      </c>
      <c r="C63" s="2" t="s">
        <v>157</v>
      </c>
      <c r="D63" s="2" t="s">
        <v>30</v>
      </c>
      <c r="E63" s="2" t="s">
        <v>24</v>
      </c>
      <c r="F63" s="2" t="s">
        <v>32</v>
      </c>
      <c r="G63" s="2" t="s">
        <v>18</v>
      </c>
      <c r="H63" s="2" t="s">
        <v>75</v>
      </c>
      <c r="I63" s="2">
        <v>1</v>
      </c>
      <c r="J63" s="2">
        <v>4242</v>
      </c>
      <c r="K63" s="2">
        <v>21</v>
      </c>
      <c r="L63" s="2">
        <v>3351.18</v>
      </c>
    </row>
    <row r="64" spans="1:12" x14ac:dyDescent="0.3">
      <c r="A64" s="2" t="s">
        <v>209</v>
      </c>
      <c r="B64" s="2" t="s">
        <v>210</v>
      </c>
      <c r="C64" s="2" t="s">
        <v>211</v>
      </c>
      <c r="D64" s="2" t="s">
        <v>23</v>
      </c>
      <c r="E64" s="2" t="s">
        <v>16</v>
      </c>
      <c r="F64" s="2" t="s">
        <v>17</v>
      </c>
      <c r="G64" s="2" t="s">
        <v>26</v>
      </c>
      <c r="H64" s="2" t="s">
        <v>75</v>
      </c>
      <c r="I64" s="2">
        <v>5</v>
      </c>
      <c r="J64" s="2">
        <v>1163</v>
      </c>
      <c r="K64" s="2">
        <v>11</v>
      </c>
      <c r="L64" s="2">
        <v>5175.3500000000004</v>
      </c>
    </row>
    <row r="65" spans="1:12" x14ac:dyDescent="0.3">
      <c r="A65" s="2" t="s">
        <v>212</v>
      </c>
      <c r="B65" s="2" t="s">
        <v>213</v>
      </c>
      <c r="C65" s="2" t="s">
        <v>214</v>
      </c>
      <c r="D65" s="2" t="s">
        <v>53</v>
      </c>
      <c r="E65" s="2" t="s">
        <v>68</v>
      </c>
      <c r="F65" s="2" t="s">
        <v>49</v>
      </c>
      <c r="G65" s="2" t="s">
        <v>40</v>
      </c>
      <c r="H65" s="2" t="s">
        <v>19</v>
      </c>
      <c r="I65" s="2">
        <v>2</v>
      </c>
      <c r="J65" s="2">
        <v>3852</v>
      </c>
      <c r="K65" s="2">
        <v>27</v>
      </c>
      <c r="L65" s="2">
        <v>5623.92</v>
      </c>
    </row>
    <row r="66" spans="1:12" x14ac:dyDescent="0.3">
      <c r="A66" s="2" t="s">
        <v>215</v>
      </c>
      <c r="B66" s="2" t="s">
        <v>110</v>
      </c>
      <c r="C66" s="2" t="s">
        <v>216</v>
      </c>
      <c r="D66" s="2" t="s">
        <v>88</v>
      </c>
      <c r="E66" s="2" t="s">
        <v>24</v>
      </c>
      <c r="F66" s="2" t="s">
        <v>25</v>
      </c>
      <c r="G66" s="2" t="s">
        <v>62</v>
      </c>
      <c r="H66" s="2" t="s">
        <v>44</v>
      </c>
      <c r="I66" s="2">
        <v>4</v>
      </c>
      <c r="J66" s="2">
        <v>2910</v>
      </c>
      <c r="K66" s="2">
        <v>23</v>
      </c>
      <c r="L66" s="2">
        <v>8962.7999999999993</v>
      </c>
    </row>
    <row r="67" spans="1:12" x14ac:dyDescent="0.3">
      <c r="A67" s="2" t="s">
        <v>217</v>
      </c>
      <c r="B67" s="2" t="s">
        <v>218</v>
      </c>
      <c r="C67" s="2" t="s">
        <v>219</v>
      </c>
      <c r="D67" s="2" t="s">
        <v>15</v>
      </c>
      <c r="E67" s="2" t="s">
        <v>31</v>
      </c>
      <c r="F67" s="2" t="s">
        <v>49</v>
      </c>
      <c r="G67" s="2" t="s">
        <v>40</v>
      </c>
      <c r="H67" s="2" t="s">
        <v>19</v>
      </c>
      <c r="I67" s="2">
        <v>5</v>
      </c>
      <c r="J67" s="2">
        <v>4552</v>
      </c>
      <c r="K67" s="2">
        <v>2</v>
      </c>
      <c r="L67" s="2">
        <v>22304.799999999999</v>
      </c>
    </row>
    <row r="68" spans="1:12" x14ac:dyDescent="0.3">
      <c r="A68" s="2" t="s">
        <v>220</v>
      </c>
      <c r="B68" s="2" t="s">
        <v>221</v>
      </c>
      <c r="C68" s="2" t="s">
        <v>222</v>
      </c>
      <c r="D68" s="2" t="s">
        <v>23</v>
      </c>
      <c r="E68" s="2" t="s">
        <v>58</v>
      </c>
      <c r="F68" s="2" t="s">
        <v>49</v>
      </c>
      <c r="G68" s="2" t="s">
        <v>54</v>
      </c>
      <c r="H68" s="2" t="s">
        <v>33</v>
      </c>
      <c r="I68" s="2">
        <v>5</v>
      </c>
      <c r="J68" s="2">
        <v>1666</v>
      </c>
      <c r="K68" s="2">
        <v>28</v>
      </c>
      <c r="L68" s="2">
        <v>5997.6</v>
      </c>
    </row>
    <row r="69" spans="1:12" x14ac:dyDescent="0.3">
      <c r="A69" s="2" t="s">
        <v>223</v>
      </c>
      <c r="B69" s="2" t="s">
        <v>224</v>
      </c>
      <c r="C69" s="2" t="s">
        <v>225</v>
      </c>
      <c r="D69" s="2" t="s">
        <v>23</v>
      </c>
      <c r="E69" s="2" t="s">
        <v>16</v>
      </c>
      <c r="F69" s="2" t="s">
        <v>49</v>
      </c>
      <c r="G69" s="2" t="s">
        <v>26</v>
      </c>
      <c r="H69" s="2" t="s">
        <v>19</v>
      </c>
      <c r="I69" s="2">
        <v>4</v>
      </c>
      <c r="J69" s="2">
        <v>1189</v>
      </c>
      <c r="K69" s="2">
        <v>3</v>
      </c>
      <c r="L69" s="2">
        <v>4613.32</v>
      </c>
    </row>
    <row r="70" spans="1:12" x14ac:dyDescent="0.3">
      <c r="A70" s="2" t="s">
        <v>226</v>
      </c>
      <c r="B70" s="2" t="s">
        <v>227</v>
      </c>
      <c r="C70" s="2" t="s">
        <v>228</v>
      </c>
      <c r="D70" s="2" t="s">
        <v>15</v>
      </c>
      <c r="E70" s="2" t="s">
        <v>58</v>
      </c>
      <c r="F70" s="2" t="s">
        <v>25</v>
      </c>
      <c r="G70" s="2" t="s">
        <v>54</v>
      </c>
      <c r="H70" s="2" t="s">
        <v>44</v>
      </c>
      <c r="I70" s="2">
        <v>5</v>
      </c>
      <c r="J70" s="2">
        <v>443</v>
      </c>
      <c r="K70" s="2">
        <v>0</v>
      </c>
      <c r="L70" s="2">
        <v>2215</v>
      </c>
    </row>
    <row r="71" spans="1:12" x14ac:dyDescent="0.3">
      <c r="A71" s="2" t="s">
        <v>229</v>
      </c>
      <c r="B71" s="2" t="s">
        <v>208</v>
      </c>
      <c r="C71" s="2" t="s">
        <v>230</v>
      </c>
      <c r="D71" s="2" t="s">
        <v>15</v>
      </c>
      <c r="E71" s="2" t="s">
        <v>48</v>
      </c>
      <c r="F71" s="2" t="s">
        <v>49</v>
      </c>
      <c r="G71" s="2" t="s">
        <v>62</v>
      </c>
      <c r="H71" s="2" t="s">
        <v>33</v>
      </c>
      <c r="I71" s="2">
        <v>3</v>
      </c>
      <c r="J71" s="2">
        <v>4727</v>
      </c>
      <c r="K71" s="2">
        <v>14</v>
      </c>
      <c r="L71" s="2">
        <v>12195.66</v>
      </c>
    </row>
    <row r="72" spans="1:12" x14ac:dyDescent="0.3">
      <c r="A72" s="2" t="s">
        <v>231</v>
      </c>
      <c r="B72" s="2" t="s">
        <v>232</v>
      </c>
      <c r="C72" s="2" t="s">
        <v>127</v>
      </c>
      <c r="D72" s="2" t="s">
        <v>23</v>
      </c>
      <c r="E72" s="2" t="s">
        <v>58</v>
      </c>
      <c r="F72" s="2" t="s">
        <v>32</v>
      </c>
      <c r="G72" s="2" t="s">
        <v>26</v>
      </c>
      <c r="H72" s="2" t="s">
        <v>33</v>
      </c>
      <c r="I72" s="2">
        <v>5</v>
      </c>
      <c r="J72" s="2">
        <v>1825</v>
      </c>
      <c r="K72" s="2">
        <v>11</v>
      </c>
      <c r="L72" s="2">
        <v>8121.25</v>
      </c>
    </row>
    <row r="73" spans="1:12" x14ac:dyDescent="0.3">
      <c r="A73" s="2" t="s">
        <v>233</v>
      </c>
      <c r="B73" s="2" t="s">
        <v>234</v>
      </c>
      <c r="C73" s="2" t="s">
        <v>235</v>
      </c>
      <c r="D73" s="2" t="s">
        <v>88</v>
      </c>
      <c r="E73" s="2" t="s">
        <v>79</v>
      </c>
      <c r="F73" s="2" t="s">
        <v>32</v>
      </c>
      <c r="G73" s="2" t="s">
        <v>62</v>
      </c>
      <c r="H73" s="2" t="s">
        <v>19</v>
      </c>
      <c r="I73" s="2">
        <v>3</v>
      </c>
      <c r="J73" s="2">
        <v>1856</v>
      </c>
      <c r="K73" s="2">
        <v>20</v>
      </c>
      <c r="L73" s="2">
        <v>4454.3999999999996</v>
      </c>
    </row>
    <row r="74" spans="1:12" x14ac:dyDescent="0.3">
      <c r="A74" s="2" t="s">
        <v>236</v>
      </c>
      <c r="B74" s="2" t="s">
        <v>237</v>
      </c>
      <c r="C74" s="2" t="s">
        <v>238</v>
      </c>
      <c r="D74" s="2" t="s">
        <v>53</v>
      </c>
      <c r="E74" s="2" t="s">
        <v>79</v>
      </c>
      <c r="F74" s="2" t="s">
        <v>32</v>
      </c>
      <c r="G74" s="2" t="s">
        <v>26</v>
      </c>
      <c r="H74" s="2" t="s">
        <v>75</v>
      </c>
      <c r="I74" s="2">
        <v>4</v>
      </c>
      <c r="J74" s="2">
        <v>2885</v>
      </c>
      <c r="K74" s="2">
        <v>14</v>
      </c>
      <c r="L74" s="2">
        <v>9924.4</v>
      </c>
    </row>
    <row r="75" spans="1:12" x14ac:dyDescent="0.3">
      <c r="A75" s="2" t="s">
        <v>239</v>
      </c>
      <c r="B75" s="2" t="s">
        <v>240</v>
      </c>
      <c r="C75" s="2" t="s">
        <v>241</v>
      </c>
      <c r="D75" s="2" t="s">
        <v>53</v>
      </c>
      <c r="E75" s="2" t="s">
        <v>16</v>
      </c>
      <c r="F75" s="2" t="s">
        <v>17</v>
      </c>
      <c r="G75" s="2" t="s">
        <v>54</v>
      </c>
      <c r="H75" s="2" t="s">
        <v>75</v>
      </c>
      <c r="I75" s="2">
        <v>1</v>
      </c>
      <c r="J75" s="2">
        <v>4330</v>
      </c>
      <c r="K75" s="2">
        <v>15</v>
      </c>
      <c r="L75" s="2">
        <v>3680.5</v>
      </c>
    </row>
    <row r="76" spans="1:12" x14ac:dyDescent="0.3">
      <c r="A76" s="2" t="s">
        <v>242</v>
      </c>
      <c r="B76" s="2" t="s">
        <v>243</v>
      </c>
      <c r="C76" s="2" t="s">
        <v>244</v>
      </c>
      <c r="D76" s="2" t="s">
        <v>53</v>
      </c>
      <c r="E76" s="2" t="s">
        <v>31</v>
      </c>
      <c r="F76" s="2" t="s">
        <v>17</v>
      </c>
      <c r="G76" s="2" t="s">
        <v>26</v>
      </c>
      <c r="H76" s="2" t="s">
        <v>75</v>
      </c>
      <c r="I76" s="2">
        <v>3</v>
      </c>
      <c r="J76" s="2">
        <v>2740</v>
      </c>
      <c r="K76" s="2">
        <v>6</v>
      </c>
      <c r="L76" s="2">
        <v>7726.8</v>
      </c>
    </row>
    <row r="77" spans="1:12" x14ac:dyDescent="0.3">
      <c r="A77" s="2" t="s">
        <v>245</v>
      </c>
      <c r="B77" s="2" t="s">
        <v>246</v>
      </c>
      <c r="C77" s="2" t="s">
        <v>247</v>
      </c>
      <c r="D77" s="2" t="s">
        <v>15</v>
      </c>
      <c r="E77" s="2" t="s">
        <v>48</v>
      </c>
      <c r="F77" s="2" t="s">
        <v>17</v>
      </c>
      <c r="G77" s="2" t="s">
        <v>26</v>
      </c>
      <c r="H77" s="2" t="s">
        <v>75</v>
      </c>
      <c r="I77" s="2">
        <v>2</v>
      </c>
      <c r="J77" s="2">
        <v>323</v>
      </c>
      <c r="K77" s="2">
        <v>26</v>
      </c>
      <c r="L77" s="2">
        <v>478.04</v>
      </c>
    </row>
    <row r="78" spans="1:12" x14ac:dyDescent="0.3">
      <c r="A78" s="2" t="s">
        <v>248</v>
      </c>
      <c r="B78" s="2" t="s">
        <v>249</v>
      </c>
      <c r="C78" s="2" t="s">
        <v>250</v>
      </c>
      <c r="D78" s="2" t="s">
        <v>15</v>
      </c>
      <c r="E78" s="2" t="s">
        <v>58</v>
      </c>
      <c r="F78" s="2" t="s">
        <v>17</v>
      </c>
      <c r="G78" s="2" t="s">
        <v>26</v>
      </c>
      <c r="H78" s="2" t="s">
        <v>75</v>
      </c>
      <c r="I78" s="2">
        <v>3</v>
      </c>
      <c r="J78" s="2">
        <v>3422</v>
      </c>
      <c r="K78" s="2">
        <v>14</v>
      </c>
      <c r="L78" s="2">
        <v>8828.76</v>
      </c>
    </row>
    <row r="79" spans="1:12" x14ac:dyDescent="0.3">
      <c r="A79" s="2" t="s">
        <v>251</v>
      </c>
      <c r="B79" s="2" t="s">
        <v>252</v>
      </c>
      <c r="C79" s="2" t="s">
        <v>253</v>
      </c>
      <c r="D79" s="2" t="s">
        <v>15</v>
      </c>
      <c r="E79" s="2" t="s">
        <v>68</v>
      </c>
      <c r="F79" s="2" t="s">
        <v>25</v>
      </c>
      <c r="G79" s="2" t="s">
        <v>18</v>
      </c>
      <c r="H79" s="2" t="s">
        <v>33</v>
      </c>
      <c r="I79" s="2">
        <v>5</v>
      </c>
      <c r="J79" s="2">
        <v>1698</v>
      </c>
      <c r="K79" s="2">
        <v>27</v>
      </c>
      <c r="L79" s="2">
        <v>6197.7</v>
      </c>
    </row>
    <row r="80" spans="1:12" x14ac:dyDescent="0.3">
      <c r="A80" s="2" t="s">
        <v>254</v>
      </c>
      <c r="B80" s="2" t="s">
        <v>255</v>
      </c>
      <c r="C80" s="2" t="s">
        <v>145</v>
      </c>
      <c r="D80" s="2" t="s">
        <v>15</v>
      </c>
      <c r="E80" s="2" t="s">
        <v>48</v>
      </c>
      <c r="F80" s="2" t="s">
        <v>17</v>
      </c>
      <c r="G80" s="2" t="s">
        <v>54</v>
      </c>
      <c r="H80" s="2" t="s">
        <v>33</v>
      </c>
      <c r="I80" s="2">
        <v>5</v>
      </c>
      <c r="J80" s="2">
        <v>4573</v>
      </c>
      <c r="K80" s="2">
        <v>11</v>
      </c>
      <c r="L80" s="2">
        <v>20349.849999999999</v>
      </c>
    </row>
    <row r="81" spans="1:12" x14ac:dyDescent="0.3">
      <c r="A81" s="2" t="s">
        <v>256</v>
      </c>
      <c r="B81" s="2" t="s">
        <v>257</v>
      </c>
      <c r="C81" s="2" t="s">
        <v>258</v>
      </c>
      <c r="D81" s="2" t="s">
        <v>15</v>
      </c>
      <c r="E81" s="2" t="s">
        <v>79</v>
      </c>
      <c r="F81" s="2" t="s">
        <v>49</v>
      </c>
      <c r="G81" s="2" t="s">
        <v>40</v>
      </c>
      <c r="H81" s="2" t="s">
        <v>19</v>
      </c>
      <c r="I81" s="2">
        <v>2</v>
      </c>
      <c r="J81" s="2">
        <v>1608</v>
      </c>
      <c r="K81" s="2">
        <v>6</v>
      </c>
      <c r="L81" s="2">
        <v>3023.04</v>
      </c>
    </row>
    <row r="82" spans="1:12" x14ac:dyDescent="0.3">
      <c r="A82" s="2" t="s">
        <v>259</v>
      </c>
      <c r="B82" s="2" t="s">
        <v>260</v>
      </c>
      <c r="C82" s="2" t="s">
        <v>261</v>
      </c>
      <c r="D82" s="2" t="s">
        <v>23</v>
      </c>
      <c r="E82" s="2" t="s">
        <v>79</v>
      </c>
      <c r="F82" s="2" t="s">
        <v>32</v>
      </c>
      <c r="G82" s="2" t="s">
        <v>26</v>
      </c>
      <c r="H82" s="2" t="s">
        <v>75</v>
      </c>
      <c r="I82" s="2">
        <v>3</v>
      </c>
      <c r="J82" s="2">
        <v>3336</v>
      </c>
      <c r="K82" s="2">
        <v>9</v>
      </c>
      <c r="L82" s="2">
        <v>9107.2800000000007</v>
      </c>
    </row>
    <row r="83" spans="1:12" x14ac:dyDescent="0.3">
      <c r="A83" s="2" t="s">
        <v>262</v>
      </c>
      <c r="B83" s="2" t="s">
        <v>263</v>
      </c>
      <c r="C83" s="2" t="s">
        <v>264</v>
      </c>
      <c r="D83" s="2" t="s">
        <v>88</v>
      </c>
      <c r="E83" s="2" t="s">
        <v>16</v>
      </c>
      <c r="F83" s="2" t="s">
        <v>25</v>
      </c>
      <c r="G83" s="2" t="s">
        <v>54</v>
      </c>
      <c r="H83" s="2" t="s">
        <v>19</v>
      </c>
      <c r="I83" s="2">
        <v>2</v>
      </c>
      <c r="J83" s="2">
        <v>4907</v>
      </c>
      <c r="K83" s="2">
        <v>25</v>
      </c>
      <c r="L83" s="2">
        <v>7360.5</v>
      </c>
    </row>
    <row r="84" spans="1:12" x14ac:dyDescent="0.3">
      <c r="A84" s="2" t="s">
        <v>265</v>
      </c>
      <c r="B84" s="2" t="s">
        <v>266</v>
      </c>
      <c r="C84" s="2" t="s">
        <v>267</v>
      </c>
      <c r="D84" s="2" t="s">
        <v>23</v>
      </c>
      <c r="E84" s="2" t="s">
        <v>58</v>
      </c>
      <c r="F84" s="2" t="s">
        <v>40</v>
      </c>
      <c r="G84" s="2" t="s">
        <v>40</v>
      </c>
      <c r="H84" s="2" t="s">
        <v>33</v>
      </c>
      <c r="I84" s="2">
        <v>3</v>
      </c>
      <c r="J84" s="2">
        <v>4240</v>
      </c>
      <c r="K84" s="2">
        <v>22</v>
      </c>
      <c r="L84" s="2">
        <v>9921.6</v>
      </c>
    </row>
    <row r="85" spans="1:12" x14ac:dyDescent="0.3">
      <c r="A85" s="2" t="s">
        <v>268</v>
      </c>
      <c r="B85" s="2" t="s">
        <v>269</v>
      </c>
      <c r="C85" s="2" t="s">
        <v>270</v>
      </c>
      <c r="D85" s="2" t="s">
        <v>30</v>
      </c>
      <c r="E85" s="2" t="s">
        <v>31</v>
      </c>
      <c r="F85" s="2" t="s">
        <v>32</v>
      </c>
      <c r="G85" s="2" t="s">
        <v>26</v>
      </c>
      <c r="H85" s="2" t="s">
        <v>19</v>
      </c>
      <c r="I85" s="2">
        <v>4</v>
      </c>
      <c r="J85" s="2">
        <v>987</v>
      </c>
      <c r="K85" s="2">
        <v>21</v>
      </c>
      <c r="L85" s="2">
        <v>3118.92</v>
      </c>
    </row>
    <row r="86" spans="1:12" x14ac:dyDescent="0.3">
      <c r="A86" s="2" t="s">
        <v>271</v>
      </c>
      <c r="B86" s="2" t="s">
        <v>272</v>
      </c>
      <c r="C86" s="2" t="s">
        <v>273</v>
      </c>
      <c r="D86" s="2" t="s">
        <v>88</v>
      </c>
      <c r="E86" s="2" t="s">
        <v>68</v>
      </c>
      <c r="F86" s="2" t="s">
        <v>25</v>
      </c>
      <c r="G86" s="2" t="s">
        <v>26</v>
      </c>
      <c r="H86" s="2" t="s">
        <v>44</v>
      </c>
      <c r="I86" s="2">
        <v>1</v>
      </c>
      <c r="J86" s="2">
        <v>2330</v>
      </c>
      <c r="K86" s="2">
        <v>0</v>
      </c>
      <c r="L86" s="2">
        <v>2330</v>
      </c>
    </row>
    <row r="87" spans="1:12" x14ac:dyDescent="0.3">
      <c r="A87" s="2" t="s">
        <v>274</v>
      </c>
      <c r="B87" s="2" t="s">
        <v>275</v>
      </c>
      <c r="C87" s="2" t="s">
        <v>276</v>
      </c>
      <c r="D87" s="2" t="s">
        <v>88</v>
      </c>
      <c r="E87" s="2" t="s">
        <v>48</v>
      </c>
      <c r="F87" s="2" t="s">
        <v>25</v>
      </c>
      <c r="G87" s="2" t="s">
        <v>62</v>
      </c>
      <c r="H87" s="2" t="s">
        <v>33</v>
      </c>
      <c r="I87" s="2">
        <v>2</v>
      </c>
      <c r="J87" s="2">
        <v>4294</v>
      </c>
      <c r="K87" s="2">
        <v>19</v>
      </c>
      <c r="L87" s="2">
        <v>6956.28</v>
      </c>
    </row>
    <row r="88" spans="1:12" x14ac:dyDescent="0.3">
      <c r="A88" s="2" t="s">
        <v>277</v>
      </c>
      <c r="B88" s="2" t="s">
        <v>278</v>
      </c>
      <c r="C88" s="2" t="s">
        <v>36</v>
      </c>
      <c r="D88" s="2" t="s">
        <v>88</v>
      </c>
      <c r="E88" s="2" t="s">
        <v>48</v>
      </c>
      <c r="F88" s="2" t="s">
        <v>40</v>
      </c>
      <c r="G88" s="2" t="s">
        <v>26</v>
      </c>
      <c r="H88" s="2" t="s">
        <v>75</v>
      </c>
      <c r="I88" s="2">
        <v>1</v>
      </c>
      <c r="J88" s="2">
        <v>4500</v>
      </c>
      <c r="K88" s="2">
        <v>9</v>
      </c>
      <c r="L88" s="2">
        <v>4095</v>
      </c>
    </row>
    <row r="89" spans="1:12" x14ac:dyDescent="0.3">
      <c r="A89" s="2" t="s">
        <v>279</v>
      </c>
      <c r="B89" s="2" t="s">
        <v>280</v>
      </c>
      <c r="C89" s="2" t="s">
        <v>281</v>
      </c>
      <c r="D89" s="2" t="s">
        <v>15</v>
      </c>
      <c r="E89" s="2" t="s">
        <v>31</v>
      </c>
      <c r="F89" s="2" t="s">
        <v>40</v>
      </c>
      <c r="G89" s="2" t="s">
        <v>40</v>
      </c>
      <c r="H89" s="2" t="s">
        <v>75</v>
      </c>
      <c r="I89" s="2">
        <v>3</v>
      </c>
      <c r="J89" s="2">
        <v>533</v>
      </c>
      <c r="K89" s="2">
        <v>6</v>
      </c>
      <c r="L89" s="2">
        <v>1503.06</v>
      </c>
    </row>
    <row r="90" spans="1:12" x14ac:dyDescent="0.3">
      <c r="A90" s="2" t="s">
        <v>282</v>
      </c>
      <c r="B90" s="2" t="s">
        <v>283</v>
      </c>
      <c r="C90" s="2" t="s">
        <v>284</v>
      </c>
      <c r="D90" s="2" t="s">
        <v>23</v>
      </c>
      <c r="E90" s="2" t="s">
        <v>79</v>
      </c>
      <c r="F90" s="2" t="s">
        <v>17</v>
      </c>
      <c r="G90" s="2" t="s">
        <v>26</v>
      </c>
      <c r="H90" s="2" t="s">
        <v>19</v>
      </c>
      <c r="I90" s="2">
        <v>5</v>
      </c>
      <c r="J90" s="2">
        <v>2085</v>
      </c>
      <c r="K90" s="2">
        <v>6</v>
      </c>
      <c r="L90" s="2">
        <v>9799.5</v>
      </c>
    </row>
    <row r="91" spans="1:12" x14ac:dyDescent="0.3">
      <c r="A91" s="2" t="s">
        <v>285</v>
      </c>
      <c r="B91" s="2" t="s">
        <v>90</v>
      </c>
      <c r="C91" s="2" t="s">
        <v>238</v>
      </c>
      <c r="D91" s="2" t="s">
        <v>23</v>
      </c>
      <c r="E91" s="2" t="s">
        <v>79</v>
      </c>
      <c r="F91" s="2" t="s">
        <v>32</v>
      </c>
      <c r="G91" s="2" t="s">
        <v>40</v>
      </c>
      <c r="H91" s="2" t="s">
        <v>19</v>
      </c>
      <c r="I91" s="2">
        <v>2</v>
      </c>
      <c r="J91" s="2">
        <v>3174</v>
      </c>
      <c r="K91" s="2">
        <v>6</v>
      </c>
      <c r="L91" s="2">
        <v>5967.12</v>
      </c>
    </row>
    <row r="92" spans="1:12" x14ac:dyDescent="0.3">
      <c r="A92" s="2" t="s">
        <v>286</v>
      </c>
      <c r="B92" s="2" t="s">
        <v>287</v>
      </c>
      <c r="C92" s="2" t="s">
        <v>288</v>
      </c>
      <c r="D92" s="2" t="s">
        <v>53</v>
      </c>
      <c r="E92" s="2" t="s">
        <v>68</v>
      </c>
      <c r="F92" s="2" t="s">
        <v>25</v>
      </c>
      <c r="G92" s="2" t="s">
        <v>62</v>
      </c>
      <c r="H92" s="2" t="s">
        <v>44</v>
      </c>
      <c r="I92" s="2">
        <v>3</v>
      </c>
      <c r="J92" s="2">
        <v>908</v>
      </c>
      <c r="K92" s="2">
        <v>8</v>
      </c>
      <c r="L92" s="2">
        <v>2506.08</v>
      </c>
    </row>
    <row r="93" spans="1:12" x14ac:dyDescent="0.3">
      <c r="A93" s="2" t="s">
        <v>289</v>
      </c>
      <c r="B93" s="2" t="s">
        <v>290</v>
      </c>
      <c r="C93" s="2" t="s">
        <v>291</v>
      </c>
      <c r="D93" s="2" t="s">
        <v>53</v>
      </c>
      <c r="E93" s="2" t="s">
        <v>48</v>
      </c>
      <c r="F93" s="2" t="s">
        <v>32</v>
      </c>
      <c r="G93" s="2" t="s">
        <v>18</v>
      </c>
      <c r="H93" s="2" t="s">
        <v>44</v>
      </c>
      <c r="I93" s="2">
        <v>1</v>
      </c>
      <c r="J93" s="2">
        <v>2028</v>
      </c>
      <c r="K93" s="2">
        <v>26</v>
      </c>
      <c r="L93" s="2">
        <v>1500.72</v>
      </c>
    </row>
    <row r="94" spans="1:12" x14ac:dyDescent="0.3">
      <c r="A94" s="2" t="s">
        <v>292</v>
      </c>
      <c r="B94" s="2" t="s">
        <v>293</v>
      </c>
      <c r="C94" s="2" t="s">
        <v>94</v>
      </c>
      <c r="D94" s="2" t="s">
        <v>53</v>
      </c>
      <c r="E94" s="2" t="s">
        <v>31</v>
      </c>
      <c r="F94" s="2" t="s">
        <v>40</v>
      </c>
      <c r="G94" s="2" t="s">
        <v>62</v>
      </c>
      <c r="H94" s="2" t="s">
        <v>44</v>
      </c>
      <c r="I94" s="2">
        <v>3</v>
      </c>
      <c r="J94" s="2">
        <v>4337</v>
      </c>
      <c r="K94" s="2">
        <v>27</v>
      </c>
      <c r="L94" s="2">
        <v>9498.0300000000007</v>
      </c>
    </row>
    <row r="95" spans="1:12" x14ac:dyDescent="0.3">
      <c r="A95" s="2" t="s">
        <v>294</v>
      </c>
      <c r="B95" s="2" t="s">
        <v>295</v>
      </c>
      <c r="C95" s="2" t="s">
        <v>296</v>
      </c>
      <c r="D95" s="2" t="s">
        <v>30</v>
      </c>
      <c r="E95" s="2" t="s">
        <v>68</v>
      </c>
      <c r="F95" s="2" t="s">
        <v>49</v>
      </c>
      <c r="G95" s="2" t="s">
        <v>40</v>
      </c>
      <c r="H95" s="2" t="s">
        <v>33</v>
      </c>
      <c r="I95" s="2">
        <v>2</v>
      </c>
      <c r="J95" s="2">
        <v>4515</v>
      </c>
      <c r="K95" s="2">
        <v>6</v>
      </c>
      <c r="L95" s="2">
        <v>8488.2000000000007</v>
      </c>
    </row>
    <row r="96" spans="1:12" x14ac:dyDescent="0.3">
      <c r="A96" s="2" t="s">
        <v>297</v>
      </c>
      <c r="B96" s="2" t="s">
        <v>83</v>
      </c>
      <c r="C96" s="2" t="s">
        <v>298</v>
      </c>
      <c r="D96" s="2" t="s">
        <v>53</v>
      </c>
      <c r="E96" s="2" t="s">
        <v>79</v>
      </c>
      <c r="F96" s="2" t="s">
        <v>40</v>
      </c>
      <c r="G96" s="2" t="s">
        <v>54</v>
      </c>
      <c r="H96" s="2" t="s">
        <v>19</v>
      </c>
      <c r="I96" s="2">
        <v>3</v>
      </c>
      <c r="J96" s="2">
        <v>857</v>
      </c>
      <c r="K96" s="2">
        <v>23</v>
      </c>
      <c r="L96" s="2">
        <v>1979.67</v>
      </c>
    </row>
    <row r="97" spans="1:12" x14ac:dyDescent="0.3">
      <c r="A97" s="2" t="s">
        <v>299</v>
      </c>
      <c r="B97" s="2" t="s">
        <v>300</v>
      </c>
      <c r="C97" s="2" t="s">
        <v>258</v>
      </c>
      <c r="D97" s="2" t="s">
        <v>23</v>
      </c>
      <c r="E97" s="2" t="s">
        <v>31</v>
      </c>
      <c r="F97" s="2" t="s">
        <v>40</v>
      </c>
      <c r="G97" s="2" t="s">
        <v>54</v>
      </c>
      <c r="H97" s="2" t="s">
        <v>44</v>
      </c>
      <c r="I97" s="2">
        <v>5</v>
      </c>
      <c r="J97" s="2">
        <v>4233</v>
      </c>
      <c r="K97" s="2">
        <v>27</v>
      </c>
      <c r="L97" s="2">
        <v>15450.45</v>
      </c>
    </row>
    <row r="98" spans="1:12" x14ac:dyDescent="0.3">
      <c r="A98" s="2" t="s">
        <v>301</v>
      </c>
      <c r="B98" s="2" t="s">
        <v>302</v>
      </c>
      <c r="C98" s="2" t="s">
        <v>296</v>
      </c>
      <c r="D98" s="2" t="s">
        <v>15</v>
      </c>
      <c r="E98" s="2" t="s">
        <v>24</v>
      </c>
      <c r="F98" s="2" t="s">
        <v>49</v>
      </c>
      <c r="G98" s="2" t="s">
        <v>18</v>
      </c>
      <c r="H98" s="2" t="s">
        <v>33</v>
      </c>
      <c r="I98" s="2">
        <v>1</v>
      </c>
      <c r="J98" s="2">
        <v>1427</v>
      </c>
      <c r="K98" s="2">
        <v>23</v>
      </c>
      <c r="L98" s="2">
        <v>1098.79</v>
      </c>
    </row>
    <row r="99" spans="1:12" x14ac:dyDescent="0.3">
      <c r="A99" s="2" t="s">
        <v>303</v>
      </c>
      <c r="B99" s="2" t="s">
        <v>304</v>
      </c>
      <c r="C99" s="2" t="s">
        <v>305</v>
      </c>
      <c r="D99" s="2" t="s">
        <v>88</v>
      </c>
      <c r="E99" s="2" t="s">
        <v>16</v>
      </c>
      <c r="F99" s="2" t="s">
        <v>25</v>
      </c>
      <c r="G99" s="2" t="s">
        <v>62</v>
      </c>
      <c r="H99" s="2" t="s">
        <v>75</v>
      </c>
      <c r="I99" s="2">
        <v>2</v>
      </c>
      <c r="J99" s="2">
        <v>3810</v>
      </c>
      <c r="K99" s="2">
        <v>23</v>
      </c>
      <c r="L99" s="2">
        <v>5867.4</v>
      </c>
    </row>
    <row r="100" spans="1:12" x14ac:dyDescent="0.3">
      <c r="A100" s="2" t="s">
        <v>306</v>
      </c>
      <c r="B100" s="2" t="s">
        <v>307</v>
      </c>
      <c r="C100" s="2" t="s">
        <v>111</v>
      </c>
      <c r="D100" s="2" t="s">
        <v>53</v>
      </c>
      <c r="E100" s="2" t="s">
        <v>31</v>
      </c>
      <c r="F100" s="2" t="s">
        <v>49</v>
      </c>
      <c r="G100" s="2" t="s">
        <v>54</v>
      </c>
      <c r="H100" s="2" t="s">
        <v>33</v>
      </c>
      <c r="I100" s="2">
        <v>2</v>
      </c>
      <c r="J100" s="2">
        <v>1075</v>
      </c>
      <c r="K100" s="2">
        <v>19</v>
      </c>
      <c r="L100" s="2">
        <v>1741.5</v>
      </c>
    </row>
    <row r="101" spans="1:12" x14ac:dyDescent="0.3">
      <c r="A101" s="2" t="s">
        <v>308</v>
      </c>
      <c r="B101" s="2" t="s">
        <v>309</v>
      </c>
      <c r="C101" s="2" t="s">
        <v>214</v>
      </c>
      <c r="D101" s="2" t="s">
        <v>15</v>
      </c>
      <c r="E101" s="2" t="s">
        <v>31</v>
      </c>
      <c r="F101" s="2" t="s">
        <v>32</v>
      </c>
      <c r="G101" s="2" t="s">
        <v>18</v>
      </c>
      <c r="H101" s="2" t="s">
        <v>44</v>
      </c>
      <c r="I101" s="2">
        <v>4</v>
      </c>
      <c r="J101" s="2">
        <v>2711</v>
      </c>
      <c r="K101" s="2">
        <v>11</v>
      </c>
      <c r="L101" s="2">
        <v>9651.16</v>
      </c>
    </row>
    <row r="102" spans="1:12" x14ac:dyDescent="0.3">
      <c r="A102" s="2" t="s">
        <v>310</v>
      </c>
      <c r="B102" s="2" t="s">
        <v>165</v>
      </c>
      <c r="C102" s="2" t="s">
        <v>311</v>
      </c>
      <c r="D102" s="2" t="s">
        <v>53</v>
      </c>
      <c r="E102" s="2" t="s">
        <v>31</v>
      </c>
      <c r="F102" s="2" t="s">
        <v>17</v>
      </c>
      <c r="G102" s="2" t="s">
        <v>54</v>
      </c>
      <c r="H102" s="2" t="s">
        <v>44</v>
      </c>
      <c r="I102" s="2">
        <v>5</v>
      </c>
      <c r="J102" s="2">
        <v>4756</v>
      </c>
      <c r="K102" s="2">
        <v>19</v>
      </c>
      <c r="L102" s="2">
        <v>19261.8</v>
      </c>
    </row>
    <row r="103" spans="1:12" x14ac:dyDescent="0.3">
      <c r="A103" s="2" t="s">
        <v>312</v>
      </c>
      <c r="B103" s="2" t="s">
        <v>313</v>
      </c>
      <c r="C103" s="2" t="s">
        <v>186</v>
      </c>
      <c r="D103" s="2" t="s">
        <v>88</v>
      </c>
      <c r="E103" s="2" t="s">
        <v>48</v>
      </c>
      <c r="F103" s="2" t="s">
        <v>32</v>
      </c>
      <c r="G103" s="2" t="s">
        <v>26</v>
      </c>
      <c r="H103" s="2" t="s">
        <v>75</v>
      </c>
      <c r="I103" s="2">
        <v>3</v>
      </c>
      <c r="J103" s="2">
        <v>1547</v>
      </c>
      <c r="K103" s="2">
        <v>12</v>
      </c>
      <c r="L103" s="2">
        <v>4084.08</v>
      </c>
    </row>
    <row r="104" spans="1:12" x14ac:dyDescent="0.3">
      <c r="A104" s="2" t="s">
        <v>314</v>
      </c>
      <c r="B104" s="2" t="s">
        <v>315</v>
      </c>
      <c r="C104" s="2" t="s">
        <v>160</v>
      </c>
      <c r="D104" s="2" t="s">
        <v>23</v>
      </c>
      <c r="E104" s="2" t="s">
        <v>16</v>
      </c>
      <c r="F104" s="2" t="s">
        <v>49</v>
      </c>
      <c r="G104" s="2" t="s">
        <v>18</v>
      </c>
      <c r="H104" s="2" t="s">
        <v>33</v>
      </c>
      <c r="I104" s="2">
        <v>5</v>
      </c>
      <c r="J104" s="2">
        <v>2342</v>
      </c>
      <c r="K104" s="2">
        <v>5</v>
      </c>
      <c r="L104" s="2">
        <v>11124.5</v>
      </c>
    </row>
    <row r="105" spans="1:12" x14ac:dyDescent="0.3">
      <c r="A105" s="2" t="s">
        <v>316</v>
      </c>
      <c r="B105" s="2" t="s">
        <v>304</v>
      </c>
      <c r="C105" s="2" t="s">
        <v>317</v>
      </c>
      <c r="D105" s="2" t="s">
        <v>53</v>
      </c>
      <c r="E105" s="2" t="s">
        <v>24</v>
      </c>
      <c r="F105" s="2" t="s">
        <v>49</v>
      </c>
      <c r="G105" s="2" t="s">
        <v>18</v>
      </c>
      <c r="H105" s="2" t="s">
        <v>19</v>
      </c>
      <c r="I105" s="2">
        <v>5</v>
      </c>
      <c r="J105" s="2">
        <v>2796</v>
      </c>
      <c r="K105" s="2">
        <v>10</v>
      </c>
      <c r="L105" s="2">
        <v>12582</v>
      </c>
    </row>
    <row r="106" spans="1:12" x14ac:dyDescent="0.3">
      <c r="A106" s="2" t="s">
        <v>318</v>
      </c>
      <c r="B106" s="2" t="s">
        <v>319</v>
      </c>
      <c r="C106" s="2" t="s">
        <v>151</v>
      </c>
      <c r="D106" s="2" t="s">
        <v>15</v>
      </c>
      <c r="E106" s="2" t="s">
        <v>48</v>
      </c>
      <c r="F106" s="2" t="s">
        <v>49</v>
      </c>
      <c r="G106" s="2" t="s">
        <v>40</v>
      </c>
      <c r="H106" s="2" t="s">
        <v>44</v>
      </c>
      <c r="I106" s="2">
        <v>1</v>
      </c>
      <c r="J106" s="2">
        <v>2476</v>
      </c>
      <c r="K106" s="2">
        <v>3</v>
      </c>
      <c r="L106" s="2">
        <v>2401.7199999999998</v>
      </c>
    </row>
    <row r="107" spans="1:12" x14ac:dyDescent="0.3">
      <c r="A107" s="2" t="s">
        <v>320</v>
      </c>
      <c r="B107" s="2" t="s">
        <v>321</v>
      </c>
      <c r="C107" s="2" t="s">
        <v>322</v>
      </c>
      <c r="D107" s="2" t="s">
        <v>15</v>
      </c>
      <c r="E107" s="2" t="s">
        <v>31</v>
      </c>
      <c r="F107" s="2" t="s">
        <v>40</v>
      </c>
      <c r="G107" s="2" t="s">
        <v>40</v>
      </c>
      <c r="H107" s="2" t="s">
        <v>75</v>
      </c>
      <c r="I107" s="2">
        <v>4</v>
      </c>
      <c r="J107" s="2">
        <v>2303</v>
      </c>
      <c r="K107" s="2">
        <v>10</v>
      </c>
      <c r="L107" s="2">
        <v>8290.7999999999993</v>
      </c>
    </row>
    <row r="108" spans="1:12" x14ac:dyDescent="0.3">
      <c r="A108" s="2" t="s">
        <v>323</v>
      </c>
      <c r="B108" s="2" t="s">
        <v>324</v>
      </c>
      <c r="C108" s="2" t="s">
        <v>325</v>
      </c>
      <c r="D108" s="2" t="s">
        <v>53</v>
      </c>
      <c r="E108" s="2" t="s">
        <v>16</v>
      </c>
      <c r="F108" s="2" t="s">
        <v>49</v>
      </c>
      <c r="G108" s="2" t="s">
        <v>62</v>
      </c>
      <c r="H108" s="2" t="s">
        <v>44</v>
      </c>
      <c r="I108" s="2">
        <v>2</v>
      </c>
      <c r="J108" s="2">
        <v>3518</v>
      </c>
      <c r="K108" s="2">
        <v>3</v>
      </c>
      <c r="L108" s="2">
        <v>6824.92</v>
      </c>
    </row>
    <row r="109" spans="1:12" x14ac:dyDescent="0.3">
      <c r="A109" s="2" t="s">
        <v>326</v>
      </c>
      <c r="B109" s="2" t="s">
        <v>327</v>
      </c>
      <c r="C109" s="2" t="s">
        <v>328</v>
      </c>
      <c r="D109" s="2" t="s">
        <v>88</v>
      </c>
      <c r="E109" s="2" t="s">
        <v>16</v>
      </c>
      <c r="F109" s="2" t="s">
        <v>49</v>
      </c>
      <c r="G109" s="2" t="s">
        <v>26</v>
      </c>
      <c r="H109" s="2" t="s">
        <v>44</v>
      </c>
      <c r="I109" s="2">
        <v>3</v>
      </c>
      <c r="J109" s="2">
        <v>2075</v>
      </c>
      <c r="K109" s="2">
        <v>17</v>
      </c>
      <c r="L109" s="2">
        <v>5166.75</v>
      </c>
    </row>
    <row r="110" spans="1:12" x14ac:dyDescent="0.3">
      <c r="A110" s="2" t="s">
        <v>329</v>
      </c>
      <c r="B110" s="2" t="s">
        <v>330</v>
      </c>
      <c r="C110" s="2" t="s">
        <v>331</v>
      </c>
      <c r="D110" s="2" t="s">
        <v>30</v>
      </c>
      <c r="E110" s="2" t="s">
        <v>68</v>
      </c>
      <c r="F110" s="2" t="s">
        <v>17</v>
      </c>
      <c r="G110" s="2" t="s">
        <v>62</v>
      </c>
      <c r="H110" s="2" t="s">
        <v>19</v>
      </c>
      <c r="I110" s="2">
        <v>4</v>
      </c>
      <c r="J110" s="2">
        <v>457</v>
      </c>
      <c r="K110" s="2">
        <v>14</v>
      </c>
      <c r="L110" s="2">
        <v>1572.08</v>
      </c>
    </row>
    <row r="111" spans="1:12" x14ac:dyDescent="0.3">
      <c r="A111" s="2" t="s">
        <v>332</v>
      </c>
      <c r="B111" s="2" t="s">
        <v>333</v>
      </c>
      <c r="C111" s="2" t="s">
        <v>334</v>
      </c>
      <c r="D111" s="2" t="s">
        <v>23</v>
      </c>
      <c r="E111" s="2" t="s">
        <v>16</v>
      </c>
      <c r="F111" s="2" t="s">
        <v>40</v>
      </c>
      <c r="G111" s="2" t="s">
        <v>18</v>
      </c>
      <c r="H111" s="2" t="s">
        <v>44</v>
      </c>
      <c r="I111" s="2">
        <v>4</v>
      </c>
      <c r="J111" s="2">
        <v>1750</v>
      </c>
      <c r="K111" s="2">
        <v>1</v>
      </c>
      <c r="L111" s="2">
        <v>6930</v>
      </c>
    </row>
    <row r="112" spans="1:12" x14ac:dyDescent="0.3">
      <c r="A112" s="2" t="s">
        <v>335</v>
      </c>
      <c r="B112" s="2" t="s">
        <v>196</v>
      </c>
      <c r="C112" s="2" t="s">
        <v>166</v>
      </c>
      <c r="D112" s="2" t="s">
        <v>23</v>
      </c>
      <c r="E112" s="2" t="s">
        <v>24</v>
      </c>
      <c r="F112" s="2" t="s">
        <v>49</v>
      </c>
      <c r="G112" s="2" t="s">
        <v>26</v>
      </c>
      <c r="H112" s="2" t="s">
        <v>75</v>
      </c>
      <c r="I112" s="2">
        <v>1</v>
      </c>
      <c r="J112" s="2">
        <v>2898</v>
      </c>
      <c r="K112" s="2">
        <v>9</v>
      </c>
      <c r="L112" s="2">
        <v>2637.18</v>
      </c>
    </row>
    <row r="113" spans="1:12" x14ac:dyDescent="0.3">
      <c r="A113" s="2" t="s">
        <v>336</v>
      </c>
      <c r="B113" s="2" t="s">
        <v>337</v>
      </c>
      <c r="C113" s="2" t="s">
        <v>338</v>
      </c>
      <c r="D113" s="2" t="s">
        <v>88</v>
      </c>
      <c r="E113" s="2" t="s">
        <v>68</v>
      </c>
      <c r="F113" s="2" t="s">
        <v>49</v>
      </c>
      <c r="G113" s="2" t="s">
        <v>54</v>
      </c>
      <c r="H113" s="2" t="s">
        <v>44</v>
      </c>
      <c r="I113" s="2">
        <v>2</v>
      </c>
      <c r="J113" s="2">
        <v>3926</v>
      </c>
      <c r="K113" s="2">
        <v>28</v>
      </c>
      <c r="L113" s="2">
        <v>5653.44</v>
      </c>
    </row>
    <row r="114" spans="1:12" x14ac:dyDescent="0.3">
      <c r="A114" s="2" t="s">
        <v>339</v>
      </c>
      <c r="B114" s="2" t="s">
        <v>116</v>
      </c>
      <c r="C114" s="2" t="s">
        <v>267</v>
      </c>
      <c r="D114" s="2" t="s">
        <v>30</v>
      </c>
      <c r="E114" s="2" t="s">
        <v>79</v>
      </c>
      <c r="F114" s="2" t="s">
        <v>17</v>
      </c>
      <c r="G114" s="2" t="s">
        <v>18</v>
      </c>
      <c r="H114" s="2" t="s">
        <v>19</v>
      </c>
      <c r="I114" s="2">
        <v>5</v>
      </c>
      <c r="J114" s="2">
        <v>1246</v>
      </c>
      <c r="K114" s="2">
        <v>13</v>
      </c>
      <c r="L114" s="2">
        <v>5420.1</v>
      </c>
    </row>
    <row r="115" spans="1:12" x14ac:dyDescent="0.3">
      <c r="A115" s="2" t="s">
        <v>340</v>
      </c>
      <c r="B115" s="2" t="s">
        <v>341</v>
      </c>
      <c r="C115" s="2" t="s">
        <v>342</v>
      </c>
      <c r="D115" s="2" t="s">
        <v>88</v>
      </c>
      <c r="E115" s="2" t="s">
        <v>31</v>
      </c>
      <c r="F115" s="2" t="s">
        <v>40</v>
      </c>
      <c r="G115" s="2" t="s">
        <v>26</v>
      </c>
      <c r="H115" s="2" t="s">
        <v>75</v>
      </c>
      <c r="I115" s="2">
        <v>1</v>
      </c>
      <c r="J115" s="2">
        <v>816</v>
      </c>
      <c r="K115" s="2">
        <v>23</v>
      </c>
      <c r="L115" s="2">
        <v>628.32000000000005</v>
      </c>
    </row>
    <row r="116" spans="1:12" x14ac:dyDescent="0.3">
      <c r="A116" s="2" t="s">
        <v>343</v>
      </c>
      <c r="B116" s="2" t="s">
        <v>287</v>
      </c>
      <c r="C116" s="2" t="s">
        <v>344</v>
      </c>
      <c r="D116" s="2" t="s">
        <v>88</v>
      </c>
      <c r="E116" s="2" t="s">
        <v>68</v>
      </c>
      <c r="F116" s="2" t="s">
        <v>40</v>
      </c>
      <c r="G116" s="2" t="s">
        <v>54</v>
      </c>
      <c r="H116" s="2" t="s">
        <v>75</v>
      </c>
      <c r="I116" s="2">
        <v>3</v>
      </c>
      <c r="J116" s="2">
        <v>2811</v>
      </c>
      <c r="K116" s="2">
        <v>26</v>
      </c>
      <c r="L116" s="2">
        <v>6240.42</v>
      </c>
    </row>
    <row r="117" spans="1:12" x14ac:dyDescent="0.3">
      <c r="A117" s="2" t="s">
        <v>345</v>
      </c>
      <c r="B117" s="2" t="s">
        <v>346</v>
      </c>
      <c r="C117" s="2" t="s">
        <v>36</v>
      </c>
      <c r="D117" s="2" t="s">
        <v>15</v>
      </c>
      <c r="E117" s="2" t="s">
        <v>79</v>
      </c>
      <c r="F117" s="2" t="s">
        <v>40</v>
      </c>
      <c r="G117" s="2" t="s">
        <v>26</v>
      </c>
      <c r="H117" s="2" t="s">
        <v>44</v>
      </c>
      <c r="I117" s="2">
        <v>2</v>
      </c>
      <c r="J117" s="2">
        <v>1163</v>
      </c>
      <c r="K117" s="2">
        <v>3</v>
      </c>
      <c r="L117" s="2">
        <v>2256.2199999999998</v>
      </c>
    </row>
    <row r="118" spans="1:12" x14ac:dyDescent="0.3">
      <c r="A118" s="2" t="s">
        <v>347</v>
      </c>
      <c r="B118" s="2" t="s">
        <v>315</v>
      </c>
      <c r="C118" s="2" t="s">
        <v>338</v>
      </c>
      <c r="D118" s="2" t="s">
        <v>88</v>
      </c>
      <c r="E118" s="2" t="s">
        <v>58</v>
      </c>
      <c r="F118" s="2" t="s">
        <v>32</v>
      </c>
      <c r="G118" s="2" t="s">
        <v>26</v>
      </c>
      <c r="H118" s="2" t="s">
        <v>44</v>
      </c>
      <c r="I118" s="2">
        <v>3</v>
      </c>
      <c r="J118" s="2">
        <v>1618</v>
      </c>
      <c r="K118" s="2">
        <v>29</v>
      </c>
      <c r="L118" s="2">
        <v>3446.34</v>
      </c>
    </row>
    <row r="119" spans="1:12" x14ac:dyDescent="0.3">
      <c r="A119" s="2" t="s">
        <v>348</v>
      </c>
      <c r="B119" s="2" t="s">
        <v>349</v>
      </c>
      <c r="C119" s="2" t="s">
        <v>350</v>
      </c>
      <c r="D119" s="2" t="s">
        <v>88</v>
      </c>
      <c r="E119" s="2" t="s">
        <v>48</v>
      </c>
      <c r="F119" s="2" t="s">
        <v>32</v>
      </c>
      <c r="G119" s="2" t="s">
        <v>62</v>
      </c>
      <c r="H119" s="2" t="s">
        <v>75</v>
      </c>
      <c r="I119" s="2">
        <v>1</v>
      </c>
      <c r="J119" s="2">
        <v>4229</v>
      </c>
      <c r="K119" s="2">
        <v>25</v>
      </c>
      <c r="L119" s="2">
        <v>3171.75</v>
      </c>
    </row>
    <row r="120" spans="1:12" x14ac:dyDescent="0.3">
      <c r="A120" s="2" t="s">
        <v>351</v>
      </c>
      <c r="B120" s="2" t="s">
        <v>352</v>
      </c>
      <c r="C120" s="2" t="s">
        <v>353</v>
      </c>
      <c r="D120" s="2" t="s">
        <v>53</v>
      </c>
      <c r="E120" s="2" t="s">
        <v>68</v>
      </c>
      <c r="F120" s="2" t="s">
        <v>49</v>
      </c>
      <c r="G120" s="2" t="s">
        <v>18</v>
      </c>
      <c r="H120" s="2" t="s">
        <v>75</v>
      </c>
      <c r="I120" s="2">
        <v>4</v>
      </c>
      <c r="J120" s="2">
        <v>1496</v>
      </c>
      <c r="K120" s="2">
        <v>13</v>
      </c>
      <c r="L120" s="2">
        <v>5206.08</v>
      </c>
    </row>
    <row r="121" spans="1:12" x14ac:dyDescent="0.3">
      <c r="A121" s="2" t="s">
        <v>354</v>
      </c>
      <c r="B121" s="2" t="s">
        <v>355</v>
      </c>
      <c r="C121" s="2" t="s">
        <v>356</v>
      </c>
      <c r="D121" s="2" t="s">
        <v>30</v>
      </c>
      <c r="E121" s="2" t="s">
        <v>31</v>
      </c>
      <c r="F121" s="2" t="s">
        <v>32</v>
      </c>
      <c r="G121" s="2" t="s">
        <v>40</v>
      </c>
      <c r="H121" s="2" t="s">
        <v>75</v>
      </c>
      <c r="I121" s="2">
        <v>1</v>
      </c>
      <c r="J121" s="2">
        <v>1038</v>
      </c>
      <c r="K121" s="2">
        <v>8</v>
      </c>
      <c r="L121" s="2">
        <v>954.96</v>
      </c>
    </row>
    <row r="122" spans="1:12" x14ac:dyDescent="0.3">
      <c r="A122" s="2" t="s">
        <v>357</v>
      </c>
      <c r="B122" s="2" t="s">
        <v>358</v>
      </c>
      <c r="C122" s="2" t="s">
        <v>270</v>
      </c>
      <c r="D122" s="2" t="s">
        <v>88</v>
      </c>
      <c r="E122" s="2" t="s">
        <v>16</v>
      </c>
      <c r="F122" s="2" t="s">
        <v>32</v>
      </c>
      <c r="G122" s="2" t="s">
        <v>62</v>
      </c>
      <c r="H122" s="2" t="s">
        <v>33</v>
      </c>
      <c r="I122" s="2">
        <v>5</v>
      </c>
      <c r="J122" s="2">
        <v>2390</v>
      </c>
      <c r="K122" s="2">
        <v>18</v>
      </c>
      <c r="L122" s="2">
        <v>9799</v>
      </c>
    </row>
    <row r="123" spans="1:12" x14ac:dyDescent="0.3">
      <c r="A123" s="2" t="s">
        <v>359</v>
      </c>
      <c r="B123" s="2" t="s">
        <v>352</v>
      </c>
      <c r="C123" s="2" t="s">
        <v>360</v>
      </c>
      <c r="D123" s="2" t="s">
        <v>88</v>
      </c>
      <c r="E123" s="2" t="s">
        <v>24</v>
      </c>
      <c r="F123" s="2" t="s">
        <v>49</v>
      </c>
      <c r="G123" s="2" t="s">
        <v>40</v>
      </c>
      <c r="H123" s="2" t="s">
        <v>75</v>
      </c>
      <c r="I123" s="2">
        <v>3</v>
      </c>
      <c r="J123" s="2">
        <v>3939</v>
      </c>
      <c r="K123" s="2">
        <v>16</v>
      </c>
      <c r="L123" s="2">
        <v>9926.2800000000007</v>
      </c>
    </row>
    <row r="124" spans="1:12" x14ac:dyDescent="0.3">
      <c r="A124" s="2" t="s">
        <v>361</v>
      </c>
      <c r="B124" s="2" t="s">
        <v>362</v>
      </c>
      <c r="C124" s="2" t="s">
        <v>363</v>
      </c>
      <c r="D124" s="2" t="s">
        <v>88</v>
      </c>
      <c r="E124" s="2" t="s">
        <v>48</v>
      </c>
      <c r="F124" s="2" t="s">
        <v>40</v>
      </c>
      <c r="G124" s="2" t="s">
        <v>18</v>
      </c>
      <c r="H124" s="2" t="s">
        <v>44</v>
      </c>
      <c r="I124" s="2">
        <v>3</v>
      </c>
      <c r="J124" s="2">
        <v>381</v>
      </c>
      <c r="K124" s="2">
        <v>11</v>
      </c>
      <c r="L124" s="2">
        <v>1017.27</v>
      </c>
    </row>
    <row r="125" spans="1:12" x14ac:dyDescent="0.3">
      <c r="A125" s="2" t="s">
        <v>364</v>
      </c>
      <c r="B125" s="2" t="s">
        <v>337</v>
      </c>
      <c r="C125" s="2" t="s">
        <v>250</v>
      </c>
      <c r="D125" s="2" t="s">
        <v>23</v>
      </c>
      <c r="E125" s="2" t="s">
        <v>31</v>
      </c>
      <c r="F125" s="2" t="s">
        <v>49</v>
      </c>
      <c r="G125" s="2" t="s">
        <v>62</v>
      </c>
      <c r="H125" s="2" t="s">
        <v>19</v>
      </c>
      <c r="I125" s="2">
        <v>1</v>
      </c>
      <c r="J125" s="2">
        <v>1721</v>
      </c>
      <c r="K125" s="2">
        <v>2</v>
      </c>
      <c r="L125" s="2">
        <v>1686.58</v>
      </c>
    </row>
    <row r="126" spans="1:12" x14ac:dyDescent="0.3">
      <c r="A126" s="2" t="s">
        <v>365</v>
      </c>
      <c r="B126" s="2" t="s">
        <v>366</v>
      </c>
      <c r="C126" s="2" t="s">
        <v>367</v>
      </c>
      <c r="D126" s="2" t="s">
        <v>53</v>
      </c>
      <c r="E126" s="2" t="s">
        <v>16</v>
      </c>
      <c r="F126" s="2" t="s">
        <v>25</v>
      </c>
      <c r="G126" s="2" t="s">
        <v>62</v>
      </c>
      <c r="H126" s="2" t="s">
        <v>75</v>
      </c>
      <c r="I126" s="2">
        <v>5</v>
      </c>
      <c r="J126" s="2">
        <v>2854</v>
      </c>
      <c r="K126" s="2">
        <v>19</v>
      </c>
      <c r="L126" s="2">
        <v>11558.7</v>
      </c>
    </row>
    <row r="127" spans="1:12" x14ac:dyDescent="0.3">
      <c r="A127" s="2" t="s">
        <v>368</v>
      </c>
      <c r="B127" s="2" t="s">
        <v>369</v>
      </c>
      <c r="C127" s="2" t="s">
        <v>370</v>
      </c>
      <c r="D127" s="2" t="s">
        <v>23</v>
      </c>
      <c r="E127" s="2" t="s">
        <v>16</v>
      </c>
      <c r="F127" s="2" t="s">
        <v>40</v>
      </c>
      <c r="G127" s="2" t="s">
        <v>26</v>
      </c>
      <c r="H127" s="2" t="s">
        <v>75</v>
      </c>
      <c r="I127" s="2">
        <v>5</v>
      </c>
      <c r="J127" s="2">
        <v>556</v>
      </c>
      <c r="K127" s="2">
        <v>19</v>
      </c>
      <c r="L127" s="2">
        <v>2251.8000000000002</v>
      </c>
    </row>
    <row r="128" spans="1:12" x14ac:dyDescent="0.3">
      <c r="A128" s="2" t="s">
        <v>371</v>
      </c>
      <c r="B128" s="2" t="s">
        <v>372</v>
      </c>
      <c r="C128" s="2" t="s">
        <v>373</v>
      </c>
      <c r="D128" s="2" t="s">
        <v>88</v>
      </c>
      <c r="E128" s="2" t="s">
        <v>79</v>
      </c>
      <c r="F128" s="2" t="s">
        <v>17</v>
      </c>
      <c r="G128" s="2" t="s">
        <v>40</v>
      </c>
      <c r="H128" s="2" t="s">
        <v>75</v>
      </c>
      <c r="I128" s="2">
        <v>2</v>
      </c>
      <c r="J128" s="2">
        <v>1198</v>
      </c>
      <c r="K128" s="2">
        <v>14</v>
      </c>
      <c r="L128" s="2">
        <v>2060.56</v>
      </c>
    </row>
    <row r="129" spans="1:12" x14ac:dyDescent="0.3">
      <c r="A129" s="2" t="s">
        <v>374</v>
      </c>
      <c r="B129" s="2" t="s">
        <v>375</v>
      </c>
      <c r="C129" s="2" t="s">
        <v>244</v>
      </c>
      <c r="D129" s="2" t="s">
        <v>30</v>
      </c>
      <c r="E129" s="2" t="s">
        <v>16</v>
      </c>
      <c r="F129" s="2" t="s">
        <v>32</v>
      </c>
      <c r="G129" s="2" t="s">
        <v>54</v>
      </c>
      <c r="H129" s="2" t="s">
        <v>33</v>
      </c>
      <c r="I129" s="2">
        <v>5</v>
      </c>
      <c r="J129" s="2">
        <v>871</v>
      </c>
      <c r="K129" s="2">
        <v>21</v>
      </c>
      <c r="L129" s="2">
        <v>3440.45</v>
      </c>
    </row>
    <row r="130" spans="1:12" x14ac:dyDescent="0.3">
      <c r="A130" s="2" t="s">
        <v>376</v>
      </c>
      <c r="B130" s="2" t="s">
        <v>377</v>
      </c>
      <c r="C130" s="2" t="s">
        <v>206</v>
      </c>
      <c r="D130" s="2" t="s">
        <v>88</v>
      </c>
      <c r="E130" s="2" t="s">
        <v>48</v>
      </c>
      <c r="F130" s="2" t="s">
        <v>32</v>
      </c>
      <c r="G130" s="2" t="s">
        <v>26</v>
      </c>
      <c r="H130" s="2" t="s">
        <v>44</v>
      </c>
      <c r="I130" s="2">
        <v>3</v>
      </c>
      <c r="J130" s="2">
        <v>1529</v>
      </c>
      <c r="K130" s="2">
        <v>10</v>
      </c>
      <c r="L130" s="2">
        <v>4128.3</v>
      </c>
    </row>
    <row r="131" spans="1:12" x14ac:dyDescent="0.3">
      <c r="A131" s="2" t="s">
        <v>378</v>
      </c>
      <c r="B131" s="2" t="s">
        <v>379</v>
      </c>
      <c r="C131" s="2" t="s">
        <v>133</v>
      </c>
      <c r="D131" s="2" t="s">
        <v>15</v>
      </c>
      <c r="E131" s="2" t="s">
        <v>58</v>
      </c>
      <c r="F131" s="2" t="s">
        <v>25</v>
      </c>
      <c r="G131" s="2" t="s">
        <v>18</v>
      </c>
      <c r="H131" s="2" t="s">
        <v>44</v>
      </c>
      <c r="I131" s="2">
        <v>4</v>
      </c>
      <c r="J131" s="2">
        <v>1822</v>
      </c>
      <c r="K131" s="2">
        <v>30</v>
      </c>
      <c r="L131" s="2">
        <v>5101.6000000000004</v>
      </c>
    </row>
    <row r="132" spans="1:12" x14ac:dyDescent="0.3">
      <c r="A132" s="2" t="s">
        <v>380</v>
      </c>
      <c r="B132" s="2" t="s">
        <v>369</v>
      </c>
      <c r="C132" s="2" t="s">
        <v>381</v>
      </c>
      <c r="D132" s="2" t="s">
        <v>23</v>
      </c>
      <c r="E132" s="2" t="s">
        <v>16</v>
      </c>
      <c r="F132" s="2" t="s">
        <v>25</v>
      </c>
      <c r="G132" s="2" t="s">
        <v>62</v>
      </c>
      <c r="H132" s="2" t="s">
        <v>33</v>
      </c>
      <c r="I132" s="2">
        <v>3</v>
      </c>
      <c r="J132" s="2">
        <v>4578</v>
      </c>
      <c r="K132" s="2">
        <v>12</v>
      </c>
      <c r="L132" s="2">
        <v>12085.92</v>
      </c>
    </row>
    <row r="133" spans="1:12" x14ac:dyDescent="0.3">
      <c r="A133" s="2" t="s">
        <v>382</v>
      </c>
      <c r="B133" s="2" t="s">
        <v>227</v>
      </c>
      <c r="C133" s="2" t="s">
        <v>383</v>
      </c>
      <c r="D133" s="2" t="s">
        <v>53</v>
      </c>
      <c r="E133" s="2" t="s">
        <v>31</v>
      </c>
      <c r="F133" s="2" t="s">
        <v>32</v>
      </c>
      <c r="G133" s="2" t="s">
        <v>26</v>
      </c>
      <c r="H133" s="2" t="s">
        <v>44</v>
      </c>
      <c r="I133" s="2">
        <v>3</v>
      </c>
      <c r="J133" s="2">
        <v>3437</v>
      </c>
      <c r="K133" s="2">
        <v>0</v>
      </c>
      <c r="L133" s="2">
        <v>10311</v>
      </c>
    </row>
    <row r="134" spans="1:12" x14ac:dyDescent="0.3">
      <c r="A134" s="2" t="s">
        <v>384</v>
      </c>
      <c r="B134" s="2" t="s">
        <v>260</v>
      </c>
      <c r="C134" s="2" t="s">
        <v>385</v>
      </c>
      <c r="D134" s="2" t="s">
        <v>23</v>
      </c>
      <c r="E134" s="2" t="s">
        <v>68</v>
      </c>
      <c r="F134" s="2" t="s">
        <v>17</v>
      </c>
      <c r="G134" s="2" t="s">
        <v>18</v>
      </c>
      <c r="H134" s="2" t="s">
        <v>33</v>
      </c>
      <c r="I134" s="2">
        <v>4</v>
      </c>
      <c r="J134" s="2">
        <v>2361</v>
      </c>
      <c r="K134" s="2">
        <v>17</v>
      </c>
      <c r="L134" s="2">
        <v>7838.52</v>
      </c>
    </row>
    <row r="135" spans="1:12" x14ac:dyDescent="0.3">
      <c r="A135" s="2" t="s">
        <v>386</v>
      </c>
      <c r="B135" s="2" t="s">
        <v>232</v>
      </c>
      <c r="C135" s="2" t="s">
        <v>322</v>
      </c>
      <c r="D135" s="2" t="s">
        <v>30</v>
      </c>
      <c r="E135" s="2" t="s">
        <v>24</v>
      </c>
      <c r="F135" s="2" t="s">
        <v>25</v>
      </c>
      <c r="G135" s="2" t="s">
        <v>54</v>
      </c>
      <c r="H135" s="2" t="s">
        <v>75</v>
      </c>
      <c r="I135" s="2">
        <v>2</v>
      </c>
      <c r="J135" s="2">
        <v>3620</v>
      </c>
      <c r="K135" s="2">
        <v>23</v>
      </c>
      <c r="L135" s="2">
        <v>5574.8</v>
      </c>
    </row>
    <row r="136" spans="1:12" x14ac:dyDescent="0.3">
      <c r="A136" s="2" t="s">
        <v>387</v>
      </c>
      <c r="B136" s="2" t="s">
        <v>21</v>
      </c>
      <c r="C136" s="2" t="s">
        <v>273</v>
      </c>
      <c r="D136" s="2" t="s">
        <v>23</v>
      </c>
      <c r="E136" s="2" t="s">
        <v>48</v>
      </c>
      <c r="F136" s="2" t="s">
        <v>49</v>
      </c>
      <c r="G136" s="2" t="s">
        <v>62</v>
      </c>
      <c r="H136" s="2" t="s">
        <v>33</v>
      </c>
      <c r="I136" s="2">
        <v>3</v>
      </c>
      <c r="J136" s="2">
        <v>4966</v>
      </c>
      <c r="K136" s="2">
        <v>28</v>
      </c>
      <c r="L136" s="2">
        <v>10726.56</v>
      </c>
    </row>
    <row r="137" spans="1:12" x14ac:dyDescent="0.3">
      <c r="A137" s="2" t="s">
        <v>388</v>
      </c>
      <c r="B137" s="2" t="s">
        <v>389</v>
      </c>
      <c r="C137" s="2" t="s">
        <v>390</v>
      </c>
      <c r="D137" s="2" t="s">
        <v>15</v>
      </c>
      <c r="E137" s="2" t="s">
        <v>58</v>
      </c>
      <c r="F137" s="2" t="s">
        <v>49</v>
      </c>
      <c r="G137" s="2" t="s">
        <v>54</v>
      </c>
      <c r="H137" s="2" t="s">
        <v>33</v>
      </c>
      <c r="I137" s="2">
        <v>3</v>
      </c>
      <c r="J137" s="2">
        <v>4511</v>
      </c>
      <c r="K137" s="2">
        <v>16</v>
      </c>
      <c r="L137" s="2">
        <v>11367.72</v>
      </c>
    </row>
    <row r="138" spans="1:12" x14ac:dyDescent="0.3">
      <c r="A138" s="2" t="s">
        <v>391</v>
      </c>
      <c r="B138" s="2" t="s">
        <v>392</v>
      </c>
      <c r="C138" s="2" t="s">
        <v>393</v>
      </c>
      <c r="D138" s="2" t="s">
        <v>15</v>
      </c>
      <c r="E138" s="2" t="s">
        <v>31</v>
      </c>
      <c r="F138" s="2" t="s">
        <v>32</v>
      </c>
      <c r="G138" s="2" t="s">
        <v>54</v>
      </c>
      <c r="H138" s="2" t="s">
        <v>19</v>
      </c>
      <c r="I138" s="2">
        <v>2</v>
      </c>
      <c r="J138" s="2">
        <v>760</v>
      </c>
      <c r="K138" s="2">
        <v>1</v>
      </c>
      <c r="L138" s="2">
        <v>1504.8</v>
      </c>
    </row>
    <row r="139" spans="1:12" x14ac:dyDescent="0.3">
      <c r="A139" s="2" t="s">
        <v>394</v>
      </c>
      <c r="B139" s="2" t="s">
        <v>395</v>
      </c>
      <c r="C139" s="2" t="s">
        <v>396</v>
      </c>
      <c r="D139" s="2" t="s">
        <v>30</v>
      </c>
      <c r="E139" s="2" t="s">
        <v>31</v>
      </c>
      <c r="F139" s="2" t="s">
        <v>32</v>
      </c>
      <c r="G139" s="2" t="s">
        <v>40</v>
      </c>
      <c r="H139" s="2" t="s">
        <v>75</v>
      </c>
      <c r="I139" s="2">
        <v>2</v>
      </c>
      <c r="J139" s="2">
        <v>358</v>
      </c>
      <c r="K139" s="2">
        <v>5</v>
      </c>
      <c r="L139" s="2">
        <v>680.2</v>
      </c>
    </row>
    <row r="140" spans="1:12" x14ac:dyDescent="0.3">
      <c r="A140" s="2" t="s">
        <v>397</v>
      </c>
      <c r="B140" s="2" t="s">
        <v>398</v>
      </c>
      <c r="C140" s="2" t="s">
        <v>270</v>
      </c>
      <c r="D140" s="2" t="s">
        <v>30</v>
      </c>
      <c r="E140" s="2" t="s">
        <v>68</v>
      </c>
      <c r="F140" s="2" t="s">
        <v>17</v>
      </c>
      <c r="G140" s="2" t="s">
        <v>62</v>
      </c>
      <c r="H140" s="2" t="s">
        <v>75</v>
      </c>
      <c r="I140" s="2">
        <v>3</v>
      </c>
      <c r="J140" s="2">
        <v>4626</v>
      </c>
      <c r="K140" s="2">
        <v>26</v>
      </c>
      <c r="L140" s="2">
        <v>10269.719999999999</v>
      </c>
    </row>
    <row r="141" spans="1:12" x14ac:dyDescent="0.3">
      <c r="A141" s="2" t="s">
        <v>399</v>
      </c>
      <c r="B141" s="2" t="s">
        <v>400</v>
      </c>
      <c r="C141" s="2" t="s">
        <v>401</v>
      </c>
      <c r="D141" s="2" t="s">
        <v>88</v>
      </c>
      <c r="E141" s="2" t="s">
        <v>68</v>
      </c>
      <c r="F141" s="2" t="s">
        <v>25</v>
      </c>
      <c r="G141" s="2" t="s">
        <v>40</v>
      </c>
      <c r="H141" s="2" t="s">
        <v>19</v>
      </c>
      <c r="I141" s="2">
        <v>4</v>
      </c>
      <c r="J141" s="2">
        <v>1590</v>
      </c>
      <c r="K141" s="2">
        <v>14</v>
      </c>
      <c r="L141" s="2">
        <v>5469.6</v>
      </c>
    </row>
    <row r="142" spans="1:12" x14ac:dyDescent="0.3">
      <c r="A142" s="2" t="s">
        <v>402</v>
      </c>
      <c r="B142" s="2" t="s">
        <v>403</v>
      </c>
      <c r="C142" s="2" t="s">
        <v>404</v>
      </c>
      <c r="D142" s="2" t="s">
        <v>53</v>
      </c>
      <c r="E142" s="2" t="s">
        <v>58</v>
      </c>
      <c r="F142" s="2" t="s">
        <v>49</v>
      </c>
      <c r="G142" s="2" t="s">
        <v>40</v>
      </c>
      <c r="H142" s="2" t="s">
        <v>44</v>
      </c>
      <c r="I142" s="2">
        <v>4</v>
      </c>
      <c r="J142" s="2">
        <v>1741</v>
      </c>
      <c r="K142" s="2">
        <v>4</v>
      </c>
      <c r="L142" s="2">
        <v>6685.44</v>
      </c>
    </row>
    <row r="143" spans="1:12" x14ac:dyDescent="0.3">
      <c r="A143" s="2" t="s">
        <v>405</v>
      </c>
      <c r="B143" s="2" t="s">
        <v>406</v>
      </c>
      <c r="C143" s="2" t="s">
        <v>407</v>
      </c>
      <c r="D143" s="2" t="s">
        <v>23</v>
      </c>
      <c r="E143" s="2" t="s">
        <v>58</v>
      </c>
      <c r="F143" s="2" t="s">
        <v>32</v>
      </c>
      <c r="G143" s="2" t="s">
        <v>40</v>
      </c>
      <c r="H143" s="2" t="s">
        <v>33</v>
      </c>
      <c r="I143" s="2">
        <v>4</v>
      </c>
      <c r="J143" s="2">
        <v>2608</v>
      </c>
      <c r="K143" s="2">
        <v>21</v>
      </c>
      <c r="L143" s="2">
        <v>8241.2800000000007</v>
      </c>
    </row>
    <row r="144" spans="1:12" x14ac:dyDescent="0.3">
      <c r="A144" s="2" t="s">
        <v>408</v>
      </c>
      <c r="B144" s="2" t="s">
        <v>196</v>
      </c>
      <c r="C144" s="2" t="s">
        <v>409</v>
      </c>
      <c r="D144" s="2" t="s">
        <v>53</v>
      </c>
      <c r="E144" s="2" t="s">
        <v>58</v>
      </c>
      <c r="F144" s="2" t="s">
        <v>40</v>
      </c>
      <c r="G144" s="2" t="s">
        <v>62</v>
      </c>
      <c r="H144" s="2" t="s">
        <v>75</v>
      </c>
      <c r="I144" s="2">
        <v>5</v>
      </c>
      <c r="J144" s="2">
        <v>3561</v>
      </c>
      <c r="K144" s="2">
        <v>7</v>
      </c>
      <c r="L144" s="2">
        <v>16558.650000000001</v>
      </c>
    </row>
    <row r="145" spans="1:12" x14ac:dyDescent="0.3">
      <c r="A145" s="2" t="s">
        <v>410</v>
      </c>
      <c r="B145" s="2" t="s">
        <v>411</v>
      </c>
      <c r="C145" s="2" t="s">
        <v>169</v>
      </c>
      <c r="D145" s="2" t="s">
        <v>53</v>
      </c>
      <c r="E145" s="2" t="s">
        <v>16</v>
      </c>
      <c r="F145" s="2" t="s">
        <v>32</v>
      </c>
      <c r="G145" s="2" t="s">
        <v>18</v>
      </c>
      <c r="H145" s="2" t="s">
        <v>75</v>
      </c>
      <c r="I145" s="2">
        <v>5</v>
      </c>
      <c r="J145" s="2">
        <v>4586</v>
      </c>
      <c r="K145" s="2">
        <v>24</v>
      </c>
      <c r="L145" s="2">
        <v>17426.8</v>
      </c>
    </row>
    <row r="146" spans="1:12" x14ac:dyDescent="0.3">
      <c r="A146" s="2" t="s">
        <v>412</v>
      </c>
      <c r="B146" s="2" t="s">
        <v>309</v>
      </c>
      <c r="C146" s="2" t="s">
        <v>413</v>
      </c>
      <c r="D146" s="2" t="s">
        <v>53</v>
      </c>
      <c r="E146" s="2" t="s">
        <v>31</v>
      </c>
      <c r="F146" s="2" t="s">
        <v>40</v>
      </c>
      <c r="G146" s="2" t="s">
        <v>40</v>
      </c>
      <c r="H146" s="2" t="s">
        <v>44</v>
      </c>
      <c r="I146" s="2">
        <v>5</v>
      </c>
      <c r="J146" s="2">
        <v>3938</v>
      </c>
      <c r="K146" s="2">
        <v>8</v>
      </c>
      <c r="L146" s="2">
        <v>18114.8</v>
      </c>
    </row>
    <row r="147" spans="1:12" x14ac:dyDescent="0.3">
      <c r="A147" s="2" t="s">
        <v>414</v>
      </c>
      <c r="B147" s="2" t="s">
        <v>415</v>
      </c>
      <c r="C147" s="2" t="s">
        <v>416</v>
      </c>
      <c r="D147" s="2" t="s">
        <v>15</v>
      </c>
      <c r="E147" s="2" t="s">
        <v>68</v>
      </c>
      <c r="F147" s="2" t="s">
        <v>40</v>
      </c>
      <c r="G147" s="2" t="s">
        <v>54</v>
      </c>
      <c r="H147" s="2" t="s">
        <v>75</v>
      </c>
      <c r="I147" s="2">
        <v>5</v>
      </c>
      <c r="J147" s="2">
        <v>3889</v>
      </c>
      <c r="K147" s="2">
        <v>12</v>
      </c>
      <c r="L147" s="2">
        <v>17111.599999999999</v>
      </c>
    </row>
    <row r="148" spans="1:12" x14ac:dyDescent="0.3">
      <c r="A148" s="2" t="s">
        <v>417</v>
      </c>
      <c r="B148" s="2" t="s">
        <v>418</v>
      </c>
      <c r="C148" s="2" t="s">
        <v>419</v>
      </c>
      <c r="D148" s="2" t="s">
        <v>30</v>
      </c>
      <c r="E148" s="2" t="s">
        <v>58</v>
      </c>
      <c r="F148" s="2" t="s">
        <v>17</v>
      </c>
      <c r="G148" s="2" t="s">
        <v>54</v>
      </c>
      <c r="H148" s="2" t="s">
        <v>33</v>
      </c>
      <c r="I148" s="2">
        <v>4</v>
      </c>
      <c r="J148" s="2">
        <v>761</v>
      </c>
      <c r="K148" s="2">
        <v>10</v>
      </c>
      <c r="L148" s="2">
        <v>2739.6</v>
      </c>
    </row>
    <row r="149" spans="1:12" x14ac:dyDescent="0.3">
      <c r="A149" s="2" t="s">
        <v>420</v>
      </c>
      <c r="B149" s="2" t="s">
        <v>86</v>
      </c>
      <c r="C149" s="2" t="s">
        <v>421</v>
      </c>
      <c r="D149" s="2" t="s">
        <v>15</v>
      </c>
      <c r="E149" s="2" t="s">
        <v>79</v>
      </c>
      <c r="F149" s="2" t="s">
        <v>40</v>
      </c>
      <c r="G149" s="2" t="s">
        <v>40</v>
      </c>
      <c r="H149" s="2" t="s">
        <v>75</v>
      </c>
      <c r="I149" s="2">
        <v>1</v>
      </c>
      <c r="J149" s="2">
        <v>717</v>
      </c>
      <c r="K149" s="2">
        <v>11</v>
      </c>
      <c r="L149" s="2">
        <v>638.13</v>
      </c>
    </row>
    <row r="150" spans="1:12" x14ac:dyDescent="0.3">
      <c r="A150" s="2" t="s">
        <v>422</v>
      </c>
      <c r="B150" s="2" t="s">
        <v>96</v>
      </c>
      <c r="C150" s="2" t="s">
        <v>423</v>
      </c>
      <c r="D150" s="2" t="s">
        <v>88</v>
      </c>
      <c r="E150" s="2" t="s">
        <v>58</v>
      </c>
      <c r="F150" s="2" t="s">
        <v>40</v>
      </c>
      <c r="G150" s="2" t="s">
        <v>18</v>
      </c>
      <c r="H150" s="2" t="s">
        <v>33</v>
      </c>
      <c r="I150" s="2">
        <v>2</v>
      </c>
      <c r="J150" s="2">
        <v>1712</v>
      </c>
      <c r="K150" s="2">
        <v>14</v>
      </c>
      <c r="L150" s="2">
        <v>2944.64</v>
      </c>
    </row>
    <row r="151" spans="1:12" x14ac:dyDescent="0.3">
      <c r="A151" s="2" t="s">
        <v>424</v>
      </c>
      <c r="B151" s="2" t="s">
        <v>425</v>
      </c>
      <c r="C151" s="2" t="s">
        <v>136</v>
      </c>
      <c r="D151" s="2" t="s">
        <v>15</v>
      </c>
      <c r="E151" s="2" t="s">
        <v>48</v>
      </c>
      <c r="F151" s="2" t="s">
        <v>25</v>
      </c>
      <c r="G151" s="2" t="s">
        <v>40</v>
      </c>
      <c r="H151" s="2" t="s">
        <v>19</v>
      </c>
      <c r="I151" s="2">
        <v>2</v>
      </c>
      <c r="J151" s="2">
        <v>4130</v>
      </c>
      <c r="K151" s="2">
        <v>13</v>
      </c>
      <c r="L151" s="2">
        <v>7186.2</v>
      </c>
    </row>
    <row r="152" spans="1:12" x14ac:dyDescent="0.3">
      <c r="A152" s="2" t="s">
        <v>426</v>
      </c>
      <c r="B152" s="2" t="s">
        <v>427</v>
      </c>
      <c r="C152" s="2" t="s">
        <v>428</v>
      </c>
      <c r="D152" s="2" t="s">
        <v>15</v>
      </c>
      <c r="E152" s="2" t="s">
        <v>24</v>
      </c>
      <c r="F152" s="2" t="s">
        <v>32</v>
      </c>
      <c r="G152" s="2" t="s">
        <v>26</v>
      </c>
      <c r="H152" s="2" t="s">
        <v>19</v>
      </c>
      <c r="I152" s="2">
        <v>2</v>
      </c>
      <c r="J152" s="2">
        <v>2433</v>
      </c>
      <c r="K152" s="2">
        <v>25</v>
      </c>
      <c r="L152" s="2">
        <v>3649.5</v>
      </c>
    </row>
    <row r="153" spans="1:12" x14ac:dyDescent="0.3">
      <c r="A153" s="2" t="s">
        <v>429</v>
      </c>
      <c r="B153" s="2" t="s">
        <v>430</v>
      </c>
      <c r="C153" s="2" t="s">
        <v>409</v>
      </c>
      <c r="D153" s="2" t="s">
        <v>30</v>
      </c>
      <c r="E153" s="2" t="s">
        <v>79</v>
      </c>
      <c r="F153" s="2" t="s">
        <v>25</v>
      </c>
      <c r="G153" s="2" t="s">
        <v>62</v>
      </c>
      <c r="H153" s="2" t="s">
        <v>19</v>
      </c>
      <c r="I153" s="2">
        <v>1</v>
      </c>
      <c r="J153" s="2">
        <v>2590</v>
      </c>
      <c r="K153" s="2">
        <v>10</v>
      </c>
      <c r="L153" s="2">
        <v>2331</v>
      </c>
    </row>
    <row r="154" spans="1:12" x14ac:dyDescent="0.3">
      <c r="A154" s="2" t="s">
        <v>431</v>
      </c>
      <c r="B154" s="2" t="s">
        <v>432</v>
      </c>
      <c r="C154" s="2" t="s">
        <v>360</v>
      </c>
      <c r="D154" s="2" t="s">
        <v>88</v>
      </c>
      <c r="E154" s="2" t="s">
        <v>58</v>
      </c>
      <c r="F154" s="2" t="s">
        <v>40</v>
      </c>
      <c r="G154" s="2" t="s">
        <v>40</v>
      </c>
      <c r="H154" s="2" t="s">
        <v>19</v>
      </c>
      <c r="I154" s="2">
        <v>3</v>
      </c>
      <c r="J154" s="2">
        <v>1391</v>
      </c>
      <c r="K154" s="2">
        <v>13</v>
      </c>
      <c r="L154" s="2">
        <v>3630.51</v>
      </c>
    </row>
    <row r="155" spans="1:12" x14ac:dyDescent="0.3">
      <c r="A155" s="2" t="s">
        <v>433</v>
      </c>
      <c r="B155" s="2" t="s">
        <v>73</v>
      </c>
      <c r="C155" s="2" t="s">
        <v>117</v>
      </c>
      <c r="D155" s="2" t="s">
        <v>53</v>
      </c>
      <c r="E155" s="2" t="s">
        <v>79</v>
      </c>
      <c r="F155" s="2" t="s">
        <v>32</v>
      </c>
      <c r="G155" s="2" t="s">
        <v>18</v>
      </c>
      <c r="H155" s="2" t="s">
        <v>75</v>
      </c>
      <c r="I155" s="2">
        <v>5</v>
      </c>
      <c r="J155" s="2">
        <v>4504</v>
      </c>
      <c r="K155" s="2">
        <v>13</v>
      </c>
      <c r="L155" s="2">
        <v>19592.400000000001</v>
      </c>
    </row>
    <row r="156" spans="1:12" x14ac:dyDescent="0.3">
      <c r="A156" s="2" t="s">
        <v>434</v>
      </c>
      <c r="B156" s="2" t="s">
        <v>435</v>
      </c>
      <c r="C156" s="2" t="s">
        <v>436</v>
      </c>
      <c r="D156" s="2" t="s">
        <v>88</v>
      </c>
      <c r="E156" s="2" t="s">
        <v>68</v>
      </c>
      <c r="F156" s="2" t="s">
        <v>40</v>
      </c>
      <c r="G156" s="2" t="s">
        <v>54</v>
      </c>
      <c r="H156" s="2" t="s">
        <v>33</v>
      </c>
      <c r="I156" s="2">
        <v>2</v>
      </c>
      <c r="J156" s="2">
        <v>393</v>
      </c>
      <c r="K156" s="2">
        <v>4</v>
      </c>
      <c r="L156" s="2">
        <v>754.56</v>
      </c>
    </row>
    <row r="157" spans="1:12" x14ac:dyDescent="0.3">
      <c r="A157" s="2" t="s">
        <v>437</v>
      </c>
      <c r="B157" s="2" t="s">
        <v>107</v>
      </c>
      <c r="C157" s="2" t="s">
        <v>438</v>
      </c>
      <c r="D157" s="2" t="s">
        <v>53</v>
      </c>
      <c r="E157" s="2" t="s">
        <v>79</v>
      </c>
      <c r="F157" s="2" t="s">
        <v>25</v>
      </c>
      <c r="G157" s="2" t="s">
        <v>62</v>
      </c>
      <c r="H157" s="2" t="s">
        <v>33</v>
      </c>
      <c r="I157" s="2">
        <v>1</v>
      </c>
      <c r="J157" s="2">
        <v>2012</v>
      </c>
      <c r="K157" s="2">
        <v>18</v>
      </c>
      <c r="L157" s="2">
        <v>1649.84</v>
      </c>
    </row>
    <row r="158" spans="1:12" x14ac:dyDescent="0.3">
      <c r="A158" s="2" t="s">
        <v>439</v>
      </c>
      <c r="B158" s="2" t="s">
        <v>440</v>
      </c>
      <c r="C158" s="2" t="s">
        <v>441</v>
      </c>
      <c r="D158" s="2" t="s">
        <v>30</v>
      </c>
      <c r="E158" s="2" t="s">
        <v>24</v>
      </c>
      <c r="F158" s="2" t="s">
        <v>32</v>
      </c>
      <c r="G158" s="2" t="s">
        <v>62</v>
      </c>
      <c r="H158" s="2" t="s">
        <v>44</v>
      </c>
      <c r="I158" s="2">
        <v>5</v>
      </c>
      <c r="J158" s="2">
        <v>1730</v>
      </c>
      <c r="K158" s="2">
        <v>27</v>
      </c>
      <c r="L158" s="2">
        <v>6314.5</v>
      </c>
    </row>
    <row r="159" spans="1:12" x14ac:dyDescent="0.3">
      <c r="A159" s="2" t="s">
        <v>442</v>
      </c>
      <c r="B159" s="2" t="s">
        <v>443</v>
      </c>
      <c r="C159" s="2" t="s">
        <v>169</v>
      </c>
      <c r="D159" s="2" t="s">
        <v>88</v>
      </c>
      <c r="E159" s="2" t="s">
        <v>79</v>
      </c>
      <c r="F159" s="2" t="s">
        <v>17</v>
      </c>
      <c r="G159" s="2" t="s">
        <v>54</v>
      </c>
      <c r="H159" s="2" t="s">
        <v>33</v>
      </c>
      <c r="I159" s="2">
        <v>5</v>
      </c>
      <c r="J159" s="2">
        <v>4991</v>
      </c>
      <c r="K159" s="2">
        <v>23</v>
      </c>
      <c r="L159" s="2">
        <v>19215.349999999999</v>
      </c>
    </row>
    <row r="160" spans="1:12" x14ac:dyDescent="0.3">
      <c r="A160" s="2" t="s">
        <v>444</v>
      </c>
      <c r="B160" s="2" t="s">
        <v>213</v>
      </c>
      <c r="C160" s="2" t="s">
        <v>36</v>
      </c>
      <c r="D160" s="2" t="s">
        <v>15</v>
      </c>
      <c r="E160" s="2" t="s">
        <v>79</v>
      </c>
      <c r="F160" s="2" t="s">
        <v>40</v>
      </c>
      <c r="G160" s="2" t="s">
        <v>26</v>
      </c>
      <c r="H160" s="2" t="s">
        <v>33</v>
      </c>
      <c r="I160" s="2">
        <v>1</v>
      </c>
      <c r="J160" s="2">
        <v>812</v>
      </c>
      <c r="K160" s="2">
        <v>25</v>
      </c>
      <c r="L160" s="2">
        <v>609</v>
      </c>
    </row>
    <row r="161" spans="1:12" x14ac:dyDescent="0.3">
      <c r="A161" s="2" t="s">
        <v>445</v>
      </c>
      <c r="B161" s="2" t="s">
        <v>446</v>
      </c>
      <c r="C161" s="2" t="s">
        <v>447</v>
      </c>
      <c r="D161" s="2" t="s">
        <v>15</v>
      </c>
      <c r="E161" s="2" t="s">
        <v>31</v>
      </c>
      <c r="F161" s="2" t="s">
        <v>49</v>
      </c>
      <c r="G161" s="2" t="s">
        <v>54</v>
      </c>
      <c r="H161" s="2" t="s">
        <v>44</v>
      </c>
      <c r="I161" s="2">
        <v>5</v>
      </c>
      <c r="J161" s="2">
        <v>866</v>
      </c>
      <c r="K161" s="2">
        <v>18</v>
      </c>
      <c r="L161" s="2">
        <v>3550.6</v>
      </c>
    </row>
    <row r="162" spans="1:12" x14ac:dyDescent="0.3">
      <c r="A162" s="2" t="s">
        <v>448</v>
      </c>
      <c r="B162" s="2" t="s">
        <v>449</v>
      </c>
      <c r="C162" s="2" t="s">
        <v>219</v>
      </c>
      <c r="D162" s="2" t="s">
        <v>23</v>
      </c>
      <c r="E162" s="2" t="s">
        <v>79</v>
      </c>
      <c r="F162" s="2" t="s">
        <v>17</v>
      </c>
      <c r="G162" s="2" t="s">
        <v>62</v>
      </c>
      <c r="H162" s="2" t="s">
        <v>33</v>
      </c>
      <c r="I162" s="2">
        <v>1</v>
      </c>
      <c r="J162" s="2">
        <v>383</v>
      </c>
      <c r="K162" s="2">
        <v>26</v>
      </c>
      <c r="L162" s="2">
        <v>283.42</v>
      </c>
    </row>
    <row r="163" spans="1:12" x14ac:dyDescent="0.3">
      <c r="A163" s="2" t="s">
        <v>450</v>
      </c>
      <c r="B163" s="2" t="s">
        <v>96</v>
      </c>
      <c r="C163" s="2" t="s">
        <v>451</v>
      </c>
      <c r="D163" s="2" t="s">
        <v>88</v>
      </c>
      <c r="E163" s="2" t="s">
        <v>16</v>
      </c>
      <c r="F163" s="2" t="s">
        <v>25</v>
      </c>
      <c r="G163" s="2" t="s">
        <v>26</v>
      </c>
      <c r="H163" s="2" t="s">
        <v>33</v>
      </c>
      <c r="I163" s="2">
        <v>2</v>
      </c>
      <c r="J163" s="2">
        <v>1926</v>
      </c>
      <c r="K163" s="2">
        <v>14</v>
      </c>
      <c r="L163" s="2">
        <v>3312.72</v>
      </c>
    </row>
    <row r="164" spans="1:12" x14ac:dyDescent="0.3">
      <c r="A164" s="2" t="s">
        <v>452</v>
      </c>
      <c r="B164" s="2" t="s">
        <v>453</v>
      </c>
      <c r="C164" s="2" t="s">
        <v>454</v>
      </c>
      <c r="D164" s="2" t="s">
        <v>88</v>
      </c>
      <c r="E164" s="2" t="s">
        <v>31</v>
      </c>
      <c r="F164" s="2" t="s">
        <v>49</v>
      </c>
      <c r="G164" s="2" t="s">
        <v>40</v>
      </c>
      <c r="H164" s="2" t="s">
        <v>75</v>
      </c>
      <c r="I164" s="2">
        <v>3</v>
      </c>
      <c r="J164" s="2">
        <v>4445</v>
      </c>
      <c r="K164" s="2">
        <v>19</v>
      </c>
      <c r="L164" s="2">
        <v>10801.35</v>
      </c>
    </row>
    <row r="165" spans="1:12" x14ac:dyDescent="0.3">
      <c r="A165" s="2" t="s">
        <v>455</v>
      </c>
      <c r="B165" s="2" t="s">
        <v>456</v>
      </c>
      <c r="C165" s="2" t="s">
        <v>197</v>
      </c>
      <c r="D165" s="2" t="s">
        <v>23</v>
      </c>
      <c r="E165" s="2" t="s">
        <v>68</v>
      </c>
      <c r="F165" s="2" t="s">
        <v>40</v>
      </c>
      <c r="G165" s="2" t="s">
        <v>18</v>
      </c>
      <c r="H165" s="2" t="s">
        <v>75</v>
      </c>
      <c r="I165" s="2">
        <v>1</v>
      </c>
      <c r="J165" s="2">
        <v>2797</v>
      </c>
      <c r="K165" s="2">
        <v>7</v>
      </c>
      <c r="L165" s="2">
        <v>2601.21</v>
      </c>
    </row>
    <row r="166" spans="1:12" x14ac:dyDescent="0.3">
      <c r="A166" s="2" t="s">
        <v>457</v>
      </c>
      <c r="B166" s="2" t="s">
        <v>458</v>
      </c>
      <c r="C166" s="2" t="s">
        <v>270</v>
      </c>
      <c r="D166" s="2" t="s">
        <v>88</v>
      </c>
      <c r="E166" s="2" t="s">
        <v>24</v>
      </c>
      <c r="F166" s="2" t="s">
        <v>40</v>
      </c>
      <c r="G166" s="2" t="s">
        <v>18</v>
      </c>
      <c r="H166" s="2" t="s">
        <v>75</v>
      </c>
      <c r="I166" s="2">
        <v>2</v>
      </c>
      <c r="J166" s="2">
        <v>2521</v>
      </c>
      <c r="K166" s="2">
        <v>8</v>
      </c>
      <c r="L166" s="2">
        <v>4638.6400000000003</v>
      </c>
    </row>
    <row r="167" spans="1:12" x14ac:dyDescent="0.3">
      <c r="A167" s="2" t="s">
        <v>459</v>
      </c>
      <c r="B167" s="2" t="s">
        <v>28</v>
      </c>
      <c r="C167" s="2" t="s">
        <v>67</v>
      </c>
      <c r="D167" s="2" t="s">
        <v>15</v>
      </c>
      <c r="E167" s="2" t="s">
        <v>24</v>
      </c>
      <c r="F167" s="2" t="s">
        <v>40</v>
      </c>
      <c r="G167" s="2" t="s">
        <v>18</v>
      </c>
      <c r="H167" s="2" t="s">
        <v>19</v>
      </c>
      <c r="I167" s="2">
        <v>5</v>
      </c>
      <c r="J167" s="2">
        <v>3233</v>
      </c>
      <c r="K167" s="2">
        <v>6</v>
      </c>
      <c r="L167" s="2">
        <v>15195.1</v>
      </c>
    </row>
    <row r="168" spans="1:12" x14ac:dyDescent="0.3">
      <c r="A168" s="2" t="s">
        <v>460</v>
      </c>
      <c r="B168" s="2" t="s">
        <v>418</v>
      </c>
      <c r="C168" s="2" t="s">
        <v>461</v>
      </c>
      <c r="D168" s="2" t="s">
        <v>15</v>
      </c>
      <c r="E168" s="2" t="s">
        <v>48</v>
      </c>
      <c r="F168" s="2" t="s">
        <v>32</v>
      </c>
      <c r="G168" s="2" t="s">
        <v>40</v>
      </c>
      <c r="H168" s="2" t="s">
        <v>44</v>
      </c>
      <c r="I168" s="2">
        <v>4</v>
      </c>
      <c r="J168" s="2">
        <v>1451</v>
      </c>
      <c r="K168" s="2">
        <v>3</v>
      </c>
      <c r="L168" s="2">
        <v>5629.88</v>
      </c>
    </row>
    <row r="169" spans="1:12" x14ac:dyDescent="0.3">
      <c r="A169" s="2" t="s">
        <v>462</v>
      </c>
      <c r="B169" s="2" t="s">
        <v>463</v>
      </c>
      <c r="C169" s="2" t="s">
        <v>407</v>
      </c>
      <c r="D169" s="2" t="s">
        <v>23</v>
      </c>
      <c r="E169" s="2" t="s">
        <v>24</v>
      </c>
      <c r="F169" s="2" t="s">
        <v>49</v>
      </c>
      <c r="G169" s="2" t="s">
        <v>40</v>
      </c>
      <c r="H169" s="2" t="s">
        <v>33</v>
      </c>
      <c r="I169" s="2">
        <v>2</v>
      </c>
      <c r="J169" s="2">
        <v>1610</v>
      </c>
      <c r="K169" s="2">
        <v>15</v>
      </c>
      <c r="L169" s="2">
        <v>2737</v>
      </c>
    </row>
    <row r="170" spans="1:12" x14ac:dyDescent="0.3">
      <c r="A170" s="2" t="s">
        <v>464</v>
      </c>
      <c r="B170" s="2" t="s">
        <v>110</v>
      </c>
      <c r="C170" s="2" t="s">
        <v>465</v>
      </c>
      <c r="D170" s="2" t="s">
        <v>88</v>
      </c>
      <c r="E170" s="2" t="s">
        <v>68</v>
      </c>
      <c r="F170" s="2" t="s">
        <v>40</v>
      </c>
      <c r="G170" s="2" t="s">
        <v>26</v>
      </c>
      <c r="H170" s="2" t="s">
        <v>75</v>
      </c>
      <c r="I170" s="2">
        <v>4</v>
      </c>
      <c r="J170" s="2">
        <v>3354</v>
      </c>
      <c r="K170" s="2">
        <v>19</v>
      </c>
      <c r="L170" s="2">
        <v>10866.96</v>
      </c>
    </row>
    <row r="171" spans="1:12" x14ac:dyDescent="0.3">
      <c r="A171" s="2" t="s">
        <v>466</v>
      </c>
      <c r="B171" s="2" t="s">
        <v>467</v>
      </c>
      <c r="C171" s="2" t="s">
        <v>468</v>
      </c>
      <c r="D171" s="2" t="s">
        <v>88</v>
      </c>
      <c r="E171" s="2" t="s">
        <v>24</v>
      </c>
      <c r="F171" s="2" t="s">
        <v>40</v>
      </c>
      <c r="G171" s="2" t="s">
        <v>62</v>
      </c>
      <c r="H171" s="2" t="s">
        <v>44</v>
      </c>
      <c r="I171" s="2">
        <v>2</v>
      </c>
      <c r="J171" s="2">
        <v>2000</v>
      </c>
      <c r="K171" s="2">
        <v>19</v>
      </c>
      <c r="L171" s="2">
        <v>3240</v>
      </c>
    </row>
    <row r="172" spans="1:12" x14ac:dyDescent="0.3">
      <c r="A172" s="2" t="s">
        <v>469</v>
      </c>
      <c r="B172" s="2" t="s">
        <v>162</v>
      </c>
      <c r="C172" s="2" t="s">
        <v>470</v>
      </c>
      <c r="D172" s="2" t="s">
        <v>23</v>
      </c>
      <c r="E172" s="2" t="s">
        <v>58</v>
      </c>
      <c r="F172" s="2" t="s">
        <v>25</v>
      </c>
      <c r="G172" s="2" t="s">
        <v>18</v>
      </c>
      <c r="H172" s="2" t="s">
        <v>33</v>
      </c>
      <c r="I172" s="2">
        <v>1</v>
      </c>
      <c r="J172" s="2">
        <v>3396</v>
      </c>
      <c r="K172" s="2">
        <v>2</v>
      </c>
      <c r="L172" s="2">
        <v>3328.08</v>
      </c>
    </row>
    <row r="173" spans="1:12" x14ac:dyDescent="0.3">
      <c r="A173" s="2" t="s">
        <v>471</v>
      </c>
      <c r="B173" s="2" t="s">
        <v>472</v>
      </c>
      <c r="C173" s="2" t="s">
        <v>183</v>
      </c>
      <c r="D173" s="2" t="s">
        <v>30</v>
      </c>
      <c r="E173" s="2" t="s">
        <v>79</v>
      </c>
      <c r="F173" s="2" t="s">
        <v>40</v>
      </c>
      <c r="G173" s="2" t="s">
        <v>40</v>
      </c>
      <c r="H173" s="2" t="s">
        <v>33</v>
      </c>
      <c r="I173" s="2">
        <v>1</v>
      </c>
      <c r="J173" s="2">
        <v>2224</v>
      </c>
      <c r="K173" s="2">
        <v>3</v>
      </c>
      <c r="L173" s="2">
        <v>2157.2800000000002</v>
      </c>
    </row>
    <row r="174" spans="1:12" x14ac:dyDescent="0.3">
      <c r="A174" s="2" t="s">
        <v>473</v>
      </c>
      <c r="B174" s="2" t="s">
        <v>474</v>
      </c>
      <c r="C174" s="2" t="s">
        <v>475</v>
      </c>
      <c r="D174" s="2" t="s">
        <v>53</v>
      </c>
      <c r="E174" s="2" t="s">
        <v>31</v>
      </c>
      <c r="F174" s="2" t="s">
        <v>49</v>
      </c>
      <c r="G174" s="2" t="s">
        <v>18</v>
      </c>
      <c r="H174" s="2" t="s">
        <v>44</v>
      </c>
      <c r="I174" s="2">
        <v>2</v>
      </c>
      <c r="J174" s="2">
        <v>3682</v>
      </c>
      <c r="K174" s="2">
        <v>16</v>
      </c>
      <c r="L174" s="2">
        <v>6185.76</v>
      </c>
    </row>
    <row r="175" spans="1:12" x14ac:dyDescent="0.3">
      <c r="A175" s="2" t="s">
        <v>476</v>
      </c>
      <c r="B175" s="2" t="s">
        <v>171</v>
      </c>
      <c r="C175" s="2" t="s">
        <v>477</v>
      </c>
      <c r="D175" s="2" t="s">
        <v>53</v>
      </c>
      <c r="E175" s="2" t="s">
        <v>68</v>
      </c>
      <c r="F175" s="2" t="s">
        <v>17</v>
      </c>
      <c r="G175" s="2" t="s">
        <v>18</v>
      </c>
      <c r="H175" s="2" t="s">
        <v>19</v>
      </c>
      <c r="I175" s="2">
        <v>1</v>
      </c>
      <c r="J175" s="2">
        <v>4242</v>
      </c>
      <c r="K175" s="2">
        <v>30</v>
      </c>
      <c r="L175" s="2">
        <v>2969.4</v>
      </c>
    </row>
    <row r="176" spans="1:12" x14ac:dyDescent="0.3">
      <c r="A176" s="2" t="s">
        <v>478</v>
      </c>
      <c r="B176" s="2" t="s">
        <v>479</v>
      </c>
      <c r="C176" s="2" t="s">
        <v>480</v>
      </c>
      <c r="D176" s="2" t="s">
        <v>23</v>
      </c>
      <c r="E176" s="2" t="s">
        <v>48</v>
      </c>
      <c r="F176" s="2" t="s">
        <v>25</v>
      </c>
      <c r="G176" s="2" t="s">
        <v>40</v>
      </c>
      <c r="H176" s="2" t="s">
        <v>44</v>
      </c>
      <c r="I176" s="2">
        <v>3</v>
      </c>
      <c r="J176" s="2">
        <v>1126</v>
      </c>
      <c r="K176" s="2">
        <v>11</v>
      </c>
      <c r="L176" s="2">
        <v>3006.42</v>
      </c>
    </row>
    <row r="177" spans="1:12" x14ac:dyDescent="0.3">
      <c r="A177" s="2" t="s">
        <v>481</v>
      </c>
      <c r="B177" s="2" t="s">
        <v>482</v>
      </c>
      <c r="C177" s="2" t="s">
        <v>311</v>
      </c>
      <c r="D177" s="2" t="s">
        <v>88</v>
      </c>
      <c r="E177" s="2" t="s">
        <v>58</v>
      </c>
      <c r="F177" s="2" t="s">
        <v>40</v>
      </c>
      <c r="G177" s="2" t="s">
        <v>18</v>
      </c>
      <c r="H177" s="2" t="s">
        <v>19</v>
      </c>
      <c r="I177" s="2">
        <v>5</v>
      </c>
      <c r="J177" s="2">
        <v>3708</v>
      </c>
      <c r="K177" s="2">
        <v>4</v>
      </c>
      <c r="L177" s="2">
        <v>17798.400000000001</v>
      </c>
    </row>
    <row r="178" spans="1:12" x14ac:dyDescent="0.3">
      <c r="A178" s="2" t="s">
        <v>483</v>
      </c>
      <c r="B178" s="2" t="s">
        <v>362</v>
      </c>
      <c r="C178" s="2" t="s">
        <v>47</v>
      </c>
      <c r="D178" s="2" t="s">
        <v>15</v>
      </c>
      <c r="E178" s="2" t="s">
        <v>79</v>
      </c>
      <c r="F178" s="2" t="s">
        <v>49</v>
      </c>
      <c r="G178" s="2" t="s">
        <v>62</v>
      </c>
      <c r="H178" s="2" t="s">
        <v>19</v>
      </c>
      <c r="I178" s="2">
        <v>3</v>
      </c>
      <c r="J178" s="2">
        <v>4282</v>
      </c>
      <c r="K178" s="2">
        <v>17</v>
      </c>
      <c r="L178" s="2">
        <v>10662.18</v>
      </c>
    </row>
    <row r="179" spans="1:12" x14ac:dyDescent="0.3">
      <c r="A179" s="2" t="s">
        <v>484</v>
      </c>
      <c r="B179" s="2" t="s">
        <v>485</v>
      </c>
      <c r="C179" s="2" t="s">
        <v>36</v>
      </c>
      <c r="D179" s="2" t="s">
        <v>53</v>
      </c>
      <c r="E179" s="2" t="s">
        <v>24</v>
      </c>
      <c r="F179" s="2" t="s">
        <v>49</v>
      </c>
      <c r="G179" s="2" t="s">
        <v>54</v>
      </c>
      <c r="H179" s="2" t="s">
        <v>19</v>
      </c>
      <c r="I179" s="2">
        <v>2</v>
      </c>
      <c r="J179" s="2">
        <v>3706</v>
      </c>
      <c r="K179" s="2">
        <v>30</v>
      </c>
      <c r="L179" s="2">
        <v>5188.3999999999996</v>
      </c>
    </row>
    <row r="180" spans="1:12" x14ac:dyDescent="0.3">
      <c r="A180" s="2" t="s">
        <v>486</v>
      </c>
      <c r="B180" s="2" t="s">
        <v>487</v>
      </c>
      <c r="C180" s="2" t="s">
        <v>393</v>
      </c>
      <c r="D180" s="2" t="s">
        <v>88</v>
      </c>
      <c r="E180" s="2" t="s">
        <v>48</v>
      </c>
      <c r="F180" s="2" t="s">
        <v>49</v>
      </c>
      <c r="G180" s="2" t="s">
        <v>62</v>
      </c>
      <c r="H180" s="2" t="s">
        <v>44</v>
      </c>
      <c r="I180" s="2">
        <v>1</v>
      </c>
      <c r="J180" s="2">
        <v>1817</v>
      </c>
      <c r="K180" s="2">
        <v>10</v>
      </c>
      <c r="L180" s="2">
        <v>1635.3</v>
      </c>
    </row>
    <row r="181" spans="1:12" x14ac:dyDescent="0.3">
      <c r="A181" s="2" t="s">
        <v>488</v>
      </c>
      <c r="B181" s="2" t="s">
        <v>482</v>
      </c>
      <c r="C181" s="2" t="s">
        <v>322</v>
      </c>
      <c r="D181" s="2" t="s">
        <v>88</v>
      </c>
      <c r="E181" s="2" t="s">
        <v>16</v>
      </c>
      <c r="F181" s="2" t="s">
        <v>32</v>
      </c>
      <c r="G181" s="2" t="s">
        <v>40</v>
      </c>
      <c r="H181" s="2" t="s">
        <v>33</v>
      </c>
      <c r="I181" s="2">
        <v>1</v>
      </c>
      <c r="J181" s="2">
        <v>2320</v>
      </c>
      <c r="K181" s="2">
        <v>3</v>
      </c>
      <c r="L181" s="2">
        <v>2250.4</v>
      </c>
    </row>
    <row r="182" spans="1:12" x14ac:dyDescent="0.3">
      <c r="A182" s="2" t="s">
        <v>489</v>
      </c>
      <c r="B182" s="2" t="s">
        <v>490</v>
      </c>
      <c r="C182" s="2" t="s">
        <v>491</v>
      </c>
      <c r="D182" s="2" t="s">
        <v>23</v>
      </c>
      <c r="E182" s="2" t="s">
        <v>68</v>
      </c>
      <c r="F182" s="2" t="s">
        <v>17</v>
      </c>
      <c r="G182" s="2" t="s">
        <v>54</v>
      </c>
      <c r="H182" s="2" t="s">
        <v>19</v>
      </c>
      <c r="I182" s="2">
        <v>2</v>
      </c>
      <c r="J182" s="2">
        <v>612</v>
      </c>
      <c r="K182" s="2">
        <v>9</v>
      </c>
      <c r="L182" s="2">
        <v>1113.8399999999999</v>
      </c>
    </row>
    <row r="183" spans="1:12" x14ac:dyDescent="0.3">
      <c r="A183" s="2" t="s">
        <v>492</v>
      </c>
      <c r="B183" s="2" t="s">
        <v>398</v>
      </c>
      <c r="C183" s="2" t="s">
        <v>493</v>
      </c>
      <c r="D183" s="2" t="s">
        <v>30</v>
      </c>
      <c r="E183" s="2" t="s">
        <v>31</v>
      </c>
      <c r="F183" s="2" t="s">
        <v>25</v>
      </c>
      <c r="G183" s="2" t="s">
        <v>40</v>
      </c>
      <c r="H183" s="2" t="s">
        <v>33</v>
      </c>
      <c r="I183" s="2">
        <v>5</v>
      </c>
      <c r="J183" s="2">
        <v>4428</v>
      </c>
      <c r="K183" s="2">
        <v>14</v>
      </c>
      <c r="L183" s="2">
        <v>19040.400000000001</v>
      </c>
    </row>
    <row r="184" spans="1:12" x14ac:dyDescent="0.3">
      <c r="A184" s="2" t="s">
        <v>494</v>
      </c>
      <c r="B184" s="2" t="s">
        <v>495</v>
      </c>
      <c r="C184" s="2" t="s">
        <v>496</v>
      </c>
      <c r="D184" s="2" t="s">
        <v>30</v>
      </c>
      <c r="E184" s="2" t="s">
        <v>58</v>
      </c>
      <c r="F184" s="2" t="s">
        <v>40</v>
      </c>
      <c r="G184" s="2" t="s">
        <v>54</v>
      </c>
      <c r="H184" s="2" t="s">
        <v>75</v>
      </c>
      <c r="I184" s="2">
        <v>5</v>
      </c>
      <c r="J184" s="2">
        <v>288</v>
      </c>
      <c r="K184" s="2">
        <v>30</v>
      </c>
      <c r="L184" s="2">
        <v>1008</v>
      </c>
    </row>
    <row r="185" spans="1:12" x14ac:dyDescent="0.3">
      <c r="A185" s="2" t="s">
        <v>497</v>
      </c>
      <c r="B185" s="2" t="s">
        <v>498</v>
      </c>
      <c r="C185" s="2" t="s">
        <v>499</v>
      </c>
      <c r="D185" s="2" t="s">
        <v>30</v>
      </c>
      <c r="E185" s="2" t="s">
        <v>79</v>
      </c>
      <c r="F185" s="2" t="s">
        <v>40</v>
      </c>
      <c r="G185" s="2" t="s">
        <v>18</v>
      </c>
      <c r="H185" s="2" t="s">
        <v>44</v>
      </c>
      <c r="I185" s="2">
        <v>1</v>
      </c>
      <c r="J185" s="2">
        <v>3948</v>
      </c>
      <c r="K185" s="2">
        <v>26</v>
      </c>
      <c r="L185" s="2">
        <v>2921.52</v>
      </c>
    </row>
    <row r="186" spans="1:12" x14ac:dyDescent="0.3">
      <c r="A186" s="2" t="s">
        <v>500</v>
      </c>
      <c r="B186" s="2" t="s">
        <v>501</v>
      </c>
      <c r="C186" s="2" t="s">
        <v>502</v>
      </c>
      <c r="D186" s="2" t="s">
        <v>88</v>
      </c>
      <c r="E186" s="2" t="s">
        <v>68</v>
      </c>
      <c r="F186" s="2" t="s">
        <v>25</v>
      </c>
      <c r="G186" s="2" t="s">
        <v>62</v>
      </c>
      <c r="H186" s="2" t="s">
        <v>75</v>
      </c>
      <c r="I186" s="2">
        <v>4</v>
      </c>
      <c r="J186" s="2">
        <v>2372</v>
      </c>
      <c r="K186" s="2">
        <v>21</v>
      </c>
      <c r="L186" s="2">
        <v>7495.52</v>
      </c>
    </row>
    <row r="187" spans="1:12" x14ac:dyDescent="0.3">
      <c r="A187" s="2" t="s">
        <v>503</v>
      </c>
      <c r="B187" s="2" t="s">
        <v>504</v>
      </c>
      <c r="C187" s="2" t="s">
        <v>505</v>
      </c>
      <c r="D187" s="2" t="s">
        <v>23</v>
      </c>
      <c r="E187" s="2" t="s">
        <v>68</v>
      </c>
      <c r="F187" s="2" t="s">
        <v>49</v>
      </c>
      <c r="G187" s="2" t="s">
        <v>26</v>
      </c>
      <c r="H187" s="2" t="s">
        <v>19</v>
      </c>
      <c r="I187" s="2">
        <v>5</v>
      </c>
      <c r="J187" s="2">
        <v>739</v>
      </c>
      <c r="K187" s="2">
        <v>23</v>
      </c>
      <c r="L187" s="2">
        <v>2845.15</v>
      </c>
    </row>
    <row r="188" spans="1:12" x14ac:dyDescent="0.3">
      <c r="A188" s="2" t="s">
        <v>506</v>
      </c>
      <c r="B188" s="2" t="s">
        <v>135</v>
      </c>
      <c r="C188" s="2" t="s">
        <v>99</v>
      </c>
      <c r="D188" s="2" t="s">
        <v>23</v>
      </c>
      <c r="E188" s="2" t="s">
        <v>79</v>
      </c>
      <c r="F188" s="2" t="s">
        <v>25</v>
      </c>
      <c r="G188" s="2" t="s">
        <v>18</v>
      </c>
      <c r="H188" s="2" t="s">
        <v>33</v>
      </c>
      <c r="I188" s="2">
        <v>1</v>
      </c>
      <c r="J188" s="2">
        <v>2068</v>
      </c>
      <c r="K188" s="2">
        <v>18</v>
      </c>
      <c r="L188" s="2">
        <v>1695.76</v>
      </c>
    </row>
    <row r="189" spans="1:12" x14ac:dyDescent="0.3">
      <c r="A189" s="2" t="s">
        <v>507</v>
      </c>
      <c r="B189" s="2" t="s">
        <v>227</v>
      </c>
      <c r="C189" s="2" t="s">
        <v>491</v>
      </c>
      <c r="D189" s="2" t="s">
        <v>53</v>
      </c>
      <c r="E189" s="2" t="s">
        <v>31</v>
      </c>
      <c r="F189" s="2" t="s">
        <v>25</v>
      </c>
      <c r="G189" s="2" t="s">
        <v>54</v>
      </c>
      <c r="H189" s="2" t="s">
        <v>33</v>
      </c>
      <c r="I189" s="2">
        <v>3</v>
      </c>
      <c r="J189" s="2">
        <v>1968</v>
      </c>
      <c r="K189" s="2">
        <v>21</v>
      </c>
      <c r="L189" s="2">
        <v>4664.16</v>
      </c>
    </row>
    <row r="190" spans="1:12" x14ac:dyDescent="0.3">
      <c r="A190" s="2" t="s">
        <v>508</v>
      </c>
      <c r="B190" s="2" t="s">
        <v>509</v>
      </c>
      <c r="C190" s="2" t="s">
        <v>510</v>
      </c>
      <c r="D190" s="2" t="s">
        <v>30</v>
      </c>
      <c r="E190" s="2" t="s">
        <v>16</v>
      </c>
      <c r="F190" s="2" t="s">
        <v>32</v>
      </c>
      <c r="G190" s="2" t="s">
        <v>54</v>
      </c>
      <c r="H190" s="2" t="s">
        <v>75</v>
      </c>
      <c r="I190" s="2">
        <v>5</v>
      </c>
      <c r="J190" s="2">
        <v>4725</v>
      </c>
      <c r="K190" s="2">
        <v>27</v>
      </c>
      <c r="L190" s="2">
        <v>17246.25</v>
      </c>
    </row>
    <row r="191" spans="1:12" x14ac:dyDescent="0.3">
      <c r="A191" s="2" t="s">
        <v>511</v>
      </c>
      <c r="B191" s="2" t="s">
        <v>51</v>
      </c>
      <c r="C191" s="2" t="s">
        <v>512</v>
      </c>
      <c r="D191" s="2" t="s">
        <v>23</v>
      </c>
      <c r="E191" s="2" t="s">
        <v>68</v>
      </c>
      <c r="F191" s="2" t="s">
        <v>49</v>
      </c>
      <c r="G191" s="2" t="s">
        <v>40</v>
      </c>
      <c r="H191" s="2" t="s">
        <v>19</v>
      </c>
      <c r="I191" s="2">
        <v>5</v>
      </c>
      <c r="J191" s="2">
        <v>1349</v>
      </c>
      <c r="K191" s="2">
        <v>16</v>
      </c>
      <c r="L191" s="2">
        <v>5665.8</v>
      </c>
    </row>
    <row r="192" spans="1:12" x14ac:dyDescent="0.3">
      <c r="A192" s="2" t="s">
        <v>513</v>
      </c>
      <c r="B192" s="2" t="s">
        <v>514</v>
      </c>
      <c r="C192" s="2" t="s">
        <v>515</v>
      </c>
      <c r="D192" s="2" t="s">
        <v>88</v>
      </c>
      <c r="E192" s="2" t="s">
        <v>79</v>
      </c>
      <c r="F192" s="2" t="s">
        <v>17</v>
      </c>
      <c r="G192" s="2" t="s">
        <v>26</v>
      </c>
      <c r="H192" s="2" t="s">
        <v>44</v>
      </c>
      <c r="I192" s="2">
        <v>1</v>
      </c>
      <c r="J192" s="2">
        <v>570</v>
      </c>
      <c r="K192" s="2">
        <v>30</v>
      </c>
      <c r="L192" s="2">
        <v>399</v>
      </c>
    </row>
    <row r="193" spans="1:12" x14ac:dyDescent="0.3">
      <c r="A193" s="2" t="s">
        <v>516</v>
      </c>
      <c r="B193" s="2" t="s">
        <v>517</v>
      </c>
      <c r="C193" s="2" t="s">
        <v>393</v>
      </c>
      <c r="D193" s="2" t="s">
        <v>88</v>
      </c>
      <c r="E193" s="2" t="s">
        <v>68</v>
      </c>
      <c r="F193" s="2" t="s">
        <v>40</v>
      </c>
      <c r="G193" s="2" t="s">
        <v>62</v>
      </c>
      <c r="H193" s="2" t="s">
        <v>19</v>
      </c>
      <c r="I193" s="2">
        <v>5</v>
      </c>
      <c r="J193" s="2">
        <v>904</v>
      </c>
      <c r="K193" s="2">
        <v>30</v>
      </c>
      <c r="L193" s="2">
        <v>3164</v>
      </c>
    </row>
    <row r="194" spans="1:12" x14ac:dyDescent="0.3">
      <c r="A194" s="2" t="s">
        <v>518</v>
      </c>
      <c r="B194" s="2" t="s">
        <v>171</v>
      </c>
      <c r="C194" s="2" t="s">
        <v>519</v>
      </c>
      <c r="D194" s="2" t="s">
        <v>15</v>
      </c>
      <c r="E194" s="2" t="s">
        <v>68</v>
      </c>
      <c r="F194" s="2" t="s">
        <v>17</v>
      </c>
      <c r="G194" s="2" t="s">
        <v>40</v>
      </c>
      <c r="H194" s="2" t="s">
        <v>44</v>
      </c>
      <c r="I194" s="2">
        <v>3</v>
      </c>
      <c r="J194" s="2">
        <v>3324</v>
      </c>
      <c r="K194" s="2">
        <v>25</v>
      </c>
      <c r="L194" s="2">
        <v>7479</v>
      </c>
    </row>
    <row r="195" spans="1:12" x14ac:dyDescent="0.3">
      <c r="A195" s="2" t="s">
        <v>520</v>
      </c>
      <c r="B195" s="2" t="s">
        <v>521</v>
      </c>
      <c r="C195" s="2" t="s">
        <v>522</v>
      </c>
      <c r="D195" s="2" t="s">
        <v>23</v>
      </c>
      <c r="E195" s="2" t="s">
        <v>16</v>
      </c>
      <c r="F195" s="2" t="s">
        <v>25</v>
      </c>
      <c r="G195" s="2" t="s">
        <v>26</v>
      </c>
      <c r="H195" s="2" t="s">
        <v>44</v>
      </c>
      <c r="I195" s="2">
        <v>2</v>
      </c>
      <c r="J195" s="2">
        <v>1367</v>
      </c>
      <c r="K195" s="2">
        <v>18</v>
      </c>
      <c r="L195" s="2">
        <v>2241.88</v>
      </c>
    </row>
    <row r="196" spans="1:12" x14ac:dyDescent="0.3">
      <c r="A196" s="2" t="s">
        <v>523</v>
      </c>
      <c r="B196" s="2" t="s">
        <v>290</v>
      </c>
      <c r="C196" s="2" t="s">
        <v>524</v>
      </c>
      <c r="D196" s="2" t="s">
        <v>53</v>
      </c>
      <c r="E196" s="2" t="s">
        <v>58</v>
      </c>
      <c r="F196" s="2" t="s">
        <v>17</v>
      </c>
      <c r="G196" s="2" t="s">
        <v>40</v>
      </c>
      <c r="H196" s="2" t="s">
        <v>44</v>
      </c>
      <c r="I196" s="2">
        <v>4</v>
      </c>
      <c r="J196" s="2">
        <v>4643</v>
      </c>
      <c r="K196" s="2">
        <v>20</v>
      </c>
      <c r="L196" s="2">
        <v>14857.6</v>
      </c>
    </row>
    <row r="197" spans="1:12" x14ac:dyDescent="0.3">
      <c r="A197" s="2" t="s">
        <v>525</v>
      </c>
      <c r="B197" s="2" t="s">
        <v>358</v>
      </c>
      <c r="C197" s="2" t="s">
        <v>526</v>
      </c>
      <c r="D197" s="2" t="s">
        <v>23</v>
      </c>
      <c r="E197" s="2" t="s">
        <v>31</v>
      </c>
      <c r="F197" s="2" t="s">
        <v>17</v>
      </c>
      <c r="G197" s="2" t="s">
        <v>26</v>
      </c>
      <c r="H197" s="2" t="s">
        <v>33</v>
      </c>
      <c r="I197" s="2">
        <v>4</v>
      </c>
      <c r="J197" s="2">
        <v>1762</v>
      </c>
      <c r="K197" s="2">
        <v>11</v>
      </c>
      <c r="L197" s="2">
        <v>6272.72</v>
      </c>
    </row>
    <row r="198" spans="1:12" x14ac:dyDescent="0.3">
      <c r="A198" s="2" t="s">
        <v>527</v>
      </c>
      <c r="B198" s="2" t="s">
        <v>528</v>
      </c>
      <c r="C198" s="2" t="s">
        <v>151</v>
      </c>
      <c r="D198" s="2" t="s">
        <v>23</v>
      </c>
      <c r="E198" s="2" t="s">
        <v>31</v>
      </c>
      <c r="F198" s="2" t="s">
        <v>49</v>
      </c>
      <c r="G198" s="2" t="s">
        <v>62</v>
      </c>
      <c r="H198" s="2" t="s">
        <v>44</v>
      </c>
      <c r="I198" s="2">
        <v>3</v>
      </c>
      <c r="J198" s="2">
        <v>2428</v>
      </c>
      <c r="K198" s="2">
        <v>28</v>
      </c>
      <c r="L198" s="2">
        <v>5244.48</v>
      </c>
    </row>
    <row r="199" spans="1:12" x14ac:dyDescent="0.3">
      <c r="A199" s="2" t="s">
        <v>529</v>
      </c>
      <c r="B199" s="2" t="s">
        <v>295</v>
      </c>
      <c r="C199" s="2" t="s">
        <v>496</v>
      </c>
      <c r="D199" s="2" t="s">
        <v>88</v>
      </c>
      <c r="E199" s="2" t="s">
        <v>58</v>
      </c>
      <c r="F199" s="2" t="s">
        <v>25</v>
      </c>
      <c r="G199" s="2" t="s">
        <v>18</v>
      </c>
      <c r="H199" s="2" t="s">
        <v>33</v>
      </c>
      <c r="I199" s="2">
        <v>5</v>
      </c>
      <c r="J199" s="2">
        <v>2032</v>
      </c>
      <c r="K199" s="2">
        <v>26</v>
      </c>
      <c r="L199" s="2">
        <v>7518.4</v>
      </c>
    </row>
    <row r="200" spans="1:12" x14ac:dyDescent="0.3">
      <c r="A200" s="2" t="s">
        <v>530</v>
      </c>
      <c r="B200" s="2" t="s">
        <v>86</v>
      </c>
      <c r="C200" s="2" t="s">
        <v>97</v>
      </c>
      <c r="D200" s="2" t="s">
        <v>88</v>
      </c>
      <c r="E200" s="2" t="s">
        <v>31</v>
      </c>
      <c r="F200" s="2" t="s">
        <v>49</v>
      </c>
      <c r="G200" s="2" t="s">
        <v>54</v>
      </c>
      <c r="H200" s="2" t="s">
        <v>19</v>
      </c>
      <c r="I200" s="2">
        <v>2</v>
      </c>
      <c r="J200" s="2">
        <v>3767</v>
      </c>
      <c r="K200" s="2">
        <v>13</v>
      </c>
      <c r="L200" s="2">
        <v>6554.58</v>
      </c>
    </row>
    <row r="201" spans="1:12" x14ac:dyDescent="0.3">
      <c r="A201" s="2" t="s">
        <v>531</v>
      </c>
      <c r="B201" s="2" t="s">
        <v>121</v>
      </c>
      <c r="C201" s="2" t="s">
        <v>532</v>
      </c>
      <c r="D201" s="2" t="s">
        <v>23</v>
      </c>
      <c r="E201" s="2" t="s">
        <v>58</v>
      </c>
      <c r="F201" s="2" t="s">
        <v>32</v>
      </c>
      <c r="G201" s="2" t="s">
        <v>62</v>
      </c>
      <c r="H201" s="2" t="s">
        <v>33</v>
      </c>
      <c r="I201" s="2">
        <v>3</v>
      </c>
      <c r="J201" s="2">
        <v>3288</v>
      </c>
      <c r="K201" s="2">
        <v>2</v>
      </c>
      <c r="L201" s="2">
        <v>9666.7199999999993</v>
      </c>
    </row>
    <row r="202" spans="1:12" x14ac:dyDescent="0.3">
      <c r="A202" s="2" t="s">
        <v>533</v>
      </c>
      <c r="B202" s="2" t="s">
        <v>534</v>
      </c>
      <c r="C202" s="2" t="s">
        <v>535</v>
      </c>
      <c r="D202" s="2" t="s">
        <v>15</v>
      </c>
      <c r="E202" s="2" t="s">
        <v>31</v>
      </c>
      <c r="F202" s="2" t="s">
        <v>25</v>
      </c>
      <c r="G202" s="2" t="s">
        <v>26</v>
      </c>
      <c r="H202" s="2" t="s">
        <v>33</v>
      </c>
      <c r="I202" s="2">
        <v>4</v>
      </c>
      <c r="J202" s="2">
        <v>1402</v>
      </c>
      <c r="K202" s="2">
        <v>11</v>
      </c>
      <c r="L202" s="2">
        <v>4991.12</v>
      </c>
    </row>
    <row r="203" spans="1:12" x14ac:dyDescent="0.3">
      <c r="A203" s="2" t="s">
        <v>536</v>
      </c>
      <c r="B203" s="2" t="s">
        <v>537</v>
      </c>
      <c r="C203" s="2" t="s">
        <v>538</v>
      </c>
      <c r="D203" s="2" t="s">
        <v>53</v>
      </c>
      <c r="E203" s="2" t="s">
        <v>24</v>
      </c>
      <c r="F203" s="2" t="s">
        <v>17</v>
      </c>
      <c r="G203" s="2" t="s">
        <v>62</v>
      </c>
      <c r="H203" s="2" t="s">
        <v>19</v>
      </c>
      <c r="I203" s="2">
        <v>3</v>
      </c>
      <c r="J203" s="2">
        <v>3068</v>
      </c>
      <c r="K203" s="2">
        <v>6</v>
      </c>
      <c r="L203" s="2">
        <v>8651.76</v>
      </c>
    </row>
    <row r="204" spans="1:12" x14ac:dyDescent="0.3">
      <c r="A204" s="2" t="s">
        <v>539</v>
      </c>
      <c r="B204" s="2" t="s">
        <v>540</v>
      </c>
      <c r="C204" s="2" t="s">
        <v>468</v>
      </c>
      <c r="D204" s="2" t="s">
        <v>88</v>
      </c>
      <c r="E204" s="2" t="s">
        <v>68</v>
      </c>
      <c r="F204" s="2" t="s">
        <v>17</v>
      </c>
      <c r="G204" s="2" t="s">
        <v>40</v>
      </c>
      <c r="H204" s="2" t="s">
        <v>33</v>
      </c>
      <c r="I204" s="2">
        <v>4</v>
      </c>
      <c r="J204" s="2">
        <v>1602</v>
      </c>
      <c r="K204" s="2">
        <v>23</v>
      </c>
      <c r="L204" s="2">
        <v>4934.16</v>
      </c>
    </row>
    <row r="205" spans="1:12" x14ac:dyDescent="0.3">
      <c r="A205" s="2" t="s">
        <v>541</v>
      </c>
      <c r="B205" s="2" t="s">
        <v>542</v>
      </c>
      <c r="C205" s="2" t="s">
        <v>543</v>
      </c>
      <c r="D205" s="2" t="s">
        <v>53</v>
      </c>
      <c r="E205" s="2" t="s">
        <v>48</v>
      </c>
      <c r="F205" s="2" t="s">
        <v>17</v>
      </c>
      <c r="G205" s="2" t="s">
        <v>18</v>
      </c>
      <c r="H205" s="2" t="s">
        <v>33</v>
      </c>
      <c r="I205" s="2">
        <v>4</v>
      </c>
      <c r="J205" s="2">
        <v>3743</v>
      </c>
      <c r="K205" s="2">
        <v>0</v>
      </c>
      <c r="L205" s="2">
        <v>14972</v>
      </c>
    </row>
    <row r="206" spans="1:12" x14ac:dyDescent="0.3">
      <c r="A206" s="2" t="s">
        <v>544</v>
      </c>
      <c r="B206" s="2" t="s">
        <v>234</v>
      </c>
      <c r="C206" s="2" t="s">
        <v>407</v>
      </c>
      <c r="D206" s="2" t="s">
        <v>23</v>
      </c>
      <c r="E206" s="2" t="s">
        <v>79</v>
      </c>
      <c r="F206" s="2" t="s">
        <v>32</v>
      </c>
      <c r="G206" s="2" t="s">
        <v>62</v>
      </c>
      <c r="H206" s="2" t="s">
        <v>19</v>
      </c>
      <c r="I206" s="2">
        <v>3</v>
      </c>
      <c r="J206" s="2">
        <v>3663</v>
      </c>
      <c r="K206" s="2">
        <v>17</v>
      </c>
      <c r="L206" s="2">
        <v>9120.8700000000008</v>
      </c>
    </row>
    <row r="207" spans="1:12" x14ac:dyDescent="0.3">
      <c r="A207" s="2" t="s">
        <v>545</v>
      </c>
      <c r="B207" s="2" t="s">
        <v>528</v>
      </c>
      <c r="C207" s="2" t="s">
        <v>546</v>
      </c>
      <c r="D207" s="2" t="s">
        <v>30</v>
      </c>
      <c r="E207" s="2" t="s">
        <v>31</v>
      </c>
      <c r="F207" s="2" t="s">
        <v>40</v>
      </c>
      <c r="G207" s="2" t="s">
        <v>62</v>
      </c>
      <c r="H207" s="2" t="s">
        <v>75</v>
      </c>
      <c r="I207" s="2">
        <v>3</v>
      </c>
      <c r="J207" s="2">
        <v>2718</v>
      </c>
      <c r="K207" s="2">
        <v>22</v>
      </c>
      <c r="L207" s="2">
        <v>6360.12</v>
      </c>
    </row>
    <row r="208" spans="1:12" x14ac:dyDescent="0.3">
      <c r="A208" s="2" t="s">
        <v>547</v>
      </c>
      <c r="B208" s="2" t="s">
        <v>548</v>
      </c>
      <c r="C208" s="2" t="s">
        <v>549</v>
      </c>
      <c r="D208" s="2" t="s">
        <v>23</v>
      </c>
      <c r="E208" s="2" t="s">
        <v>79</v>
      </c>
      <c r="F208" s="2" t="s">
        <v>25</v>
      </c>
      <c r="G208" s="2" t="s">
        <v>18</v>
      </c>
      <c r="H208" s="2" t="s">
        <v>33</v>
      </c>
      <c r="I208" s="2">
        <v>5</v>
      </c>
      <c r="J208" s="2">
        <v>3795</v>
      </c>
      <c r="K208" s="2">
        <v>9</v>
      </c>
      <c r="L208" s="2">
        <v>17267.25</v>
      </c>
    </row>
    <row r="209" spans="1:12" x14ac:dyDescent="0.3">
      <c r="A209" s="2" t="s">
        <v>550</v>
      </c>
      <c r="B209" s="2" t="s">
        <v>551</v>
      </c>
      <c r="C209" s="2" t="s">
        <v>552</v>
      </c>
      <c r="D209" s="2" t="s">
        <v>53</v>
      </c>
      <c r="E209" s="2" t="s">
        <v>68</v>
      </c>
      <c r="F209" s="2" t="s">
        <v>32</v>
      </c>
      <c r="G209" s="2" t="s">
        <v>26</v>
      </c>
      <c r="H209" s="2" t="s">
        <v>75</v>
      </c>
      <c r="I209" s="2">
        <v>4</v>
      </c>
      <c r="J209" s="2">
        <v>914</v>
      </c>
      <c r="K209" s="2">
        <v>2</v>
      </c>
      <c r="L209" s="2">
        <v>3582.88</v>
      </c>
    </row>
    <row r="210" spans="1:12" x14ac:dyDescent="0.3">
      <c r="A210" s="2" t="s">
        <v>553</v>
      </c>
      <c r="B210" s="2" t="s">
        <v>554</v>
      </c>
      <c r="C210" s="2" t="s">
        <v>555</v>
      </c>
      <c r="D210" s="2" t="s">
        <v>30</v>
      </c>
      <c r="E210" s="2" t="s">
        <v>31</v>
      </c>
      <c r="F210" s="2" t="s">
        <v>49</v>
      </c>
      <c r="G210" s="2" t="s">
        <v>40</v>
      </c>
      <c r="H210" s="2" t="s">
        <v>75</v>
      </c>
      <c r="I210" s="2">
        <v>2</v>
      </c>
      <c r="J210" s="2">
        <v>1824</v>
      </c>
      <c r="K210" s="2">
        <v>15</v>
      </c>
      <c r="L210" s="2">
        <v>3100.8</v>
      </c>
    </row>
    <row r="211" spans="1:12" x14ac:dyDescent="0.3">
      <c r="A211" s="2" t="s">
        <v>556</v>
      </c>
      <c r="B211" s="2" t="s">
        <v>449</v>
      </c>
      <c r="C211" s="2" t="s">
        <v>502</v>
      </c>
      <c r="D211" s="2" t="s">
        <v>23</v>
      </c>
      <c r="E211" s="2" t="s">
        <v>48</v>
      </c>
      <c r="F211" s="2" t="s">
        <v>17</v>
      </c>
      <c r="G211" s="2" t="s">
        <v>62</v>
      </c>
      <c r="H211" s="2" t="s">
        <v>44</v>
      </c>
      <c r="I211" s="2">
        <v>3</v>
      </c>
      <c r="J211" s="2">
        <v>3603</v>
      </c>
      <c r="K211" s="2">
        <v>26</v>
      </c>
      <c r="L211" s="2">
        <v>7998.66</v>
      </c>
    </row>
    <row r="212" spans="1:12" x14ac:dyDescent="0.3">
      <c r="A212" s="2" t="s">
        <v>557</v>
      </c>
      <c r="B212" s="2" t="s">
        <v>495</v>
      </c>
      <c r="C212" s="2" t="s">
        <v>558</v>
      </c>
      <c r="D212" s="2" t="s">
        <v>15</v>
      </c>
      <c r="E212" s="2" t="s">
        <v>31</v>
      </c>
      <c r="F212" s="2" t="s">
        <v>32</v>
      </c>
      <c r="G212" s="2" t="s">
        <v>26</v>
      </c>
      <c r="H212" s="2" t="s">
        <v>19</v>
      </c>
      <c r="I212" s="2">
        <v>5</v>
      </c>
      <c r="J212" s="2">
        <v>2937</v>
      </c>
      <c r="K212" s="2">
        <v>26</v>
      </c>
      <c r="L212" s="2">
        <v>10866.9</v>
      </c>
    </row>
    <row r="213" spans="1:12" x14ac:dyDescent="0.3">
      <c r="A213" s="2" t="s">
        <v>559</v>
      </c>
      <c r="B213" s="2" t="s">
        <v>304</v>
      </c>
      <c r="C213" s="2" t="s">
        <v>235</v>
      </c>
      <c r="D213" s="2" t="s">
        <v>15</v>
      </c>
      <c r="E213" s="2" t="s">
        <v>79</v>
      </c>
      <c r="F213" s="2" t="s">
        <v>17</v>
      </c>
      <c r="G213" s="2" t="s">
        <v>40</v>
      </c>
      <c r="H213" s="2" t="s">
        <v>33</v>
      </c>
      <c r="I213" s="2">
        <v>1</v>
      </c>
      <c r="J213" s="2">
        <v>3505</v>
      </c>
      <c r="K213" s="2">
        <v>18</v>
      </c>
      <c r="L213" s="2">
        <v>2874.1</v>
      </c>
    </row>
    <row r="214" spans="1:12" x14ac:dyDescent="0.3">
      <c r="A214" s="2" t="s">
        <v>560</v>
      </c>
      <c r="B214" s="2" t="s">
        <v>561</v>
      </c>
      <c r="C214" s="2" t="s">
        <v>562</v>
      </c>
      <c r="D214" s="2" t="s">
        <v>15</v>
      </c>
      <c r="E214" s="2" t="s">
        <v>31</v>
      </c>
      <c r="F214" s="2" t="s">
        <v>25</v>
      </c>
      <c r="G214" s="2" t="s">
        <v>40</v>
      </c>
      <c r="H214" s="2" t="s">
        <v>75</v>
      </c>
      <c r="I214" s="2">
        <v>2</v>
      </c>
      <c r="J214" s="2">
        <v>3422</v>
      </c>
      <c r="K214" s="2">
        <v>18</v>
      </c>
      <c r="L214" s="2">
        <v>5612.08</v>
      </c>
    </row>
    <row r="215" spans="1:12" x14ac:dyDescent="0.3">
      <c r="A215" s="2" t="s">
        <v>563</v>
      </c>
      <c r="B215" s="2" t="s">
        <v>121</v>
      </c>
      <c r="C215" s="2" t="s">
        <v>200</v>
      </c>
      <c r="D215" s="2" t="s">
        <v>15</v>
      </c>
      <c r="E215" s="2" t="s">
        <v>24</v>
      </c>
      <c r="F215" s="2" t="s">
        <v>32</v>
      </c>
      <c r="G215" s="2" t="s">
        <v>54</v>
      </c>
      <c r="H215" s="2" t="s">
        <v>44</v>
      </c>
      <c r="I215" s="2">
        <v>5</v>
      </c>
      <c r="J215" s="2">
        <v>614</v>
      </c>
      <c r="K215" s="2">
        <v>23</v>
      </c>
      <c r="L215" s="2">
        <v>2363.9</v>
      </c>
    </row>
    <row r="216" spans="1:12" x14ac:dyDescent="0.3">
      <c r="A216" s="2" t="s">
        <v>564</v>
      </c>
      <c r="B216" s="2" t="s">
        <v>232</v>
      </c>
      <c r="C216" s="2" t="s">
        <v>451</v>
      </c>
      <c r="D216" s="2" t="s">
        <v>23</v>
      </c>
      <c r="E216" s="2" t="s">
        <v>48</v>
      </c>
      <c r="F216" s="2" t="s">
        <v>25</v>
      </c>
      <c r="G216" s="2" t="s">
        <v>54</v>
      </c>
      <c r="H216" s="2" t="s">
        <v>75</v>
      </c>
      <c r="I216" s="2">
        <v>5</v>
      </c>
      <c r="J216" s="2">
        <v>550</v>
      </c>
      <c r="K216" s="2">
        <v>15</v>
      </c>
      <c r="L216" s="2">
        <v>2337.5</v>
      </c>
    </row>
    <row r="217" spans="1:12" x14ac:dyDescent="0.3">
      <c r="A217" s="2" t="s">
        <v>565</v>
      </c>
      <c r="B217" s="2" t="s">
        <v>177</v>
      </c>
      <c r="C217" s="2" t="s">
        <v>454</v>
      </c>
      <c r="D217" s="2" t="s">
        <v>23</v>
      </c>
      <c r="E217" s="2" t="s">
        <v>16</v>
      </c>
      <c r="F217" s="2" t="s">
        <v>32</v>
      </c>
      <c r="G217" s="2" t="s">
        <v>54</v>
      </c>
      <c r="H217" s="2" t="s">
        <v>33</v>
      </c>
      <c r="I217" s="2">
        <v>5</v>
      </c>
      <c r="J217" s="2">
        <v>3611</v>
      </c>
      <c r="K217" s="2">
        <v>9</v>
      </c>
      <c r="L217" s="2">
        <v>16430.05</v>
      </c>
    </row>
    <row r="218" spans="1:12" x14ac:dyDescent="0.3">
      <c r="A218" s="2" t="s">
        <v>566</v>
      </c>
      <c r="B218" s="2" t="s">
        <v>498</v>
      </c>
      <c r="C218" s="2" t="s">
        <v>567</v>
      </c>
      <c r="D218" s="2" t="s">
        <v>15</v>
      </c>
      <c r="E218" s="2" t="s">
        <v>31</v>
      </c>
      <c r="F218" s="2" t="s">
        <v>25</v>
      </c>
      <c r="G218" s="2" t="s">
        <v>26</v>
      </c>
      <c r="H218" s="2" t="s">
        <v>75</v>
      </c>
      <c r="I218" s="2">
        <v>4</v>
      </c>
      <c r="J218" s="2">
        <v>3596</v>
      </c>
      <c r="K218" s="2">
        <v>15</v>
      </c>
      <c r="L218" s="2">
        <v>12226.4</v>
      </c>
    </row>
    <row r="219" spans="1:12" x14ac:dyDescent="0.3">
      <c r="A219" s="2" t="s">
        <v>568</v>
      </c>
      <c r="B219" s="2" t="s">
        <v>569</v>
      </c>
      <c r="C219" s="2" t="s">
        <v>570</v>
      </c>
      <c r="D219" s="2" t="s">
        <v>15</v>
      </c>
      <c r="E219" s="2" t="s">
        <v>68</v>
      </c>
      <c r="F219" s="2" t="s">
        <v>17</v>
      </c>
      <c r="G219" s="2" t="s">
        <v>54</v>
      </c>
      <c r="H219" s="2" t="s">
        <v>44</v>
      </c>
      <c r="I219" s="2">
        <v>5</v>
      </c>
      <c r="J219" s="2">
        <v>4538</v>
      </c>
      <c r="K219" s="2">
        <v>2</v>
      </c>
      <c r="L219" s="2">
        <v>22236.2</v>
      </c>
    </row>
    <row r="220" spans="1:12" x14ac:dyDescent="0.3">
      <c r="A220" s="2" t="s">
        <v>571</v>
      </c>
      <c r="B220" s="2" t="s">
        <v>572</v>
      </c>
      <c r="C220" s="2" t="s">
        <v>573</v>
      </c>
      <c r="D220" s="2" t="s">
        <v>30</v>
      </c>
      <c r="E220" s="2" t="s">
        <v>31</v>
      </c>
      <c r="F220" s="2" t="s">
        <v>49</v>
      </c>
      <c r="G220" s="2" t="s">
        <v>40</v>
      </c>
      <c r="H220" s="2" t="s">
        <v>33</v>
      </c>
      <c r="I220" s="2">
        <v>2</v>
      </c>
      <c r="J220" s="2">
        <v>2536</v>
      </c>
      <c r="K220" s="2">
        <v>25</v>
      </c>
      <c r="L220" s="2">
        <v>3804</v>
      </c>
    </row>
    <row r="221" spans="1:12" x14ac:dyDescent="0.3">
      <c r="A221" s="2" t="s">
        <v>574</v>
      </c>
      <c r="B221" s="2" t="s">
        <v>575</v>
      </c>
      <c r="C221" s="2" t="s">
        <v>576</v>
      </c>
      <c r="D221" s="2" t="s">
        <v>30</v>
      </c>
      <c r="E221" s="2" t="s">
        <v>16</v>
      </c>
      <c r="F221" s="2" t="s">
        <v>17</v>
      </c>
      <c r="G221" s="2" t="s">
        <v>18</v>
      </c>
      <c r="H221" s="2" t="s">
        <v>75</v>
      </c>
      <c r="I221" s="2">
        <v>5</v>
      </c>
      <c r="J221" s="2">
        <v>1555</v>
      </c>
      <c r="K221" s="2">
        <v>20</v>
      </c>
      <c r="L221" s="2">
        <v>6220</v>
      </c>
    </row>
    <row r="222" spans="1:12" x14ac:dyDescent="0.3">
      <c r="A222" s="2" t="s">
        <v>577</v>
      </c>
      <c r="B222" s="2" t="s">
        <v>578</v>
      </c>
      <c r="C222" s="2" t="s">
        <v>381</v>
      </c>
      <c r="D222" s="2" t="s">
        <v>30</v>
      </c>
      <c r="E222" s="2" t="s">
        <v>31</v>
      </c>
      <c r="F222" s="2" t="s">
        <v>40</v>
      </c>
      <c r="G222" s="2" t="s">
        <v>26</v>
      </c>
      <c r="H222" s="2" t="s">
        <v>33</v>
      </c>
      <c r="I222" s="2">
        <v>5</v>
      </c>
      <c r="J222" s="2">
        <v>728</v>
      </c>
      <c r="K222" s="2">
        <v>14</v>
      </c>
      <c r="L222" s="2">
        <v>3130.4</v>
      </c>
    </row>
    <row r="223" spans="1:12" x14ac:dyDescent="0.3">
      <c r="A223" s="2" t="s">
        <v>579</v>
      </c>
      <c r="B223" s="2" t="s">
        <v>300</v>
      </c>
      <c r="C223" s="2" t="s">
        <v>350</v>
      </c>
      <c r="D223" s="2" t="s">
        <v>53</v>
      </c>
      <c r="E223" s="2" t="s">
        <v>68</v>
      </c>
      <c r="F223" s="2" t="s">
        <v>40</v>
      </c>
      <c r="G223" s="2" t="s">
        <v>26</v>
      </c>
      <c r="H223" s="2" t="s">
        <v>44</v>
      </c>
      <c r="I223" s="2">
        <v>3</v>
      </c>
      <c r="J223" s="2">
        <v>4320</v>
      </c>
      <c r="K223" s="2">
        <v>16</v>
      </c>
      <c r="L223" s="2">
        <v>10886.4</v>
      </c>
    </row>
    <row r="224" spans="1:12" x14ac:dyDescent="0.3">
      <c r="A224" s="2" t="s">
        <v>580</v>
      </c>
      <c r="B224" s="2" t="s">
        <v>208</v>
      </c>
      <c r="C224" s="2" t="s">
        <v>29</v>
      </c>
      <c r="D224" s="2" t="s">
        <v>53</v>
      </c>
      <c r="E224" s="2" t="s">
        <v>48</v>
      </c>
      <c r="F224" s="2" t="s">
        <v>40</v>
      </c>
      <c r="G224" s="2" t="s">
        <v>26</v>
      </c>
      <c r="H224" s="2" t="s">
        <v>33</v>
      </c>
      <c r="I224" s="2">
        <v>3</v>
      </c>
      <c r="J224" s="2">
        <v>4489</v>
      </c>
      <c r="K224" s="2">
        <v>29</v>
      </c>
      <c r="L224" s="2">
        <v>9561.57</v>
      </c>
    </row>
    <row r="225" spans="1:12" x14ac:dyDescent="0.3">
      <c r="A225" s="2" t="s">
        <v>581</v>
      </c>
      <c r="B225" s="2" t="s">
        <v>582</v>
      </c>
      <c r="C225" s="2" t="s">
        <v>291</v>
      </c>
      <c r="D225" s="2" t="s">
        <v>23</v>
      </c>
      <c r="E225" s="2" t="s">
        <v>68</v>
      </c>
      <c r="F225" s="2" t="s">
        <v>25</v>
      </c>
      <c r="G225" s="2" t="s">
        <v>62</v>
      </c>
      <c r="H225" s="2" t="s">
        <v>19</v>
      </c>
      <c r="I225" s="2">
        <v>5</v>
      </c>
      <c r="J225" s="2">
        <v>4864</v>
      </c>
      <c r="K225" s="2">
        <v>4</v>
      </c>
      <c r="L225" s="2">
        <v>23347.200000000001</v>
      </c>
    </row>
    <row r="226" spans="1:12" x14ac:dyDescent="0.3">
      <c r="A226" s="2" t="s">
        <v>583</v>
      </c>
      <c r="B226" s="2" t="s">
        <v>205</v>
      </c>
      <c r="C226" s="2" t="s">
        <v>328</v>
      </c>
      <c r="D226" s="2" t="s">
        <v>30</v>
      </c>
      <c r="E226" s="2" t="s">
        <v>58</v>
      </c>
      <c r="F226" s="2" t="s">
        <v>49</v>
      </c>
      <c r="G226" s="2" t="s">
        <v>40</v>
      </c>
      <c r="H226" s="2" t="s">
        <v>19</v>
      </c>
      <c r="I226" s="2">
        <v>2</v>
      </c>
      <c r="J226" s="2">
        <v>690</v>
      </c>
      <c r="K226" s="2">
        <v>0</v>
      </c>
      <c r="L226" s="2">
        <v>1380</v>
      </c>
    </row>
    <row r="227" spans="1:12" x14ac:dyDescent="0.3">
      <c r="A227" s="2" t="s">
        <v>584</v>
      </c>
      <c r="B227" s="2" t="s">
        <v>585</v>
      </c>
      <c r="C227" s="2" t="s">
        <v>436</v>
      </c>
      <c r="D227" s="2" t="s">
        <v>53</v>
      </c>
      <c r="E227" s="2" t="s">
        <v>68</v>
      </c>
      <c r="F227" s="2" t="s">
        <v>32</v>
      </c>
      <c r="G227" s="2" t="s">
        <v>62</v>
      </c>
      <c r="H227" s="2" t="s">
        <v>33</v>
      </c>
      <c r="I227" s="2">
        <v>3</v>
      </c>
      <c r="J227" s="2">
        <v>400</v>
      </c>
      <c r="K227" s="2">
        <v>17</v>
      </c>
      <c r="L227" s="2">
        <v>996</v>
      </c>
    </row>
    <row r="228" spans="1:12" x14ac:dyDescent="0.3">
      <c r="A228" s="2" t="s">
        <v>586</v>
      </c>
      <c r="B228" s="2" t="s">
        <v>202</v>
      </c>
      <c r="C228" s="2" t="s">
        <v>383</v>
      </c>
      <c r="D228" s="2" t="s">
        <v>88</v>
      </c>
      <c r="E228" s="2" t="s">
        <v>79</v>
      </c>
      <c r="F228" s="2" t="s">
        <v>25</v>
      </c>
      <c r="G228" s="2" t="s">
        <v>54</v>
      </c>
      <c r="H228" s="2" t="s">
        <v>19</v>
      </c>
      <c r="I228" s="2">
        <v>2</v>
      </c>
      <c r="J228" s="2">
        <v>1715</v>
      </c>
      <c r="K228" s="2">
        <v>23</v>
      </c>
      <c r="L228" s="2">
        <v>2641.1</v>
      </c>
    </row>
    <row r="229" spans="1:12" x14ac:dyDescent="0.3">
      <c r="A229" s="2" t="s">
        <v>587</v>
      </c>
      <c r="B229" s="2" t="s">
        <v>232</v>
      </c>
      <c r="C229" s="2" t="s">
        <v>588</v>
      </c>
      <c r="D229" s="2" t="s">
        <v>23</v>
      </c>
      <c r="E229" s="2" t="s">
        <v>24</v>
      </c>
      <c r="F229" s="2" t="s">
        <v>32</v>
      </c>
      <c r="G229" s="2" t="s">
        <v>18</v>
      </c>
      <c r="H229" s="2" t="s">
        <v>44</v>
      </c>
      <c r="I229" s="2">
        <v>2</v>
      </c>
      <c r="J229" s="2">
        <v>3784</v>
      </c>
      <c r="K229" s="2">
        <v>11</v>
      </c>
      <c r="L229" s="2">
        <v>6735.52</v>
      </c>
    </row>
    <row r="230" spans="1:12" x14ac:dyDescent="0.3">
      <c r="A230" s="2" t="s">
        <v>589</v>
      </c>
      <c r="B230" s="2" t="s">
        <v>485</v>
      </c>
      <c r="C230" s="2" t="s">
        <v>590</v>
      </c>
      <c r="D230" s="2" t="s">
        <v>53</v>
      </c>
      <c r="E230" s="2" t="s">
        <v>24</v>
      </c>
      <c r="F230" s="2" t="s">
        <v>17</v>
      </c>
      <c r="G230" s="2" t="s">
        <v>26</v>
      </c>
      <c r="H230" s="2" t="s">
        <v>44</v>
      </c>
      <c r="I230" s="2">
        <v>1</v>
      </c>
      <c r="J230" s="2">
        <v>4604</v>
      </c>
      <c r="K230" s="2">
        <v>21</v>
      </c>
      <c r="L230" s="2">
        <v>3637.16</v>
      </c>
    </row>
    <row r="231" spans="1:12" x14ac:dyDescent="0.3">
      <c r="A231" s="2" t="s">
        <v>591</v>
      </c>
      <c r="B231" s="2" t="s">
        <v>592</v>
      </c>
      <c r="C231" s="2" t="s">
        <v>505</v>
      </c>
      <c r="D231" s="2" t="s">
        <v>88</v>
      </c>
      <c r="E231" s="2" t="s">
        <v>79</v>
      </c>
      <c r="F231" s="2" t="s">
        <v>25</v>
      </c>
      <c r="G231" s="2" t="s">
        <v>26</v>
      </c>
      <c r="H231" s="2" t="s">
        <v>75</v>
      </c>
      <c r="I231" s="2">
        <v>1</v>
      </c>
      <c r="J231" s="2">
        <v>4477</v>
      </c>
      <c r="K231" s="2">
        <v>16</v>
      </c>
      <c r="L231" s="2">
        <v>3760.68</v>
      </c>
    </row>
    <row r="232" spans="1:12" x14ac:dyDescent="0.3">
      <c r="A232" s="2" t="s">
        <v>593</v>
      </c>
      <c r="B232" s="2" t="s">
        <v>594</v>
      </c>
      <c r="C232" s="2" t="s">
        <v>360</v>
      </c>
      <c r="D232" s="2" t="s">
        <v>23</v>
      </c>
      <c r="E232" s="2" t="s">
        <v>79</v>
      </c>
      <c r="F232" s="2" t="s">
        <v>40</v>
      </c>
      <c r="G232" s="2" t="s">
        <v>26</v>
      </c>
      <c r="H232" s="2" t="s">
        <v>19</v>
      </c>
      <c r="I232" s="2">
        <v>5</v>
      </c>
      <c r="J232" s="2">
        <v>3677</v>
      </c>
      <c r="K232" s="2">
        <v>25</v>
      </c>
      <c r="L232" s="2">
        <v>13788.75</v>
      </c>
    </row>
    <row r="233" spans="1:12" x14ac:dyDescent="0.3">
      <c r="A233" s="2" t="s">
        <v>595</v>
      </c>
      <c r="B233" s="2" t="s">
        <v>596</v>
      </c>
      <c r="C233" s="2" t="s">
        <v>597</v>
      </c>
      <c r="D233" s="2" t="s">
        <v>53</v>
      </c>
      <c r="E233" s="2" t="s">
        <v>58</v>
      </c>
      <c r="F233" s="2" t="s">
        <v>49</v>
      </c>
      <c r="G233" s="2" t="s">
        <v>26</v>
      </c>
      <c r="H233" s="2" t="s">
        <v>44</v>
      </c>
      <c r="I233" s="2">
        <v>5</v>
      </c>
      <c r="J233" s="2">
        <v>708</v>
      </c>
      <c r="K233" s="2">
        <v>11</v>
      </c>
      <c r="L233" s="2">
        <v>3150.6</v>
      </c>
    </row>
    <row r="234" spans="1:12" x14ac:dyDescent="0.3">
      <c r="A234" s="2" t="s">
        <v>598</v>
      </c>
      <c r="B234" s="2" t="s">
        <v>599</v>
      </c>
      <c r="C234" s="2" t="s">
        <v>191</v>
      </c>
      <c r="D234" s="2" t="s">
        <v>53</v>
      </c>
      <c r="E234" s="2" t="s">
        <v>16</v>
      </c>
      <c r="F234" s="2" t="s">
        <v>49</v>
      </c>
      <c r="G234" s="2" t="s">
        <v>18</v>
      </c>
      <c r="H234" s="2" t="s">
        <v>44</v>
      </c>
      <c r="I234" s="2">
        <v>5</v>
      </c>
      <c r="J234" s="2">
        <v>3718</v>
      </c>
      <c r="K234" s="2">
        <v>12</v>
      </c>
      <c r="L234" s="2">
        <v>16359.2</v>
      </c>
    </row>
    <row r="235" spans="1:12" x14ac:dyDescent="0.3">
      <c r="A235" s="2" t="s">
        <v>600</v>
      </c>
      <c r="B235" s="2" t="s">
        <v>218</v>
      </c>
      <c r="C235" s="2" t="s">
        <v>230</v>
      </c>
      <c r="D235" s="2" t="s">
        <v>30</v>
      </c>
      <c r="E235" s="2" t="s">
        <v>31</v>
      </c>
      <c r="F235" s="2" t="s">
        <v>40</v>
      </c>
      <c r="G235" s="2" t="s">
        <v>54</v>
      </c>
      <c r="H235" s="2" t="s">
        <v>19</v>
      </c>
      <c r="I235" s="2">
        <v>4</v>
      </c>
      <c r="J235" s="2">
        <v>4288</v>
      </c>
      <c r="K235" s="2">
        <v>22</v>
      </c>
      <c r="L235" s="2">
        <v>13378.56</v>
      </c>
    </row>
    <row r="236" spans="1:12" x14ac:dyDescent="0.3">
      <c r="A236" s="2" t="s">
        <v>601</v>
      </c>
      <c r="B236" s="2" t="s">
        <v>602</v>
      </c>
      <c r="C236" s="2" t="s">
        <v>428</v>
      </c>
      <c r="D236" s="2" t="s">
        <v>15</v>
      </c>
      <c r="E236" s="2" t="s">
        <v>16</v>
      </c>
      <c r="F236" s="2" t="s">
        <v>17</v>
      </c>
      <c r="G236" s="2" t="s">
        <v>54</v>
      </c>
      <c r="H236" s="2" t="s">
        <v>33</v>
      </c>
      <c r="I236" s="2">
        <v>2</v>
      </c>
      <c r="J236" s="2">
        <v>722</v>
      </c>
      <c r="K236" s="2">
        <v>21</v>
      </c>
      <c r="L236" s="2">
        <v>1140.76</v>
      </c>
    </row>
    <row r="237" spans="1:12" x14ac:dyDescent="0.3">
      <c r="A237" s="2" t="s">
        <v>603</v>
      </c>
      <c r="B237" s="2" t="s">
        <v>162</v>
      </c>
      <c r="C237" s="2" t="s">
        <v>562</v>
      </c>
      <c r="D237" s="2" t="s">
        <v>88</v>
      </c>
      <c r="E237" s="2" t="s">
        <v>79</v>
      </c>
      <c r="F237" s="2" t="s">
        <v>40</v>
      </c>
      <c r="G237" s="2" t="s">
        <v>62</v>
      </c>
      <c r="H237" s="2" t="s">
        <v>33</v>
      </c>
      <c r="I237" s="2">
        <v>1</v>
      </c>
      <c r="J237" s="2">
        <v>3473</v>
      </c>
      <c r="K237" s="2">
        <v>2</v>
      </c>
      <c r="L237" s="2">
        <v>3403.54</v>
      </c>
    </row>
    <row r="238" spans="1:12" x14ac:dyDescent="0.3">
      <c r="A238" s="2" t="s">
        <v>604</v>
      </c>
      <c r="B238" s="2" t="s">
        <v>605</v>
      </c>
      <c r="C238" s="2" t="s">
        <v>111</v>
      </c>
      <c r="D238" s="2" t="s">
        <v>53</v>
      </c>
      <c r="E238" s="2" t="s">
        <v>58</v>
      </c>
      <c r="F238" s="2" t="s">
        <v>49</v>
      </c>
      <c r="G238" s="2" t="s">
        <v>62</v>
      </c>
      <c r="H238" s="2" t="s">
        <v>33</v>
      </c>
      <c r="I238" s="2">
        <v>3</v>
      </c>
      <c r="J238" s="2">
        <v>3784</v>
      </c>
      <c r="K238" s="2">
        <v>18</v>
      </c>
      <c r="L238" s="2">
        <v>9308.64</v>
      </c>
    </row>
    <row r="239" spans="1:12" x14ac:dyDescent="0.3">
      <c r="A239" s="2" t="s">
        <v>606</v>
      </c>
      <c r="B239" s="2" t="s">
        <v>190</v>
      </c>
      <c r="C239" s="2" t="s">
        <v>142</v>
      </c>
      <c r="D239" s="2" t="s">
        <v>15</v>
      </c>
      <c r="E239" s="2" t="s">
        <v>31</v>
      </c>
      <c r="F239" s="2" t="s">
        <v>40</v>
      </c>
      <c r="G239" s="2" t="s">
        <v>54</v>
      </c>
      <c r="H239" s="2" t="s">
        <v>33</v>
      </c>
      <c r="I239" s="2">
        <v>2</v>
      </c>
      <c r="J239" s="2">
        <v>3376</v>
      </c>
      <c r="K239" s="2">
        <v>16</v>
      </c>
      <c r="L239" s="2">
        <v>5671.68</v>
      </c>
    </row>
    <row r="240" spans="1:12" x14ac:dyDescent="0.3">
      <c r="A240" s="2" t="s">
        <v>607</v>
      </c>
      <c r="B240" s="2" t="s">
        <v>101</v>
      </c>
      <c r="C240" s="2" t="s">
        <v>169</v>
      </c>
      <c r="D240" s="2" t="s">
        <v>53</v>
      </c>
      <c r="E240" s="2" t="s">
        <v>68</v>
      </c>
      <c r="F240" s="2" t="s">
        <v>40</v>
      </c>
      <c r="G240" s="2" t="s">
        <v>18</v>
      </c>
      <c r="H240" s="2" t="s">
        <v>44</v>
      </c>
      <c r="I240" s="2">
        <v>5</v>
      </c>
      <c r="J240" s="2">
        <v>1092</v>
      </c>
      <c r="K240" s="2">
        <v>6</v>
      </c>
      <c r="L240" s="2">
        <v>5132.3999999999996</v>
      </c>
    </row>
    <row r="241" spans="1:12" x14ac:dyDescent="0.3">
      <c r="A241" s="2" t="s">
        <v>608</v>
      </c>
      <c r="B241" s="2" t="s">
        <v>66</v>
      </c>
      <c r="C241" s="2" t="s">
        <v>609</v>
      </c>
      <c r="D241" s="2" t="s">
        <v>15</v>
      </c>
      <c r="E241" s="2" t="s">
        <v>31</v>
      </c>
      <c r="F241" s="2" t="s">
        <v>49</v>
      </c>
      <c r="G241" s="2" t="s">
        <v>18</v>
      </c>
      <c r="H241" s="2" t="s">
        <v>19</v>
      </c>
      <c r="I241" s="2">
        <v>2</v>
      </c>
      <c r="J241" s="2">
        <v>203</v>
      </c>
      <c r="K241" s="2">
        <v>21</v>
      </c>
      <c r="L241" s="2">
        <v>320.74</v>
      </c>
    </row>
    <row r="242" spans="1:12" x14ac:dyDescent="0.3">
      <c r="A242" s="2" t="s">
        <v>610</v>
      </c>
      <c r="B242" s="2" t="s">
        <v>440</v>
      </c>
      <c r="C242" s="2" t="s">
        <v>288</v>
      </c>
      <c r="D242" s="2" t="s">
        <v>15</v>
      </c>
      <c r="E242" s="2" t="s">
        <v>68</v>
      </c>
      <c r="F242" s="2" t="s">
        <v>49</v>
      </c>
      <c r="G242" s="2" t="s">
        <v>26</v>
      </c>
      <c r="H242" s="2" t="s">
        <v>75</v>
      </c>
      <c r="I242" s="2">
        <v>1</v>
      </c>
      <c r="J242" s="2">
        <v>4752</v>
      </c>
      <c r="K242" s="2">
        <v>15</v>
      </c>
      <c r="L242" s="2">
        <v>4039.2</v>
      </c>
    </row>
    <row r="243" spans="1:12" x14ac:dyDescent="0.3">
      <c r="A243" s="2" t="s">
        <v>611</v>
      </c>
      <c r="B243" s="2" t="s">
        <v>113</v>
      </c>
      <c r="C243" s="2" t="s">
        <v>276</v>
      </c>
      <c r="D243" s="2" t="s">
        <v>15</v>
      </c>
      <c r="E243" s="2" t="s">
        <v>58</v>
      </c>
      <c r="F243" s="2" t="s">
        <v>40</v>
      </c>
      <c r="G243" s="2" t="s">
        <v>54</v>
      </c>
      <c r="H243" s="2" t="s">
        <v>19</v>
      </c>
      <c r="I243" s="2">
        <v>3</v>
      </c>
      <c r="J243" s="2">
        <v>4741</v>
      </c>
      <c r="K243" s="2">
        <v>10</v>
      </c>
      <c r="L243" s="2">
        <v>12800.7</v>
      </c>
    </row>
    <row r="244" spans="1:12" x14ac:dyDescent="0.3">
      <c r="A244" s="2" t="s">
        <v>612</v>
      </c>
      <c r="B244" s="2" t="s">
        <v>613</v>
      </c>
      <c r="C244" s="2" t="s">
        <v>108</v>
      </c>
      <c r="D244" s="2" t="s">
        <v>30</v>
      </c>
      <c r="E244" s="2" t="s">
        <v>16</v>
      </c>
      <c r="F244" s="2" t="s">
        <v>17</v>
      </c>
      <c r="G244" s="2" t="s">
        <v>54</v>
      </c>
      <c r="H244" s="2" t="s">
        <v>44</v>
      </c>
      <c r="I244" s="2">
        <v>3</v>
      </c>
      <c r="J244" s="2">
        <v>3827</v>
      </c>
      <c r="K244" s="2">
        <v>12</v>
      </c>
      <c r="L244" s="2">
        <v>10103.280000000001</v>
      </c>
    </row>
    <row r="245" spans="1:12" x14ac:dyDescent="0.3">
      <c r="A245" s="2" t="s">
        <v>614</v>
      </c>
      <c r="B245" s="2" t="s">
        <v>615</v>
      </c>
      <c r="C245" s="2" t="s">
        <v>532</v>
      </c>
      <c r="D245" s="2" t="s">
        <v>30</v>
      </c>
      <c r="E245" s="2" t="s">
        <v>16</v>
      </c>
      <c r="F245" s="2" t="s">
        <v>32</v>
      </c>
      <c r="G245" s="2" t="s">
        <v>40</v>
      </c>
      <c r="H245" s="2" t="s">
        <v>33</v>
      </c>
      <c r="I245" s="2">
        <v>2</v>
      </c>
      <c r="J245" s="2">
        <v>1479</v>
      </c>
      <c r="K245" s="2">
        <v>23</v>
      </c>
      <c r="L245" s="2">
        <v>2277.66</v>
      </c>
    </row>
    <row r="246" spans="1:12" x14ac:dyDescent="0.3">
      <c r="A246" s="2" t="s">
        <v>616</v>
      </c>
      <c r="B246" s="2" t="s">
        <v>398</v>
      </c>
      <c r="C246" s="2" t="s">
        <v>546</v>
      </c>
      <c r="D246" s="2" t="s">
        <v>30</v>
      </c>
      <c r="E246" s="2" t="s">
        <v>58</v>
      </c>
      <c r="F246" s="2" t="s">
        <v>17</v>
      </c>
      <c r="G246" s="2" t="s">
        <v>26</v>
      </c>
      <c r="H246" s="2" t="s">
        <v>75</v>
      </c>
      <c r="I246" s="2">
        <v>5</v>
      </c>
      <c r="J246" s="2">
        <v>4482</v>
      </c>
      <c r="K246" s="2">
        <v>15</v>
      </c>
      <c r="L246" s="2">
        <v>19048.5</v>
      </c>
    </row>
    <row r="247" spans="1:12" x14ac:dyDescent="0.3">
      <c r="A247" s="2" t="s">
        <v>617</v>
      </c>
      <c r="B247" s="2" t="s">
        <v>618</v>
      </c>
      <c r="C247" s="2" t="s">
        <v>619</v>
      </c>
      <c r="D247" s="2" t="s">
        <v>53</v>
      </c>
      <c r="E247" s="2" t="s">
        <v>48</v>
      </c>
      <c r="F247" s="2" t="s">
        <v>40</v>
      </c>
      <c r="G247" s="2" t="s">
        <v>26</v>
      </c>
      <c r="H247" s="2" t="s">
        <v>33</v>
      </c>
      <c r="I247" s="2">
        <v>1</v>
      </c>
      <c r="J247" s="2">
        <v>2365</v>
      </c>
      <c r="K247" s="2">
        <v>19</v>
      </c>
      <c r="L247" s="2">
        <v>1915.65</v>
      </c>
    </row>
    <row r="248" spans="1:12" x14ac:dyDescent="0.3">
      <c r="A248" s="2" t="s">
        <v>620</v>
      </c>
      <c r="B248" s="2" t="s">
        <v>621</v>
      </c>
      <c r="C248" s="2" t="s">
        <v>166</v>
      </c>
      <c r="D248" s="2" t="s">
        <v>30</v>
      </c>
      <c r="E248" s="2" t="s">
        <v>31</v>
      </c>
      <c r="F248" s="2" t="s">
        <v>17</v>
      </c>
      <c r="G248" s="2" t="s">
        <v>26</v>
      </c>
      <c r="H248" s="2" t="s">
        <v>75</v>
      </c>
      <c r="I248" s="2">
        <v>2</v>
      </c>
      <c r="J248" s="2">
        <v>1005</v>
      </c>
      <c r="K248" s="2">
        <v>2</v>
      </c>
      <c r="L248" s="2">
        <v>1969.8</v>
      </c>
    </row>
    <row r="249" spans="1:12" x14ac:dyDescent="0.3">
      <c r="A249" s="2" t="s">
        <v>622</v>
      </c>
      <c r="B249" s="2" t="s">
        <v>623</v>
      </c>
      <c r="C249" s="2" t="s">
        <v>356</v>
      </c>
      <c r="D249" s="2" t="s">
        <v>53</v>
      </c>
      <c r="E249" s="2" t="s">
        <v>48</v>
      </c>
      <c r="F249" s="2" t="s">
        <v>49</v>
      </c>
      <c r="G249" s="2" t="s">
        <v>26</v>
      </c>
      <c r="H249" s="2" t="s">
        <v>33</v>
      </c>
      <c r="I249" s="2">
        <v>3</v>
      </c>
      <c r="J249" s="2">
        <v>636</v>
      </c>
      <c r="K249" s="2">
        <v>13</v>
      </c>
      <c r="L249" s="2">
        <v>1659.96</v>
      </c>
    </row>
    <row r="250" spans="1:12" x14ac:dyDescent="0.3">
      <c r="A250" s="2" t="s">
        <v>624</v>
      </c>
      <c r="B250" s="2" t="s">
        <v>605</v>
      </c>
      <c r="C250" s="2" t="s">
        <v>510</v>
      </c>
      <c r="D250" s="2" t="s">
        <v>53</v>
      </c>
      <c r="E250" s="2" t="s">
        <v>16</v>
      </c>
      <c r="F250" s="2" t="s">
        <v>32</v>
      </c>
      <c r="G250" s="2" t="s">
        <v>54</v>
      </c>
      <c r="H250" s="2" t="s">
        <v>33</v>
      </c>
      <c r="I250" s="2">
        <v>4</v>
      </c>
      <c r="J250" s="2">
        <v>440</v>
      </c>
      <c r="K250" s="2">
        <v>29</v>
      </c>
      <c r="L250" s="2">
        <v>1249.5999999999999</v>
      </c>
    </row>
    <row r="251" spans="1:12" x14ac:dyDescent="0.3">
      <c r="A251" s="2" t="s">
        <v>625</v>
      </c>
      <c r="B251" s="2" t="s">
        <v>435</v>
      </c>
      <c r="C251" s="2" t="s">
        <v>626</v>
      </c>
      <c r="D251" s="2" t="s">
        <v>15</v>
      </c>
      <c r="E251" s="2" t="s">
        <v>58</v>
      </c>
      <c r="F251" s="2" t="s">
        <v>40</v>
      </c>
      <c r="G251" s="2" t="s">
        <v>26</v>
      </c>
      <c r="H251" s="2" t="s">
        <v>75</v>
      </c>
      <c r="I251" s="2">
        <v>1</v>
      </c>
      <c r="J251" s="2">
        <v>3357</v>
      </c>
      <c r="K251" s="2">
        <v>17</v>
      </c>
      <c r="L251" s="2">
        <v>2786.31</v>
      </c>
    </row>
    <row r="252" spans="1:12" x14ac:dyDescent="0.3">
      <c r="A252" s="2" t="s">
        <v>627</v>
      </c>
      <c r="B252" s="2" t="s">
        <v>153</v>
      </c>
      <c r="C252" s="2" t="s">
        <v>628</v>
      </c>
      <c r="D252" s="2" t="s">
        <v>53</v>
      </c>
      <c r="E252" s="2" t="s">
        <v>58</v>
      </c>
      <c r="F252" s="2" t="s">
        <v>32</v>
      </c>
      <c r="G252" s="2" t="s">
        <v>18</v>
      </c>
      <c r="H252" s="2" t="s">
        <v>19</v>
      </c>
      <c r="I252" s="2">
        <v>2</v>
      </c>
      <c r="J252" s="2">
        <v>650</v>
      </c>
      <c r="K252" s="2">
        <v>1</v>
      </c>
      <c r="L252" s="2">
        <v>1287</v>
      </c>
    </row>
    <row r="253" spans="1:12" x14ac:dyDescent="0.3">
      <c r="A253" s="2" t="s">
        <v>629</v>
      </c>
      <c r="B253" s="2" t="s">
        <v>232</v>
      </c>
      <c r="C253" s="2" t="s">
        <v>538</v>
      </c>
      <c r="D253" s="2" t="s">
        <v>23</v>
      </c>
      <c r="E253" s="2" t="s">
        <v>31</v>
      </c>
      <c r="F253" s="2" t="s">
        <v>49</v>
      </c>
      <c r="G253" s="2" t="s">
        <v>18</v>
      </c>
      <c r="H253" s="2" t="s">
        <v>44</v>
      </c>
      <c r="I253" s="2">
        <v>2</v>
      </c>
      <c r="J253" s="2">
        <v>2259</v>
      </c>
      <c r="K253" s="2">
        <v>29</v>
      </c>
      <c r="L253" s="2">
        <v>3207.78</v>
      </c>
    </row>
    <row r="254" spans="1:12" x14ac:dyDescent="0.3">
      <c r="A254" s="2" t="s">
        <v>630</v>
      </c>
      <c r="B254" s="2" t="s">
        <v>631</v>
      </c>
      <c r="C254" s="2" t="s">
        <v>632</v>
      </c>
      <c r="D254" s="2" t="s">
        <v>30</v>
      </c>
      <c r="E254" s="2" t="s">
        <v>79</v>
      </c>
      <c r="F254" s="2" t="s">
        <v>17</v>
      </c>
      <c r="G254" s="2" t="s">
        <v>40</v>
      </c>
      <c r="H254" s="2" t="s">
        <v>19</v>
      </c>
      <c r="I254" s="2">
        <v>1</v>
      </c>
      <c r="J254" s="2">
        <v>1079</v>
      </c>
      <c r="K254" s="2">
        <v>3</v>
      </c>
      <c r="L254" s="2">
        <v>1046.6300000000001</v>
      </c>
    </row>
    <row r="255" spans="1:12" x14ac:dyDescent="0.3">
      <c r="A255" s="2" t="s">
        <v>633</v>
      </c>
      <c r="B255" s="2" t="s">
        <v>634</v>
      </c>
      <c r="C255" s="2" t="s">
        <v>635</v>
      </c>
      <c r="D255" s="2" t="s">
        <v>30</v>
      </c>
      <c r="E255" s="2" t="s">
        <v>31</v>
      </c>
      <c r="F255" s="2" t="s">
        <v>17</v>
      </c>
      <c r="G255" s="2" t="s">
        <v>26</v>
      </c>
      <c r="H255" s="2" t="s">
        <v>33</v>
      </c>
      <c r="I255" s="2">
        <v>1</v>
      </c>
      <c r="J255" s="2">
        <v>1651</v>
      </c>
      <c r="K255" s="2">
        <v>30</v>
      </c>
      <c r="L255" s="2">
        <v>1155.7</v>
      </c>
    </row>
    <row r="256" spans="1:12" x14ac:dyDescent="0.3">
      <c r="A256" s="2" t="s">
        <v>636</v>
      </c>
      <c r="B256" s="2" t="s">
        <v>637</v>
      </c>
      <c r="C256" s="2" t="s">
        <v>160</v>
      </c>
      <c r="D256" s="2" t="s">
        <v>23</v>
      </c>
      <c r="E256" s="2" t="s">
        <v>24</v>
      </c>
      <c r="F256" s="2" t="s">
        <v>32</v>
      </c>
      <c r="G256" s="2" t="s">
        <v>54</v>
      </c>
      <c r="H256" s="2" t="s">
        <v>19</v>
      </c>
      <c r="I256" s="2">
        <v>3</v>
      </c>
      <c r="J256" s="2">
        <v>2998</v>
      </c>
      <c r="K256" s="2">
        <v>23</v>
      </c>
      <c r="L256" s="2">
        <v>6925.38</v>
      </c>
    </row>
    <row r="257" spans="1:12" x14ac:dyDescent="0.3">
      <c r="A257" s="2" t="s">
        <v>638</v>
      </c>
      <c r="B257" s="2" t="s">
        <v>514</v>
      </c>
      <c r="C257" s="2" t="s">
        <v>111</v>
      </c>
      <c r="D257" s="2" t="s">
        <v>88</v>
      </c>
      <c r="E257" s="2" t="s">
        <v>58</v>
      </c>
      <c r="F257" s="2" t="s">
        <v>17</v>
      </c>
      <c r="G257" s="2" t="s">
        <v>62</v>
      </c>
      <c r="H257" s="2" t="s">
        <v>19</v>
      </c>
      <c r="I257" s="2">
        <v>2</v>
      </c>
      <c r="J257" s="2">
        <v>1744</v>
      </c>
      <c r="K257" s="2">
        <v>20</v>
      </c>
      <c r="L257" s="2">
        <v>2790.4</v>
      </c>
    </row>
    <row r="258" spans="1:12" x14ac:dyDescent="0.3">
      <c r="A258" s="2" t="s">
        <v>639</v>
      </c>
      <c r="B258" s="2" t="s">
        <v>70</v>
      </c>
      <c r="C258" s="2" t="s">
        <v>305</v>
      </c>
      <c r="D258" s="2" t="s">
        <v>88</v>
      </c>
      <c r="E258" s="2" t="s">
        <v>58</v>
      </c>
      <c r="F258" s="2" t="s">
        <v>32</v>
      </c>
      <c r="G258" s="2" t="s">
        <v>54</v>
      </c>
      <c r="H258" s="2" t="s">
        <v>19</v>
      </c>
      <c r="I258" s="2">
        <v>1</v>
      </c>
      <c r="J258" s="2">
        <v>3592</v>
      </c>
      <c r="K258" s="2">
        <v>28</v>
      </c>
      <c r="L258" s="2">
        <v>2586.2399999999998</v>
      </c>
    </row>
    <row r="259" spans="1:12" x14ac:dyDescent="0.3">
      <c r="A259" s="2" t="s">
        <v>640</v>
      </c>
      <c r="B259" s="2" t="s">
        <v>537</v>
      </c>
      <c r="C259" s="2" t="s">
        <v>641</v>
      </c>
      <c r="D259" s="2" t="s">
        <v>53</v>
      </c>
      <c r="E259" s="2" t="s">
        <v>24</v>
      </c>
      <c r="F259" s="2" t="s">
        <v>49</v>
      </c>
      <c r="G259" s="2" t="s">
        <v>40</v>
      </c>
      <c r="H259" s="2" t="s">
        <v>33</v>
      </c>
      <c r="I259" s="2">
        <v>4</v>
      </c>
      <c r="J259" s="2">
        <v>827</v>
      </c>
      <c r="K259" s="2">
        <v>21</v>
      </c>
      <c r="L259" s="2">
        <v>2613.3200000000002</v>
      </c>
    </row>
    <row r="260" spans="1:12" x14ac:dyDescent="0.3">
      <c r="A260" s="2" t="s">
        <v>642</v>
      </c>
      <c r="B260" s="2" t="s">
        <v>395</v>
      </c>
      <c r="C260" s="2" t="s">
        <v>74</v>
      </c>
      <c r="D260" s="2" t="s">
        <v>53</v>
      </c>
      <c r="E260" s="2" t="s">
        <v>58</v>
      </c>
      <c r="F260" s="2" t="s">
        <v>40</v>
      </c>
      <c r="G260" s="2" t="s">
        <v>18</v>
      </c>
      <c r="H260" s="2" t="s">
        <v>44</v>
      </c>
      <c r="I260" s="2">
        <v>4</v>
      </c>
      <c r="J260" s="2">
        <v>788</v>
      </c>
      <c r="K260" s="2">
        <v>27</v>
      </c>
      <c r="L260" s="2">
        <v>2300.96</v>
      </c>
    </row>
    <row r="261" spans="1:12" x14ac:dyDescent="0.3">
      <c r="A261" s="2" t="s">
        <v>643</v>
      </c>
      <c r="B261" s="2" t="s">
        <v>440</v>
      </c>
      <c r="C261" s="2" t="s">
        <v>87</v>
      </c>
      <c r="D261" s="2" t="s">
        <v>15</v>
      </c>
      <c r="E261" s="2" t="s">
        <v>58</v>
      </c>
      <c r="F261" s="2" t="s">
        <v>32</v>
      </c>
      <c r="G261" s="2" t="s">
        <v>40</v>
      </c>
      <c r="H261" s="2" t="s">
        <v>19</v>
      </c>
      <c r="I261" s="2">
        <v>5</v>
      </c>
      <c r="J261" s="2">
        <v>3085</v>
      </c>
      <c r="K261" s="2">
        <v>19</v>
      </c>
      <c r="L261" s="2">
        <v>12494.25</v>
      </c>
    </row>
    <row r="262" spans="1:12" x14ac:dyDescent="0.3">
      <c r="A262" s="2" t="s">
        <v>644</v>
      </c>
      <c r="B262" s="2" t="s">
        <v>645</v>
      </c>
      <c r="C262" s="2" t="s">
        <v>136</v>
      </c>
      <c r="D262" s="2" t="s">
        <v>30</v>
      </c>
      <c r="E262" s="2" t="s">
        <v>31</v>
      </c>
      <c r="F262" s="2" t="s">
        <v>32</v>
      </c>
      <c r="G262" s="2" t="s">
        <v>26</v>
      </c>
      <c r="H262" s="2" t="s">
        <v>75</v>
      </c>
      <c r="I262" s="2">
        <v>2</v>
      </c>
      <c r="J262" s="2">
        <v>3227</v>
      </c>
      <c r="K262" s="2">
        <v>8</v>
      </c>
      <c r="L262" s="2">
        <v>5937.68</v>
      </c>
    </row>
    <row r="263" spans="1:12" x14ac:dyDescent="0.3">
      <c r="A263" s="2" t="s">
        <v>646</v>
      </c>
      <c r="B263" s="2" t="s">
        <v>647</v>
      </c>
      <c r="C263" s="2" t="s">
        <v>222</v>
      </c>
      <c r="D263" s="2" t="s">
        <v>15</v>
      </c>
      <c r="E263" s="2" t="s">
        <v>48</v>
      </c>
      <c r="F263" s="2" t="s">
        <v>49</v>
      </c>
      <c r="G263" s="2" t="s">
        <v>18</v>
      </c>
      <c r="H263" s="2" t="s">
        <v>44</v>
      </c>
      <c r="I263" s="2">
        <v>1</v>
      </c>
      <c r="J263" s="2">
        <v>1967</v>
      </c>
      <c r="K263" s="2">
        <v>7</v>
      </c>
      <c r="L263" s="2">
        <v>1829.31</v>
      </c>
    </row>
    <row r="264" spans="1:12" x14ac:dyDescent="0.3">
      <c r="A264" s="2" t="s">
        <v>648</v>
      </c>
      <c r="B264" s="2" t="s">
        <v>594</v>
      </c>
      <c r="C264" s="2" t="s">
        <v>649</v>
      </c>
      <c r="D264" s="2" t="s">
        <v>15</v>
      </c>
      <c r="E264" s="2" t="s">
        <v>58</v>
      </c>
      <c r="F264" s="2" t="s">
        <v>49</v>
      </c>
      <c r="G264" s="2" t="s">
        <v>18</v>
      </c>
      <c r="H264" s="2" t="s">
        <v>19</v>
      </c>
      <c r="I264" s="2">
        <v>4</v>
      </c>
      <c r="J264" s="2">
        <v>3225</v>
      </c>
      <c r="K264" s="2">
        <v>14</v>
      </c>
      <c r="L264" s="2">
        <v>11094</v>
      </c>
    </row>
    <row r="265" spans="1:12" x14ac:dyDescent="0.3">
      <c r="A265" s="2" t="s">
        <v>650</v>
      </c>
      <c r="B265" s="2" t="s">
        <v>651</v>
      </c>
      <c r="C265" s="2" t="s">
        <v>652</v>
      </c>
      <c r="D265" s="2" t="s">
        <v>53</v>
      </c>
      <c r="E265" s="2" t="s">
        <v>16</v>
      </c>
      <c r="F265" s="2" t="s">
        <v>49</v>
      </c>
      <c r="G265" s="2" t="s">
        <v>18</v>
      </c>
      <c r="H265" s="2" t="s">
        <v>44</v>
      </c>
      <c r="I265" s="2">
        <v>5</v>
      </c>
      <c r="J265" s="2">
        <v>2462</v>
      </c>
      <c r="K265" s="2">
        <v>9</v>
      </c>
      <c r="L265" s="2">
        <v>11202.1</v>
      </c>
    </row>
    <row r="266" spans="1:12" x14ac:dyDescent="0.3">
      <c r="A266" s="2" t="s">
        <v>653</v>
      </c>
      <c r="B266" s="2" t="s">
        <v>269</v>
      </c>
      <c r="C266" s="2" t="s">
        <v>288</v>
      </c>
      <c r="D266" s="2" t="s">
        <v>15</v>
      </c>
      <c r="E266" s="2" t="s">
        <v>79</v>
      </c>
      <c r="F266" s="2" t="s">
        <v>49</v>
      </c>
      <c r="G266" s="2" t="s">
        <v>18</v>
      </c>
      <c r="H266" s="2" t="s">
        <v>75</v>
      </c>
      <c r="I266" s="2">
        <v>1</v>
      </c>
      <c r="J266" s="2">
        <v>2314</v>
      </c>
      <c r="K266" s="2">
        <v>25</v>
      </c>
      <c r="L266" s="2">
        <v>1735.5</v>
      </c>
    </row>
    <row r="267" spans="1:12" x14ac:dyDescent="0.3">
      <c r="A267" s="2" t="s">
        <v>654</v>
      </c>
      <c r="B267" s="2" t="s">
        <v>232</v>
      </c>
      <c r="C267" s="2" t="s">
        <v>655</v>
      </c>
      <c r="D267" s="2" t="s">
        <v>15</v>
      </c>
      <c r="E267" s="2" t="s">
        <v>24</v>
      </c>
      <c r="F267" s="2" t="s">
        <v>25</v>
      </c>
      <c r="G267" s="2" t="s">
        <v>40</v>
      </c>
      <c r="H267" s="2" t="s">
        <v>44</v>
      </c>
      <c r="I267" s="2">
        <v>3</v>
      </c>
      <c r="J267" s="2">
        <v>4180</v>
      </c>
      <c r="K267" s="2">
        <v>9</v>
      </c>
      <c r="L267" s="2">
        <v>11411.4</v>
      </c>
    </row>
    <row r="268" spans="1:12" x14ac:dyDescent="0.3">
      <c r="A268" s="2" t="s">
        <v>656</v>
      </c>
      <c r="B268" s="2" t="s">
        <v>657</v>
      </c>
      <c r="C268" s="2" t="s">
        <v>658</v>
      </c>
      <c r="D268" s="2" t="s">
        <v>53</v>
      </c>
      <c r="E268" s="2" t="s">
        <v>24</v>
      </c>
      <c r="F268" s="2" t="s">
        <v>32</v>
      </c>
      <c r="G268" s="2" t="s">
        <v>40</v>
      </c>
      <c r="H268" s="2" t="s">
        <v>33</v>
      </c>
      <c r="I268" s="2">
        <v>1</v>
      </c>
      <c r="J268" s="2">
        <v>296</v>
      </c>
      <c r="K268" s="2">
        <v>30</v>
      </c>
      <c r="L268" s="2">
        <v>207.2</v>
      </c>
    </row>
    <row r="269" spans="1:12" x14ac:dyDescent="0.3">
      <c r="A269" s="2" t="s">
        <v>659</v>
      </c>
      <c r="B269" s="2" t="s">
        <v>605</v>
      </c>
      <c r="C269" s="2" t="s">
        <v>660</v>
      </c>
      <c r="D269" s="2" t="s">
        <v>15</v>
      </c>
      <c r="E269" s="2" t="s">
        <v>24</v>
      </c>
      <c r="F269" s="2" t="s">
        <v>32</v>
      </c>
      <c r="G269" s="2" t="s">
        <v>18</v>
      </c>
      <c r="H269" s="2" t="s">
        <v>44</v>
      </c>
      <c r="I269" s="2">
        <v>1</v>
      </c>
      <c r="J269" s="2">
        <v>4338</v>
      </c>
      <c r="K269" s="2">
        <v>7</v>
      </c>
      <c r="L269" s="2">
        <v>4034.34</v>
      </c>
    </row>
    <row r="270" spans="1:12" x14ac:dyDescent="0.3">
      <c r="A270" s="2" t="s">
        <v>661</v>
      </c>
      <c r="B270" s="2" t="s">
        <v>662</v>
      </c>
      <c r="C270" s="2" t="s">
        <v>663</v>
      </c>
      <c r="D270" s="2" t="s">
        <v>30</v>
      </c>
      <c r="E270" s="2" t="s">
        <v>48</v>
      </c>
      <c r="F270" s="2" t="s">
        <v>32</v>
      </c>
      <c r="G270" s="2" t="s">
        <v>18</v>
      </c>
      <c r="H270" s="2" t="s">
        <v>33</v>
      </c>
      <c r="I270" s="2">
        <v>3</v>
      </c>
      <c r="J270" s="2">
        <v>222</v>
      </c>
      <c r="K270" s="2">
        <v>8</v>
      </c>
      <c r="L270" s="2">
        <v>612.72</v>
      </c>
    </row>
    <row r="271" spans="1:12" x14ac:dyDescent="0.3">
      <c r="A271" s="2" t="s">
        <v>664</v>
      </c>
      <c r="B271" s="2" t="s">
        <v>665</v>
      </c>
      <c r="C271" s="2" t="s">
        <v>385</v>
      </c>
      <c r="D271" s="2" t="s">
        <v>15</v>
      </c>
      <c r="E271" s="2" t="s">
        <v>79</v>
      </c>
      <c r="F271" s="2" t="s">
        <v>49</v>
      </c>
      <c r="G271" s="2" t="s">
        <v>54</v>
      </c>
      <c r="H271" s="2" t="s">
        <v>19</v>
      </c>
      <c r="I271" s="2">
        <v>5</v>
      </c>
      <c r="J271" s="2">
        <v>1557</v>
      </c>
      <c r="K271" s="2">
        <v>1</v>
      </c>
      <c r="L271" s="2">
        <v>7707.15</v>
      </c>
    </row>
    <row r="272" spans="1:12" x14ac:dyDescent="0.3">
      <c r="A272" s="2" t="s">
        <v>666</v>
      </c>
      <c r="B272" s="2" t="s">
        <v>667</v>
      </c>
      <c r="C272" s="2" t="s">
        <v>668</v>
      </c>
      <c r="D272" s="2" t="s">
        <v>30</v>
      </c>
      <c r="E272" s="2" t="s">
        <v>24</v>
      </c>
      <c r="F272" s="2" t="s">
        <v>32</v>
      </c>
      <c r="G272" s="2" t="s">
        <v>54</v>
      </c>
      <c r="H272" s="2" t="s">
        <v>33</v>
      </c>
      <c r="I272" s="2">
        <v>2</v>
      </c>
      <c r="J272" s="2">
        <v>3173</v>
      </c>
      <c r="K272" s="2">
        <v>21</v>
      </c>
      <c r="L272" s="2">
        <v>5013.34</v>
      </c>
    </row>
    <row r="273" spans="1:12" x14ac:dyDescent="0.3">
      <c r="A273" s="2" t="s">
        <v>669</v>
      </c>
      <c r="B273" s="2" t="s">
        <v>440</v>
      </c>
      <c r="C273" s="2" t="s">
        <v>670</v>
      </c>
      <c r="D273" s="2" t="s">
        <v>30</v>
      </c>
      <c r="E273" s="2" t="s">
        <v>68</v>
      </c>
      <c r="F273" s="2" t="s">
        <v>17</v>
      </c>
      <c r="G273" s="2" t="s">
        <v>18</v>
      </c>
      <c r="H273" s="2" t="s">
        <v>19</v>
      </c>
      <c r="I273" s="2">
        <v>2</v>
      </c>
      <c r="J273" s="2">
        <v>2678</v>
      </c>
      <c r="K273" s="2">
        <v>5</v>
      </c>
      <c r="L273" s="2">
        <v>5088.2</v>
      </c>
    </row>
    <row r="274" spans="1:12" x14ac:dyDescent="0.3">
      <c r="A274" s="2" t="s">
        <v>671</v>
      </c>
      <c r="B274" s="2" t="s">
        <v>672</v>
      </c>
      <c r="C274" s="2" t="s">
        <v>549</v>
      </c>
      <c r="D274" s="2" t="s">
        <v>53</v>
      </c>
      <c r="E274" s="2" t="s">
        <v>79</v>
      </c>
      <c r="F274" s="2" t="s">
        <v>40</v>
      </c>
      <c r="G274" s="2" t="s">
        <v>62</v>
      </c>
      <c r="H274" s="2" t="s">
        <v>44</v>
      </c>
      <c r="I274" s="2">
        <v>3</v>
      </c>
      <c r="J274" s="2">
        <v>4331</v>
      </c>
      <c r="K274" s="2">
        <v>2</v>
      </c>
      <c r="L274" s="2">
        <v>12733.14</v>
      </c>
    </row>
    <row r="275" spans="1:12" x14ac:dyDescent="0.3">
      <c r="A275" s="2" t="s">
        <v>673</v>
      </c>
      <c r="B275" s="2" t="s">
        <v>674</v>
      </c>
      <c r="C275" s="2" t="s">
        <v>675</v>
      </c>
      <c r="D275" s="2" t="s">
        <v>30</v>
      </c>
      <c r="E275" s="2" t="s">
        <v>24</v>
      </c>
      <c r="F275" s="2" t="s">
        <v>40</v>
      </c>
      <c r="G275" s="2" t="s">
        <v>54</v>
      </c>
      <c r="H275" s="2" t="s">
        <v>75</v>
      </c>
      <c r="I275" s="2">
        <v>3</v>
      </c>
      <c r="J275" s="2">
        <v>3437</v>
      </c>
      <c r="K275" s="2">
        <v>1</v>
      </c>
      <c r="L275" s="2">
        <v>10207.89</v>
      </c>
    </row>
    <row r="276" spans="1:12" x14ac:dyDescent="0.3">
      <c r="A276" s="2" t="s">
        <v>676</v>
      </c>
      <c r="B276" s="2" t="s">
        <v>677</v>
      </c>
      <c r="C276" s="2" t="s">
        <v>678</v>
      </c>
      <c r="D276" s="2" t="s">
        <v>15</v>
      </c>
      <c r="E276" s="2" t="s">
        <v>68</v>
      </c>
      <c r="F276" s="2" t="s">
        <v>17</v>
      </c>
      <c r="G276" s="2" t="s">
        <v>40</v>
      </c>
      <c r="H276" s="2" t="s">
        <v>19</v>
      </c>
      <c r="I276" s="2">
        <v>3</v>
      </c>
      <c r="J276" s="2">
        <v>2222</v>
      </c>
      <c r="K276" s="2">
        <v>28</v>
      </c>
      <c r="L276" s="2">
        <v>4799.5200000000004</v>
      </c>
    </row>
    <row r="277" spans="1:12" x14ac:dyDescent="0.3">
      <c r="A277" s="2" t="s">
        <v>679</v>
      </c>
      <c r="B277" s="2" t="s">
        <v>64</v>
      </c>
      <c r="C277" s="2" t="s">
        <v>535</v>
      </c>
      <c r="D277" s="2" t="s">
        <v>15</v>
      </c>
      <c r="E277" s="2" t="s">
        <v>68</v>
      </c>
      <c r="F277" s="2" t="s">
        <v>17</v>
      </c>
      <c r="G277" s="2" t="s">
        <v>18</v>
      </c>
      <c r="H277" s="2" t="s">
        <v>44</v>
      </c>
      <c r="I277" s="2">
        <v>2</v>
      </c>
      <c r="J277" s="2">
        <v>4907</v>
      </c>
      <c r="K277" s="2">
        <v>14</v>
      </c>
      <c r="L277" s="2">
        <v>8440.0400000000009</v>
      </c>
    </row>
    <row r="278" spans="1:12" x14ac:dyDescent="0.3">
      <c r="A278" s="2" t="s">
        <v>680</v>
      </c>
      <c r="B278" s="2" t="s">
        <v>681</v>
      </c>
      <c r="C278" s="2" t="s">
        <v>682</v>
      </c>
      <c r="D278" s="2" t="s">
        <v>53</v>
      </c>
      <c r="E278" s="2" t="s">
        <v>58</v>
      </c>
      <c r="F278" s="2" t="s">
        <v>25</v>
      </c>
      <c r="G278" s="2" t="s">
        <v>26</v>
      </c>
      <c r="H278" s="2" t="s">
        <v>75</v>
      </c>
      <c r="I278" s="2">
        <v>5</v>
      </c>
      <c r="J278" s="2">
        <v>2547</v>
      </c>
      <c r="K278" s="2">
        <v>15</v>
      </c>
      <c r="L278" s="2">
        <v>10824.75</v>
      </c>
    </row>
    <row r="279" spans="1:12" x14ac:dyDescent="0.3">
      <c r="A279" s="2" t="s">
        <v>683</v>
      </c>
      <c r="B279" s="2" t="s">
        <v>684</v>
      </c>
      <c r="C279" s="2" t="s">
        <v>567</v>
      </c>
      <c r="D279" s="2" t="s">
        <v>15</v>
      </c>
      <c r="E279" s="2" t="s">
        <v>79</v>
      </c>
      <c r="F279" s="2" t="s">
        <v>49</v>
      </c>
      <c r="G279" s="2" t="s">
        <v>62</v>
      </c>
      <c r="H279" s="2" t="s">
        <v>44</v>
      </c>
      <c r="I279" s="2">
        <v>1</v>
      </c>
      <c r="J279" s="2">
        <v>2190</v>
      </c>
      <c r="K279" s="2">
        <v>16</v>
      </c>
      <c r="L279" s="2">
        <v>1839.6</v>
      </c>
    </row>
    <row r="280" spans="1:12" x14ac:dyDescent="0.3">
      <c r="A280" s="2" t="s">
        <v>685</v>
      </c>
      <c r="B280" s="2" t="s">
        <v>585</v>
      </c>
      <c r="C280" s="2" t="s">
        <v>225</v>
      </c>
      <c r="D280" s="2" t="s">
        <v>30</v>
      </c>
      <c r="E280" s="2" t="s">
        <v>31</v>
      </c>
      <c r="F280" s="2" t="s">
        <v>32</v>
      </c>
      <c r="G280" s="2" t="s">
        <v>54</v>
      </c>
      <c r="H280" s="2" t="s">
        <v>33</v>
      </c>
      <c r="I280" s="2">
        <v>2</v>
      </c>
      <c r="J280" s="2">
        <v>712</v>
      </c>
      <c r="K280" s="2">
        <v>23</v>
      </c>
      <c r="L280" s="2">
        <v>1096.48</v>
      </c>
    </row>
    <row r="281" spans="1:12" x14ac:dyDescent="0.3">
      <c r="A281" s="2" t="s">
        <v>686</v>
      </c>
      <c r="B281" s="2" t="s">
        <v>687</v>
      </c>
      <c r="C281" s="2" t="s">
        <v>641</v>
      </c>
      <c r="D281" s="2" t="s">
        <v>15</v>
      </c>
      <c r="E281" s="2" t="s">
        <v>16</v>
      </c>
      <c r="F281" s="2" t="s">
        <v>17</v>
      </c>
      <c r="G281" s="2" t="s">
        <v>54</v>
      </c>
      <c r="H281" s="2" t="s">
        <v>75</v>
      </c>
      <c r="I281" s="2">
        <v>3</v>
      </c>
      <c r="J281" s="2">
        <v>4935</v>
      </c>
      <c r="K281" s="2">
        <v>24</v>
      </c>
      <c r="L281" s="2">
        <v>11251.8</v>
      </c>
    </row>
    <row r="282" spans="1:12" x14ac:dyDescent="0.3">
      <c r="A282" s="2" t="s">
        <v>688</v>
      </c>
      <c r="B282" s="2" t="s">
        <v>687</v>
      </c>
      <c r="C282" s="2" t="s">
        <v>552</v>
      </c>
      <c r="D282" s="2" t="s">
        <v>15</v>
      </c>
      <c r="E282" s="2" t="s">
        <v>68</v>
      </c>
      <c r="F282" s="2" t="s">
        <v>32</v>
      </c>
      <c r="G282" s="2" t="s">
        <v>62</v>
      </c>
      <c r="H282" s="2" t="s">
        <v>75</v>
      </c>
      <c r="I282" s="2">
        <v>5</v>
      </c>
      <c r="J282" s="2">
        <v>2712</v>
      </c>
      <c r="K282" s="2">
        <v>4</v>
      </c>
      <c r="L282" s="2">
        <v>13017.6</v>
      </c>
    </row>
    <row r="283" spans="1:12" x14ac:dyDescent="0.3">
      <c r="A283" s="2" t="s">
        <v>689</v>
      </c>
      <c r="B283" s="2" t="s">
        <v>490</v>
      </c>
      <c r="C283" s="2" t="s">
        <v>690</v>
      </c>
      <c r="D283" s="2" t="s">
        <v>53</v>
      </c>
      <c r="E283" s="2" t="s">
        <v>48</v>
      </c>
      <c r="F283" s="2" t="s">
        <v>17</v>
      </c>
      <c r="G283" s="2" t="s">
        <v>26</v>
      </c>
      <c r="H283" s="2" t="s">
        <v>44</v>
      </c>
      <c r="I283" s="2">
        <v>2</v>
      </c>
      <c r="J283" s="2">
        <v>3899</v>
      </c>
      <c r="K283" s="2">
        <v>5</v>
      </c>
      <c r="L283" s="2">
        <v>7408.1</v>
      </c>
    </row>
    <row r="284" spans="1:12" x14ac:dyDescent="0.3">
      <c r="A284" s="2" t="s">
        <v>691</v>
      </c>
      <c r="B284" s="2" t="s">
        <v>213</v>
      </c>
      <c r="C284" s="2" t="s">
        <v>692</v>
      </c>
      <c r="D284" s="2" t="s">
        <v>15</v>
      </c>
      <c r="E284" s="2" t="s">
        <v>24</v>
      </c>
      <c r="F284" s="2" t="s">
        <v>32</v>
      </c>
      <c r="G284" s="2" t="s">
        <v>40</v>
      </c>
      <c r="H284" s="2" t="s">
        <v>75</v>
      </c>
      <c r="I284" s="2">
        <v>4</v>
      </c>
      <c r="J284" s="2">
        <v>4115</v>
      </c>
      <c r="K284" s="2">
        <v>20</v>
      </c>
      <c r="L284" s="2">
        <v>13168</v>
      </c>
    </row>
    <row r="285" spans="1:12" x14ac:dyDescent="0.3">
      <c r="A285" s="2" t="s">
        <v>693</v>
      </c>
      <c r="B285" s="2" t="s">
        <v>96</v>
      </c>
      <c r="C285" s="2" t="s">
        <v>267</v>
      </c>
      <c r="D285" s="2" t="s">
        <v>53</v>
      </c>
      <c r="E285" s="2" t="s">
        <v>24</v>
      </c>
      <c r="F285" s="2" t="s">
        <v>40</v>
      </c>
      <c r="G285" s="2" t="s">
        <v>26</v>
      </c>
      <c r="H285" s="2" t="s">
        <v>33</v>
      </c>
      <c r="I285" s="2">
        <v>2</v>
      </c>
      <c r="J285" s="2">
        <v>3669</v>
      </c>
      <c r="K285" s="2">
        <v>28</v>
      </c>
      <c r="L285" s="2">
        <v>5283.36</v>
      </c>
    </row>
    <row r="286" spans="1:12" x14ac:dyDescent="0.3">
      <c r="A286" s="2" t="s">
        <v>694</v>
      </c>
      <c r="B286" s="2" t="s">
        <v>293</v>
      </c>
      <c r="C286" s="2" t="s">
        <v>668</v>
      </c>
      <c r="D286" s="2" t="s">
        <v>23</v>
      </c>
      <c r="E286" s="2" t="s">
        <v>31</v>
      </c>
      <c r="F286" s="2" t="s">
        <v>32</v>
      </c>
      <c r="G286" s="2" t="s">
        <v>18</v>
      </c>
      <c r="H286" s="2" t="s">
        <v>19</v>
      </c>
      <c r="I286" s="2">
        <v>1</v>
      </c>
      <c r="J286" s="2">
        <v>2178</v>
      </c>
      <c r="K286" s="2">
        <v>21</v>
      </c>
      <c r="L286" s="2">
        <v>1720.62</v>
      </c>
    </row>
    <row r="287" spans="1:12" x14ac:dyDescent="0.3">
      <c r="A287" s="2" t="s">
        <v>695</v>
      </c>
      <c r="B287" s="2" t="s">
        <v>696</v>
      </c>
      <c r="C287" s="2" t="s">
        <v>635</v>
      </c>
      <c r="D287" s="2" t="s">
        <v>53</v>
      </c>
      <c r="E287" s="2" t="s">
        <v>16</v>
      </c>
      <c r="F287" s="2" t="s">
        <v>25</v>
      </c>
      <c r="G287" s="2" t="s">
        <v>62</v>
      </c>
      <c r="H287" s="2" t="s">
        <v>33</v>
      </c>
      <c r="I287" s="2">
        <v>4</v>
      </c>
      <c r="J287" s="2">
        <v>2279</v>
      </c>
      <c r="K287" s="2">
        <v>0</v>
      </c>
      <c r="L287" s="2">
        <v>9116</v>
      </c>
    </row>
    <row r="288" spans="1:12" x14ac:dyDescent="0.3">
      <c r="A288" s="2" t="s">
        <v>697</v>
      </c>
      <c r="B288" s="2" t="s">
        <v>165</v>
      </c>
      <c r="C288" s="2" t="s">
        <v>698</v>
      </c>
      <c r="D288" s="2" t="s">
        <v>23</v>
      </c>
      <c r="E288" s="2" t="s">
        <v>16</v>
      </c>
      <c r="F288" s="2" t="s">
        <v>49</v>
      </c>
      <c r="G288" s="2" t="s">
        <v>26</v>
      </c>
      <c r="H288" s="2" t="s">
        <v>75</v>
      </c>
      <c r="I288" s="2">
        <v>5</v>
      </c>
      <c r="J288" s="2">
        <v>2296</v>
      </c>
      <c r="K288" s="2">
        <v>10</v>
      </c>
      <c r="L288" s="2">
        <v>10332</v>
      </c>
    </row>
    <row r="289" spans="1:12" x14ac:dyDescent="0.3">
      <c r="A289" s="2" t="s">
        <v>699</v>
      </c>
      <c r="B289" s="2" t="s">
        <v>458</v>
      </c>
      <c r="C289" s="2" t="s">
        <v>700</v>
      </c>
      <c r="D289" s="2" t="s">
        <v>30</v>
      </c>
      <c r="E289" s="2" t="s">
        <v>58</v>
      </c>
      <c r="F289" s="2" t="s">
        <v>17</v>
      </c>
      <c r="G289" s="2" t="s">
        <v>26</v>
      </c>
      <c r="H289" s="2" t="s">
        <v>75</v>
      </c>
      <c r="I289" s="2">
        <v>5</v>
      </c>
      <c r="J289" s="2">
        <v>3705</v>
      </c>
      <c r="K289" s="2">
        <v>15</v>
      </c>
      <c r="L289" s="2">
        <v>15746.25</v>
      </c>
    </row>
    <row r="290" spans="1:12" x14ac:dyDescent="0.3">
      <c r="A290" s="2" t="s">
        <v>701</v>
      </c>
      <c r="B290" s="2" t="s">
        <v>534</v>
      </c>
      <c r="C290" s="2" t="s">
        <v>619</v>
      </c>
      <c r="D290" s="2" t="s">
        <v>88</v>
      </c>
      <c r="E290" s="2" t="s">
        <v>48</v>
      </c>
      <c r="F290" s="2" t="s">
        <v>25</v>
      </c>
      <c r="G290" s="2" t="s">
        <v>62</v>
      </c>
      <c r="H290" s="2" t="s">
        <v>75</v>
      </c>
      <c r="I290" s="2">
        <v>1</v>
      </c>
      <c r="J290" s="2">
        <v>2803</v>
      </c>
      <c r="K290" s="2">
        <v>16</v>
      </c>
      <c r="L290" s="2">
        <v>2354.52</v>
      </c>
    </row>
    <row r="291" spans="1:12" x14ac:dyDescent="0.3">
      <c r="A291" s="2" t="s">
        <v>702</v>
      </c>
      <c r="B291" s="2" t="s">
        <v>66</v>
      </c>
      <c r="C291" s="2" t="s">
        <v>253</v>
      </c>
      <c r="D291" s="2" t="s">
        <v>23</v>
      </c>
      <c r="E291" s="2" t="s">
        <v>79</v>
      </c>
      <c r="F291" s="2" t="s">
        <v>17</v>
      </c>
      <c r="G291" s="2" t="s">
        <v>18</v>
      </c>
      <c r="H291" s="2" t="s">
        <v>33</v>
      </c>
      <c r="I291" s="2">
        <v>1</v>
      </c>
      <c r="J291" s="2">
        <v>3826</v>
      </c>
      <c r="K291" s="2">
        <v>11</v>
      </c>
      <c r="L291" s="2">
        <v>3405.14</v>
      </c>
    </row>
    <row r="292" spans="1:12" x14ac:dyDescent="0.3">
      <c r="A292" s="2" t="s">
        <v>703</v>
      </c>
      <c r="B292" s="2" t="s">
        <v>704</v>
      </c>
      <c r="C292" s="2" t="s">
        <v>705</v>
      </c>
      <c r="D292" s="2" t="s">
        <v>15</v>
      </c>
      <c r="E292" s="2" t="s">
        <v>24</v>
      </c>
      <c r="F292" s="2" t="s">
        <v>25</v>
      </c>
      <c r="G292" s="2" t="s">
        <v>62</v>
      </c>
      <c r="H292" s="2" t="s">
        <v>19</v>
      </c>
      <c r="I292" s="2">
        <v>2</v>
      </c>
      <c r="J292" s="2">
        <v>533</v>
      </c>
      <c r="K292" s="2">
        <v>4</v>
      </c>
      <c r="L292" s="2">
        <v>1023.36</v>
      </c>
    </row>
    <row r="293" spans="1:12" x14ac:dyDescent="0.3">
      <c r="A293" s="2" t="s">
        <v>706</v>
      </c>
      <c r="B293" s="2" t="s">
        <v>707</v>
      </c>
      <c r="C293" s="2" t="s">
        <v>675</v>
      </c>
      <c r="D293" s="2" t="s">
        <v>88</v>
      </c>
      <c r="E293" s="2" t="s">
        <v>31</v>
      </c>
      <c r="F293" s="2" t="s">
        <v>17</v>
      </c>
      <c r="G293" s="2" t="s">
        <v>18</v>
      </c>
      <c r="H293" s="2" t="s">
        <v>44</v>
      </c>
      <c r="I293" s="2">
        <v>2</v>
      </c>
      <c r="J293" s="2">
        <v>3247</v>
      </c>
      <c r="K293" s="2">
        <v>21</v>
      </c>
      <c r="L293" s="2">
        <v>5130.26</v>
      </c>
    </row>
    <row r="294" spans="1:12" x14ac:dyDescent="0.3">
      <c r="A294" s="2" t="s">
        <v>708</v>
      </c>
      <c r="B294" s="2" t="s">
        <v>42</v>
      </c>
      <c r="C294" s="2" t="s">
        <v>709</v>
      </c>
      <c r="D294" s="2" t="s">
        <v>15</v>
      </c>
      <c r="E294" s="2" t="s">
        <v>24</v>
      </c>
      <c r="F294" s="2" t="s">
        <v>17</v>
      </c>
      <c r="G294" s="2" t="s">
        <v>26</v>
      </c>
      <c r="H294" s="2" t="s">
        <v>33</v>
      </c>
      <c r="I294" s="2">
        <v>4</v>
      </c>
      <c r="J294" s="2">
        <v>751</v>
      </c>
      <c r="K294" s="2">
        <v>26</v>
      </c>
      <c r="L294" s="2">
        <v>2222.96</v>
      </c>
    </row>
    <row r="295" spans="1:12" x14ac:dyDescent="0.3">
      <c r="A295" s="2" t="s">
        <v>710</v>
      </c>
      <c r="B295" s="2" t="s">
        <v>707</v>
      </c>
      <c r="C295" s="2" t="s">
        <v>711</v>
      </c>
      <c r="D295" s="2" t="s">
        <v>30</v>
      </c>
      <c r="E295" s="2" t="s">
        <v>31</v>
      </c>
      <c r="F295" s="2" t="s">
        <v>25</v>
      </c>
      <c r="G295" s="2" t="s">
        <v>54</v>
      </c>
      <c r="H295" s="2" t="s">
        <v>44</v>
      </c>
      <c r="I295" s="2">
        <v>4</v>
      </c>
      <c r="J295" s="2">
        <v>1417</v>
      </c>
      <c r="K295" s="2">
        <v>0</v>
      </c>
      <c r="L295" s="2">
        <v>5668</v>
      </c>
    </row>
    <row r="296" spans="1:12" x14ac:dyDescent="0.3">
      <c r="A296" s="2" t="s">
        <v>712</v>
      </c>
      <c r="B296" s="2" t="s">
        <v>293</v>
      </c>
      <c r="C296" s="2" t="s">
        <v>713</v>
      </c>
      <c r="D296" s="2" t="s">
        <v>23</v>
      </c>
      <c r="E296" s="2" t="s">
        <v>24</v>
      </c>
      <c r="F296" s="2" t="s">
        <v>25</v>
      </c>
      <c r="G296" s="2" t="s">
        <v>62</v>
      </c>
      <c r="H296" s="2" t="s">
        <v>19</v>
      </c>
      <c r="I296" s="2">
        <v>5</v>
      </c>
      <c r="J296" s="2">
        <v>1267</v>
      </c>
      <c r="K296" s="2">
        <v>2</v>
      </c>
      <c r="L296" s="2">
        <v>6208.3</v>
      </c>
    </row>
    <row r="297" spans="1:12" x14ac:dyDescent="0.3">
      <c r="A297" s="2" t="s">
        <v>714</v>
      </c>
      <c r="B297" s="2" t="s">
        <v>647</v>
      </c>
      <c r="C297" s="2" t="s">
        <v>211</v>
      </c>
      <c r="D297" s="2" t="s">
        <v>15</v>
      </c>
      <c r="E297" s="2" t="s">
        <v>48</v>
      </c>
      <c r="F297" s="2" t="s">
        <v>32</v>
      </c>
      <c r="G297" s="2" t="s">
        <v>40</v>
      </c>
      <c r="H297" s="2" t="s">
        <v>33</v>
      </c>
      <c r="I297" s="2">
        <v>1</v>
      </c>
      <c r="J297" s="2">
        <v>1559</v>
      </c>
      <c r="K297" s="2">
        <v>16</v>
      </c>
      <c r="L297" s="2">
        <v>1309.56</v>
      </c>
    </row>
    <row r="298" spans="1:12" x14ac:dyDescent="0.3">
      <c r="A298" s="2" t="s">
        <v>715</v>
      </c>
      <c r="B298" s="2" t="s">
        <v>716</v>
      </c>
      <c r="C298" s="2" t="s">
        <v>74</v>
      </c>
      <c r="D298" s="2" t="s">
        <v>23</v>
      </c>
      <c r="E298" s="2" t="s">
        <v>68</v>
      </c>
      <c r="F298" s="2" t="s">
        <v>17</v>
      </c>
      <c r="G298" s="2" t="s">
        <v>26</v>
      </c>
      <c r="H298" s="2" t="s">
        <v>33</v>
      </c>
      <c r="I298" s="2">
        <v>4</v>
      </c>
      <c r="J298" s="2">
        <v>3023</v>
      </c>
      <c r="K298" s="2">
        <v>6</v>
      </c>
      <c r="L298" s="2">
        <v>11366.48</v>
      </c>
    </row>
    <row r="299" spans="1:12" x14ac:dyDescent="0.3">
      <c r="A299" s="2" t="s">
        <v>717</v>
      </c>
      <c r="B299" s="2" t="s">
        <v>237</v>
      </c>
      <c r="C299" s="2" t="s">
        <v>663</v>
      </c>
      <c r="D299" s="2" t="s">
        <v>30</v>
      </c>
      <c r="E299" s="2" t="s">
        <v>16</v>
      </c>
      <c r="F299" s="2" t="s">
        <v>49</v>
      </c>
      <c r="G299" s="2" t="s">
        <v>18</v>
      </c>
      <c r="H299" s="2" t="s">
        <v>75</v>
      </c>
      <c r="I299" s="2">
        <v>4</v>
      </c>
      <c r="J299" s="2">
        <v>4020</v>
      </c>
      <c r="K299" s="2">
        <v>7</v>
      </c>
      <c r="L299" s="2">
        <v>14954.4</v>
      </c>
    </row>
    <row r="300" spans="1:12" x14ac:dyDescent="0.3">
      <c r="A300" s="2" t="s">
        <v>718</v>
      </c>
      <c r="B300" s="2" t="s">
        <v>218</v>
      </c>
      <c r="C300" s="2" t="s">
        <v>719</v>
      </c>
      <c r="D300" s="2" t="s">
        <v>30</v>
      </c>
      <c r="E300" s="2" t="s">
        <v>24</v>
      </c>
      <c r="F300" s="2" t="s">
        <v>40</v>
      </c>
      <c r="G300" s="2" t="s">
        <v>62</v>
      </c>
      <c r="H300" s="2" t="s">
        <v>19</v>
      </c>
      <c r="I300" s="2">
        <v>4</v>
      </c>
      <c r="J300" s="2">
        <v>4155</v>
      </c>
      <c r="K300" s="2">
        <v>1</v>
      </c>
      <c r="L300" s="2">
        <v>16453.8</v>
      </c>
    </row>
    <row r="301" spans="1:12" x14ac:dyDescent="0.3">
      <c r="A301" s="2" t="s">
        <v>720</v>
      </c>
      <c r="B301" s="2" t="s">
        <v>406</v>
      </c>
      <c r="C301" s="2" t="s">
        <v>721</v>
      </c>
      <c r="D301" s="2" t="s">
        <v>15</v>
      </c>
      <c r="E301" s="2" t="s">
        <v>48</v>
      </c>
      <c r="F301" s="2" t="s">
        <v>40</v>
      </c>
      <c r="G301" s="2" t="s">
        <v>26</v>
      </c>
      <c r="H301" s="2" t="s">
        <v>19</v>
      </c>
      <c r="I301" s="2">
        <v>5</v>
      </c>
      <c r="J301" s="2">
        <v>235</v>
      </c>
      <c r="K301" s="2">
        <v>23</v>
      </c>
      <c r="L301" s="2">
        <v>904.75</v>
      </c>
    </row>
    <row r="302" spans="1:12" x14ac:dyDescent="0.3">
      <c r="A302" s="2" t="s">
        <v>722</v>
      </c>
      <c r="B302" s="2" t="s">
        <v>723</v>
      </c>
      <c r="C302" s="2" t="s">
        <v>317</v>
      </c>
      <c r="D302" s="2" t="s">
        <v>88</v>
      </c>
      <c r="E302" s="2" t="s">
        <v>16</v>
      </c>
      <c r="F302" s="2" t="s">
        <v>40</v>
      </c>
      <c r="G302" s="2" t="s">
        <v>26</v>
      </c>
      <c r="H302" s="2" t="s">
        <v>44</v>
      </c>
      <c r="I302" s="2">
        <v>5</v>
      </c>
      <c r="J302" s="2">
        <v>753</v>
      </c>
      <c r="K302" s="2">
        <v>16</v>
      </c>
      <c r="L302" s="2">
        <v>3162.6</v>
      </c>
    </row>
    <row r="303" spans="1:12" x14ac:dyDescent="0.3">
      <c r="A303" s="2" t="s">
        <v>724</v>
      </c>
      <c r="B303" s="2" t="s">
        <v>725</v>
      </c>
      <c r="C303" s="2" t="s">
        <v>628</v>
      </c>
      <c r="D303" s="2" t="s">
        <v>15</v>
      </c>
      <c r="E303" s="2" t="s">
        <v>24</v>
      </c>
      <c r="F303" s="2" t="s">
        <v>32</v>
      </c>
      <c r="G303" s="2" t="s">
        <v>54</v>
      </c>
      <c r="H303" s="2" t="s">
        <v>19</v>
      </c>
      <c r="I303" s="2">
        <v>3</v>
      </c>
      <c r="J303" s="2">
        <v>1101</v>
      </c>
      <c r="K303" s="2">
        <v>1</v>
      </c>
      <c r="L303" s="2">
        <v>3269.97</v>
      </c>
    </row>
    <row r="304" spans="1:12" x14ac:dyDescent="0.3">
      <c r="A304" s="2" t="s">
        <v>726</v>
      </c>
      <c r="B304" s="2" t="s">
        <v>208</v>
      </c>
      <c r="C304" s="2" t="s">
        <v>428</v>
      </c>
      <c r="D304" s="2" t="s">
        <v>23</v>
      </c>
      <c r="E304" s="2" t="s">
        <v>58</v>
      </c>
      <c r="F304" s="2" t="s">
        <v>49</v>
      </c>
      <c r="G304" s="2" t="s">
        <v>54</v>
      </c>
      <c r="H304" s="2" t="s">
        <v>33</v>
      </c>
      <c r="I304" s="2">
        <v>2</v>
      </c>
      <c r="J304" s="2">
        <v>4734</v>
      </c>
      <c r="K304" s="2">
        <v>23</v>
      </c>
      <c r="L304" s="2">
        <v>7290.36</v>
      </c>
    </row>
    <row r="305" spans="1:12" x14ac:dyDescent="0.3">
      <c r="A305" s="2" t="s">
        <v>727</v>
      </c>
      <c r="B305" s="2" t="s">
        <v>728</v>
      </c>
      <c r="C305" s="2" t="s">
        <v>729</v>
      </c>
      <c r="D305" s="2" t="s">
        <v>23</v>
      </c>
      <c r="E305" s="2" t="s">
        <v>48</v>
      </c>
      <c r="F305" s="2" t="s">
        <v>25</v>
      </c>
      <c r="G305" s="2" t="s">
        <v>62</v>
      </c>
      <c r="H305" s="2" t="s">
        <v>19</v>
      </c>
      <c r="I305" s="2">
        <v>1</v>
      </c>
      <c r="J305" s="2">
        <v>4334</v>
      </c>
      <c r="K305" s="2">
        <v>6</v>
      </c>
      <c r="L305" s="2">
        <v>4073.96</v>
      </c>
    </row>
    <row r="306" spans="1:12" x14ac:dyDescent="0.3">
      <c r="A306" s="2" t="s">
        <v>730</v>
      </c>
      <c r="B306" s="2" t="s">
        <v>731</v>
      </c>
      <c r="C306" s="2" t="s">
        <v>732</v>
      </c>
      <c r="D306" s="2" t="s">
        <v>15</v>
      </c>
      <c r="E306" s="2" t="s">
        <v>24</v>
      </c>
      <c r="F306" s="2" t="s">
        <v>32</v>
      </c>
      <c r="G306" s="2" t="s">
        <v>62</v>
      </c>
      <c r="H306" s="2" t="s">
        <v>44</v>
      </c>
      <c r="I306" s="2">
        <v>5</v>
      </c>
      <c r="J306" s="2">
        <v>1562</v>
      </c>
      <c r="K306" s="2">
        <v>15</v>
      </c>
      <c r="L306" s="2">
        <v>6638.5</v>
      </c>
    </row>
    <row r="307" spans="1:12" x14ac:dyDescent="0.3">
      <c r="A307" s="2" t="s">
        <v>733</v>
      </c>
      <c r="B307" s="2" t="s">
        <v>734</v>
      </c>
      <c r="C307" s="2" t="s">
        <v>641</v>
      </c>
      <c r="D307" s="2" t="s">
        <v>23</v>
      </c>
      <c r="E307" s="2" t="s">
        <v>79</v>
      </c>
      <c r="F307" s="2" t="s">
        <v>40</v>
      </c>
      <c r="G307" s="2" t="s">
        <v>62</v>
      </c>
      <c r="H307" s="2" t="s">
        <v>75</v>
      </c>
      <c r="I307" s="2">
        <v>1</v>
      </c>
      <c r="J307" s="2">
        <v>3123</v>
      </c>
      <c r="K307" s="2">
        <v>14</v>
      </c>
      <c r="L307" s="2">
        <v>2685.78</v>
      </c>
    </row>
    <row r="308" spans="1:12" x14ac:dyDescent="0.3">
      <c r="A308" s="2" t="s">
        <v>735</v>
      </c>
      <c r="B308" s="2" t="s">
        <v>21</v>
      </c>
      <c r="C308" s="2" t="s">
        <v>311</v>
      </c>
      <c r="D308" s="2" t="s">
        <v>15</v>
      </c>
      <c r="E308" s="2" t="s">
        <v>58</v>
      </c>
      <c r="F308" s="2" t="s">
        <v>32</v>
      </c>
      <c r="G308" s="2" t="s">
        <v>62</v>
      </c>
      <c r="H308" s="2" t="s">
        <v>33</v>
      </c>
      <c r="I308" s="2">
        <v>4</v>
      </c>
      <c r="J308" s="2">
        <v>1980</v>
      </c>
      <c r="K308" s="2">
        <v>8</v>
      </c>
      <c r="L308" s="2">
        <v>7286.4</v>
      </c>
    </row>
    <row r="309" spans="1:12" x14ac:dyDescent="0.3">
      <c r="A309" s="2" t="s">
        <v>736</v>
      </c>
      <c r="B309" s="2" t="s">
        <v>737</v>
      </c>
      <c r="C309" s="2" t="s">
        <v>225</v>
      </c>
      <c r="D309" s="2" t="s">
        <v>15</v>
      </c>
      <c r="E309" s="2" t="s">
        <v>68</v>
      </c>
      <c r="F309" s="2" t="s">
        <v>49</v>
      </c>
      <c r="G309" s="2" t="s">
        <v>18</v>
      </c>
      <c r="H309" s="2" t="s">
        <v>19</v>
      </c>
      <c r="I309" s="2">
        <v>4</v>
      </c>
      <c r="J309" s="2">
        <v>917</v>
      </c>
      <c r="K309" s="2">
        <v>4</v>
      </c>
      <c r="L309" s="2">
        <v>3521.28</v>
      </c>
    </row>
    <row r="310" spans="1:12" x14ac:dyDescent="0.3">
      <c r="A310" s="2" t="s">
        <v>738</v>
      </c>
      <c r="B310" s="2" t="s">
        <v>739</v>
      </c>
      <c r="C310" s="2" t="s">
        <v>367</v>
      </c>
      <c r="D310" s="2" t="s">
        <v>23</v>
      </c>
      <c r="E310" s="2" t="s">
        <v>48</v>
      </c>
      <c r="F310" s="2" t="s">
        <v>32</v>
      </c>
      <c r="G310" s="2" t="s">
        <v>54</v>
      </c>
      <c r="H310" s="2" t="s">
        <v>33</v>
      </c>
      <c r="I310" s="2">
        <v>5</v>
      </c>
      <c r="J310" s="2">
        <v>3464</v>
      </c>
      <c r="K310" s="2">
        <v>11</v>
      </c>
      <c r="L310" s="2">
        <v>15414.8</v>
      </c>
    </row>
    <row r="311" spans="1:12" x14ac:dyDescent="0.3">
      <c r="A311" s="2" t="s">
        <v>740</v>
      </c>
      <c r="B311" s="2" t="s">
        <v>498</v>
      </c>
      <c r="C311" s="2" t="s">
        <v>288</v>
      </c>
      <c r="D311" s="2" t="s">
        <v>23</v>
      </c>
      <c r="E311" s="2" t="s">
        <v>24</v>
      </c>
      <c r="F311" s="2" t="s">
        <v>49</v>
      </c>
      <c r="G311" s="2" t="s">
        <v>40</v>
      </c>
      <c r="H311" s="2" t="s">
        <v>19</v>
      </c>
      <c r="I311" s="2">
        <v>4</v>
      </c>
      <c r="J311" s="2">
        <v>1043</v>
      </c>
      <c r="K311" s="2">
        <v>30</v>
      </c>
      <c r="L311" s="2">
        <v>2920.4</v>
      </c>
    </row>
    <row r="312" spans="1:12" x14ac:dyDescent="0.3">
      <c r="A312" s="2" t="s">
        <v>741</v>
      </c>
      <c r="B312" s="2" t="s">
        <v>742</v>
      </c>
      <c r="C312" s="2" t="s">
        <v>743</v>
      </c>
      <c r="D312" s="2" t="s">
        <v>15</v>
      </c>
      <c r="E312" s="2" t="s">
        <v>68</v>
      </c>
      <c r="F312" s="2" t="s">
        <v>17</v>
      </c>
      <c r="G312" s="2" t="s">
        <v>54</v>
      </c>
      <c r="H312" s="2" t="s">
        <v>44</v>
      </c>
      <c r="I312" s="2">
        <v>2</v>
      </c>
      <c r="J312" s="2">
        <v>825</v>
      </c>
      <c r="K312" s="2">
        <v>27</v>
      </c>
      <c r="L312" s="2">
        <v>1204.5</v>
      </c>
    </row>
    <row r="313" spans="1:12" x14ac:dyDescent="0.3">
      <c r="A313" s="2" t="s">
        <v>744</v>
      </c>
      <c r="B313" s="2" t="s">
        <v>366</v>
      </c>
      <c r="C313" s="2" t="s">
        <v>317</v>
      </c>
      <c r="D313" s="2" t="s">
        <v>53</v>
      </c>
      <c r="E313" s="2" t="s">
        <v>24</v>
      </c>
      <c r="F313" s="2" t="s">
        <v>25</v>
      </c>
      <c r="G313" s="2" t="s">
        <v>18</v>
      </c>
      <c r="H313" s="2" t="s">
        <v>75</v>
      </c>
      <c r="I313" s="2">
        <v>2</v>
      </c>
      <c r="J313" s="2">
        <v>3870</v>
      </c>
      <c r="K313" s="2">
        <v>16</v>
      </c>
      <c r="L313" s="2">
        <v>6501.6</v>
      </c>
    </row>
    <row r="314" spans="1:12" x14ac:dyDescent="0.3">
      <c r="A314" s="2" t="s">
        <v>745</v>
      </c>
      <c r="B314" s="2" t="s">
        <v>746</v>
      </c>
      <c r="C314" s="2" t="s">
        <v>390</v>
      </c>
      <c r="D314" s="2" t="s">
        <v>23</v>
      </c>
      <c r="E314" s="2" t="s">
        <v>48</v>
      </c>
      <c r="F314" s="2" t="s">
        <v>32</v>
      </c>
      <c r="G314" s="2" t="s">
        <v>54</v>
      </c>
      <c r="H314" s="2" t="s">
        <v>44</v>
      </c>
      <c r="I314" s="2">
        <v>3</v>
      </c>
      <c r="J314" s="2">
        <v>474</v>
      </c>
      <c r="K314" s="2">
        <v>18</v>
      </c>
      <c r="L314" s="2">
        <v>1166.04</v>
      </c>
    </row>
    <row r="315" spans="1:12" x14ac:dyDescent="0.3">
      <c r="A315" s="2" t="s">
        <v>747</v>
      </c>
      <c r="B315" s="2" t="s">
        <v>637</v>
      </c>
      <c r="C315" s="2" t="s">
        <v>748</v>
      </c>
      <c r="D315" s="2" t="s">
        <v>23</v>
      </c>
      <c r="E315" s="2" t="s">
        <v>68</v>
      </c>
      <c r="F315" s="2" t="s">
        <v>32</v>
      </c>
      <c r="G315" s="2" t="s">
        <v>26</v>
      </c>
      <c r="H315" s="2" t="s">
        <v>19</v>
      </c>
      <c r="I315" s="2">
        <v>2</v>
      </c>
      <c r="J315" s="2">
        <v>3896</v>
      </c>
      <c r="K315" s="2">
        <v>1</v>
      </c>
      <c r="L315" s="2">
        <v>7714.08</v>
      </c>
    </row>
    <row r="316" spans="1:12" x14ac:dyDescent="0.3">
      <c r="A316" s="2" t="s">
        <v>749</v>
      </c>
      <c r="B316" s="2" t="s">
        <v>750</v>
      </c>
      <c r="C316" s="2" t="s">
        <v>250</v>
      </c>
      <c r="D316" s="2" t="s">
        <v>53</v>
      </c>
      <c r="E316" s="2" t="s">
        <v>16</v>
      </c>
      <c r="F316" s="2" t="s">
        <v>17</v>
      </c>
      <c r="G316" s="2" t="s">
        <v>54</v>
      </c>
      <c r="H316" s="2" t="s">
        <v>44</v>
      </c>
      <c r="I316" s="2">
        <v>3</v>
      </c>
      <c r="J316" s="2">
        <v>3358</v>
      </c>
      <c r="K316" s="2">
        <v>27</v>
      </c>
      <c r="L316" s="2">
        <v>7354.02</v>
      </c>
    </row>
    <row r="317" spans="1:12" x14ac:dyDescent="0.3">
      <c r="A317" s="2" t="s">
        <v>751</v>
      </c>
      <c r="B317" s="2" t="s">
        <v>752</v>
      </c>
      <c r="C317" s="2" t="s">
        <v>502</v>
      </c>
      <c r="D317" s="2" t="s">
        <v>53</v>
      </c>
      <c r="E317" s="2" t="s">
        <v>79</v>
      </c>
      <c r="F317" s="2" t="s">
        <v>17</v>
      </c>
      <c r="G317" s="2" t="s">
        <v>26</v>
      </c>
      <c r="H317" s="2" t="s">
        <v>19</v>
      </c>
      <c r="I317" s="2">
        <v>4</v>
      </c>
      <c r="J317" s="2">
        <v>3524</v>
      </c>
      <c r="K317" s="2">
        <v>30</v>
      </c>
      <c r="L317" s="2">
        <v>9867.2000000000007</v>
      </c>
    </row>
    <row r="318" spans="1:12" x14ac:dyDescent="0.3">
      <c r="A318" s="2" t="s">
        <v>753</v>
      </c>
      <c r="B318" s="2" t="s">
        <v>498</v>
      </c>
      <c r="C318" s="2" t="s">
        <v>284</v>
      </c>
      <c r="D318" s="2" t="s">
        <v>30</v>
      </c>
      <c r="E318" s="2" t="s">
        <v>68</v>
      </c>
      <c r="F318" s="2" t="s">
        <v>32</v>
      </c>
      <c r="G318" s="2" t="s">
        <v>62</v>
      </c>
      <c r="H318" s="2" t="s">
        <v>19</v>
      </c>
      <c r="I318" s="2">
        <v>3</v>
      </c>
      <c r="J318" s="2">
        <v>672</v>
      </c>
      <c r="K318" s="2">
        <v>4</v>
      </c>
      <c r="L318" s="2">
        <v>1935.36</v>
      </c>
    </row>
    <row r="319" spans="1:12" x14ac:dyDescent="0.3">
      <c r="A319" s="2" t="s">
        <v>754</v>
      </c>
      <c r="B319" s="2" t="s">
        <v>594</v>
      </c>
      <c r="C319" s="2" t="s">
        <v>755</v>
      </c>
      <c r="D319" s="2" t="s">
        <v>30</v>
      </c>
      <c r="E319" s="2" t="s">
        <v>48</v>
      </c>
      <c r="F319" s="2" t="s">
        <v>49</v>
      </c>
      <c r="G319" s="2" t="s">
        <v>26</v>
      </c>
      <c r="H319" s="2" t="s">
        <v>75</v>
      </c>
      <c r="I319" s="2">
        <v>5</v>
      </c>
      <c r="J319" s="2">
        <v>4999</v>
      </c>
      <c r="K319" s="2">
        <v>22</v>
      </c>
      <c r="L319" s="2">
        <v>19496.099999999999</v>
      </c>
    </row>
    <row r="320" spans="1:12" x14ac:dyDescent="0.3">
      <c r="A320" s="2" t="s">
        <v>756</v>
      </c>
      <c r="B320" s="2" t="s">
        <v>757</v>
      </c>
      <c r="C320" s="2" t="s">
        <v>758</v>
      </c>
      <c r="D320" s="2" t="s">
        <v>53</v>
      </c>
      <c r="E320" s="2" t="s">
        <v>58</v>
      </c>
      <c r="F320" s="2" t="s">
        <v>17</v>
      </c>
      <c r="G320" s="2" t="s">
        <v>18</v>
      </c>
      <c r="H320" s="2" t="s">
        <v>33</v>
      </c>
      <c r="I320" s="2">
        <v>5</v>
      </c>
      <c r="J320" s="2">
        <v>1057</v>
      </c>
      <c r="K320" s="2">
        <v>17</v>
      </c>
      <c r="L320" s="2">
        <v>4386.55</v>
      </c>
    </row>
    <row r="321" spans="1:12" x14ac:dyDescent="0.3">
      <c r="A321" s="2" t="s">
        <v>759</v>
      </c>
      <c r="B321" s="2" t="s">
        <v>760</v>
      </c>
      <c r="C321" s="2" t="s">
        <v>317</v>
      </c>
      <c r="D321" s="2" t="s">
        <v>30</v>
      </c>
      <c r="E321" s="2" t="s">
        <v>68</v>
      </c>
      <c r="F321" s="2" t="s">
        <v>17</v>
      </c>
      <c r="G321" s="2" t="s">
        <v>62</v>
      </c>
      <c r="H321" s="2" t="s">
        <v>33</v>
      </c>
      <c r="I321" s="2">
        <v>5</v>
      </c>
      <c r="J321" s="2">
        <v>807</v>
      </c>
      <c r="K321" s="2">
        <v>18</v>
      </c>
      <c r="L321" s="2">
        <v>3308.7</v>
      </c>
    </row>
    <row r="322" spans="1:12" x14ac:dyDescent="0.3">
      <c r="A322" s="2" t="s">
        <v>761</v>
      </c>
      <c r="B322" s="2" t="s">
        <v>575</v>
      </c>
      <c r="C322" s="2" t="s">
        <v>758</v>
      </c>
      <c r="D322" s="2" t="s">
        <v>30</v>
      </c>
      <c r="E322" s="2" t="s">
        <v>16</v>
      </c>
      <c r="F322" s="2" t="s">
        <v>17</v>
      </c>
      <c r="G322" s="2" t="s">
        <v>62</v>
      </c>
      <c r="H322" s="2" t="s">
        <v>75</v>
      </c>
      <c r="I322" s="2">
        <v>3</v>
      </c>
      <c r="J322" s="2">
        <v>4383</v>
      </c>
      <c r="K322" s="2">
        <v>0</v>
      </c>
      <c r="L322" s="2">
        <v>13149</v>
      </c>
    </row>
    <row r="323" spans="1:12" x14ac:dyDescent="0.3">
      <c r="A323" s="2" t="s">
        <v>762</v>
      </c>
      <c r="B323" s="2" t="s">
        <v>159</v>
      </c>
      <c r="C323" s="2" t="s">
        <v>743</v>
      </c>
      <c r="D323" s="2" t="s">
        <v>88</v>
      </c>
      <c r="E323" s="2" t="s">
        <v>79</v>
      </c>
      <c r="F323" s="2" t="s">
        <v>49</v>
      </c>
      <c r="G323" s="2" t="s">
        <v>62</v>
      </c>
      <c r="H323" s="2" t="s">
        <v>33</v>
      </c>
      <c r="I323" s="2">
        <v>5</v>
      </c>
      <c r="J323" s="2">
        <v>2216</v>
      </c>
      <c r="K323" s="2">
        <v>4</v>
      </c>
      <c r="L323" s="2">
        <v>10636.8</v>
      </c>
    </row>
    <row r="324" spans="1:12" x14ac:dyDescent="0.3">
      <c r="A324" s="2" t="s">
        <v>763</v>
      </c>
      <c r="B324" s="2" t="s">
        <v>764</v>
      </c>
      <c r="C324" s="2" t="s">
        <v>765</v>
      </c>
      <c r="D324" s="2" t="s">
        <v>53</v>
      </c>
      <c r="E324" s="2" t="s">
        <v>24</v>
      </c>
      <c r="F324" s="2" t="s">
        <v>25</v>
      </c>
      <c r="G324" s="2" t="s">
        <v>26</v>
      </c>
      <c r="H324" s="2" t="s">
        <v>75</v>
      </c>
      <c r="I324" s="2">
        <v>4</v>
      </c>
      <c r="J324" s="2">
        <v>343</v>
      </c>
      <c r="K324" s="2">
        <v>5</v>
      </c>
      <c r="L324" s="2">
        <v>1303.4000000000001</v>
      </c>
    </row>
    <row r="325" spans="1:12" x14ac:dyDescent="0.3">
      <c r="A325" s="2" t="s">
        <v>766</v>
      </c>
      <c r="B325" s="2" t="s">
        <v>704</v>
      </c>
      <c r="C325" s="2" t="s">
        <v>211</v>
      </c>
      <c r="D325" s="2" t="s">
        <v>23</v>
      </c>
      <c r="E325" s="2" t="s">
        <v>31</v>
      </c>
      <c r="F325" s="2" t="s">
        <v>40</v>
      </c>
      <c r="G325" s="2" t="s">
        <v>18</v>
      </c>
      <c r="H325" s="2" t="s">
        <v>44</v>
      </c>
      <c r="I325" s="2">
        <v>3</v>
      </c>
      <c r="J325" s="2">
        <v>2084</v>
      </c>
      <c r="K325" s="2">
        <v>22</v>
      </c>
      <c r="L325" s="2">
        <v>4876.5600000000004</v>
      </c>
    </row>
    <row r="326" spans="1:12" x14ac:dyDescent="0.3">
      <c r="A326" s="2" t="s">
        <v>767</v>
      </c>
      <c r="B326" s="2" t="s">
        <v>218</v>
      </c>
      <c r="C326" s="2" t="s">
        <v>267</v>
      </c>
      <c r="D326" s="2" t="s">
        <v>53</v>
      </c>
      <c r="E326" s="2" t="s">
        <v>24</v>
      </c>
      <c r="F326" s="2" t="s">
        <v>32</v>
      </c>
      <c r="G326" s="2" t="s">
        <v>54</v>
      </c>
      <c r="H326" s="2" t="s">
        <v>19</v>
      </c>
      <c r="I326" s="2">
        <v>1</v>
      </c>
      <c r="J326" s="2">
        <v>3132</v>
      </c>
      <c r="K326" s="2">
        <v>0</v>
      </c>
      <c r="L326" s="2">
        <v>3132</v>
      </c>
    </row>
    <row r="327" spans="1:12" x14ac:dyDescent="0.3">
      <c r="A327" s="2" t="s">
        <v>768</v>
      </c>
      <c r="B327" s="2" t="s">
        <v>769</v>
      </c>
      <c r="C327" s="2" t="s">
        <v>552</v>
      </c>
      <c r="D327" s="2" t="s">
        <v>88</v>
      </c>
      <c r="E327" s="2" t="s">
        <v>68</v>
      </c>
      <c r="F327" s="2" t="s">
        <v>32</v>
      </c>
      <c r="G327" s="2" t="s">
        <v>26</v>
      </c>
      <c r="H327" s="2" t="s">
        <v>75</v>
      </c>
      <c r="I327" s="2">
        <v>1</v>
      </c>
      <c r="J327" s="2">
        <v>666</v>
      </c>
      <c r="K327" s="2">
        <v>21</v>
      </c>
      <c r="L327" s="2">
        <v>526.14</v>
      </c>
    </row>
    <row r="328" spans="1:12" x14ac:dyDescent="0.3">
      <c r="A328" s="2" t="s">
        <v>770</v>
      </c>
      <c r="B328" s="2" t="s">
        <v>605</v>
      </c>
      <c r="C328" s="2" t="s">
        <v>771</v>
      </c>
      <c r="D328" s="2" t="s">
        <v>88</v>
      </c>
      <c r="E328" s="2" t="s">
        <v>24</v>
      </c>
      <c r="F328" s="2" t="s">
        <v>17</v>
      </c>
      <c r="G328" s="2" t="s">
        <v>40</v>
      </c>
      <c r="H328" s="2" t="s">
        <v>33</v>
      </c>
      <c r="I328" s="2">
        <v>2</v>
      </c>
      <c r="J328" s="2">
        <v>2772</v>
      </c>
      <c r="K328" s="2">
        <v>11</v>
      </c>
      <c r="L328" s="2">
        <v>4934.16</v>
      </c>
    </row>
    <row r="329" spans="1:12" x14ac:dyDescent="0.3">
      <c r="A329" s="2" t="s">
        <v>772</v>
      </c>
      <c r="B329" s="2" t="s">
        <v>773</v>
      </c>
      <c r="C329" s="2" t="s">
        <v>719</v>
      </c>
      <c r="D329" s="2" t="s">
        <v>88</v>
      </c>
      <c r="E329" s="2" t="s">
        <v>24</v>
      </c>
      <c r="F329" s="2" t="s">
        <v>49</v>
      </c>
      <c r="G329" s="2" t="s">
        <v>26</v>
      </c>
      <c r="H329" s="2" t="s">
        <v>44</v>
      </c>
      <c r="I329" s="2">
        <v>5</v>
      </c>
      <c r="J329" s="2">
        <v>225</v>
      </c>
      <c r="K329" s="2">
        <v>29</v>
      </c>
      <c r="L329" s="2">
        <v>798.75</v>
      </c>
    </row>
    <row r="330" spans="1:12" x14ac:dyDescent="0.3">
      <c r="A330" s="2" t="s">
        <v>774</v>
      </c>
      <c r="B330" s="2" t="s">
        <v>769</v>
      </c>
      <c r="C330" s="2" t="s">
        <v>370</v>
      </c>
      <c r="D330" s="2" t="s">
        <v>88</v>
      </c>
      <c r="E330" s="2" t="s">
        <v>58</v>
      </c>
      <c r="F330" s="2" t="s">
        <v>25</v>
      </c>
      <c r="G330" s="2" t="s">
        <v>54</v>
      </c>
      <c r="H330" s="2" t="s">
        <v>33</v>
      </c>
      <c r="I330" s="2">
        <v>3</v>
      </c>
      <c r="J330" s="2">
        <v>4312</v>
      </c>
      <c r="K330" s="2">
        <v>7</v>
      </c>
      <c r="L330" s="2">
        <v>12030.48</v>
      </c>
    </row>
    <row r="331" spans="1:12" x14ac:dyDescent="0.3">
      <c r="A331" s="2" t="s">
        <v>775</v>
      </c>
      <c r="B331" s="2" t="s">
        <v>776</v>
      </c>
      <c r="C331" s="2" t="s">
        <v>777</v>
      </c>
      <c r="D331" s="2" t="s">
        <v>30</v>
      </c>
      <c r="E331" s="2" t="s">
        <v>68</v>
      </c>
      <c r="F331" s="2" t="s">
        <v>25</v>
      </c>
      <c r="G331" s="2" t="s">
        <v>26</v>
      </c>
      <c r="H331" s="2" t="s">
        <v>19</v>
      </c>
      <c r="I331" s="2">
        <v>3</v>
      </c>
      <c r="J331" s="2">
        <v>4474</v>
      </c>
      <c r="K331" s="2">
        <v>13</v>
      </c>
      <c r="L331" s="2">
        <v>11677.14</v>
      </c>
    </row>
    <row r="332" spans="1:12" x14ac:dyDescent="0.3">
      <c r="A332" s="2" t="s">
        <v>778</v>
      </c>
      <c r="B332" s="2" t="s">
        <v>779</v>
      </c>
      <c r="C332" s="2" t="s">
        <v>780</v>
      </c>
      <c r="D332" s="2" t="s">
        <v>88</v>
      </c>
      <c r="E332" s="2" t="s">
        <v>16</v>
      </c>
      <c r="F332" s="2" t="s">
        <v>25</v>
      </c>
      <c r="G332" s="2" t="s">
        <v>26</v>
      </c>
      <c r="H332" s="2" t="s">
        <v>19</v>
      </c>
      <c r="I332" s="2">
        <v>5</v>
      </c>
      <c r="J332" s="2">
        <v>310</v>
      </c>
      <c r="K332" s="2">
        <v>6</v>
      </c>
      <c r="L332" s="2">
        <v>1457</v>
      </c>
    </row>
    <row r="333" spans="1:12" x14ac:dyDescent="0.3">
      <c r="A333" s="2" t="s">
        <v>781</v>
      </c>
      <c r="B333" s="2" t="s">
        <v>309</v>
      </c>
      <c r="C333" s="2" t="s">
        <v>590</v>
      </c>
      <c r="D333" s="2" t="s">
        <v>88</v>
      </c>
      <c r="E333" s="2" t="s">
        <v>48</v>
      </c>
      <c r="F333" s="2" t="s">
        <v>25</v>
      </c>
      <c r="G333" s="2" t="s">
        <v>54</v>
      </c>
      <c r="H333" s="2" t="s">
        <v>33</v>
      </c>
      <c r="I333" s="2">
        <v>2</v>
      </c>
      <c r="J333" s="2">
        <v>4558</v>
      </c>
      <c r="K333" s="2">
        <v>3</v>
      </c>
      <c r="L333" s="2">
        <v>8842.52</v>
      </c>
    </row>
    <row r="334" spans="1:12" x14ac:dyDescent="0.3">
      <c r="A334" s="2" t="s">
        <v>782</v>
      </c>
      <c r="B334" s="2" t="s">
        <v>482</v>
      </c>
      <c r="C334" s="2" t="s">
        <v>71</v>
      </c>
      <c r="D334" s="2" t="s">
        <v>23</v>
      </c>
      <c r="E334" s="2" t="s">
        <v>31</v>
      </c>
      <c r="F334" s="2" t="s">
        <v>49</v>
      </c>
      <c r="G334" s="2" t="s">
        <v>54</v>
      </c>
      <c r="H334" s="2" t="s">
        <v>19</v>
      </c>
      <c r="I334" s="2">
        <v>5</v>
      </c>
      <c r="J334" s="2">
        <v>4018</v>
      </c>
      <c r="K334" s="2">
        <v>29</v>
      </c>
      <c r="L334" s="2">
        <v>14263.9</v>
      </c>
    </row>
    <row r="335" spans="1:12" x14ac:dyDescent="0.3">
      <c r="A335" s="2" t="s">
        <v>783</v>
      </c>
      <c r="B335" s="2" t="s">
        <v>13</v>
      </c>
      <c r="C335" s="2" t="s">
        <v>74</v>
      </c>
      <c r="D335" s="2" t="s">
        <v>15</v>
      </c>
      <c r="E335" s="2" t="s">
        <v>24</v>
      </c>
      <c r="F335" s="2" t="s">
        <v>49</v>
      </c>
      <c r="G335" s="2" t="s">
        <v>54</v>
      </c>
      <c r="H335" s="2" t="s">
        <v>75</v>
      </c>
      <c r="I335" s="2">
        <v>2</v>
      </c>
      <c r="J335" s="2">
        <v>1531</v>
      </c>
      <c r="K335" s="2">
        <v>25</v>
      </c>
      <c r="L335" s="2">
        <v>2296.5</v>
      </c>
    </row>
    <row r="336" spans="1:12" x14ac:dyDescent="0.3">
      <c r="A336" s="2" t="s">
        <v>784</v>
      </c>
      <c r="B336" s="2" t="s">
        <v>304</v>
      </c>
      <c r="C336" s="2" t="s">
        <v>719</v>
      </c>
      <c r="D336" s="2" t="s">
        <v>15</v>
      </c>
      <c r="E336" s="2" t="s">
        <v>16</v>
      </c>
      <c r="F336" s="2" t="s">
        <v>49</v>
      </c>
      <c r="G336" s="2" t="s">
        <v>54</v>
      </c>
      <c r="H336" s="2" t="s">
        <v>75</v>
      </c>
      <c r="I336" s="2">
        <v>2</v>
      </c>
      <c r="J336" s="2">
        <v>1856</v>
      </c>
      <c r="K336" s="2">
        <v>0</v>
      </c>
      <c r="L336" s="2">
        <v>3712</v>
      </c>
    </row>
    <row r="337" spans="1:12" x14ac:dyDescent="0.3">
      <c r="A337" s="2" t="s">
        <v>785</v>
      </c>
      <c r="B337" s="2" t="s">
        <v>548</v>
      </c>
      <c r="C337" s="2" t="s">
        <v>663</v>
      </c>
      <c r="D337" s="2" t="s">
        <v>30</v>
      </c>
      <c r="E337" s="2" t="s">
        <v>16</v>
      </c>
      <c r="F337" s="2" t="s">
        <v>17</v>
      </c>
      <c r="G337" s="2" t="s">
        <v>40</v>
      </c>
      <c r="H337" s="2" t="s">
        <v>33</v>
      </c>
      <c r="I337" s="2">
        <v>2</v>
      </c>
      <c r="J337" s="2">
        <v>2430</v>
      </c>
      <c r="K337" s="2">
        <v>8</v>
      </c>
      <c r="L337" s="2">
        <v>4471.2</v>
      </c>
    </row>
    <row r="338" spans="1:12" x14ac:dyDescent="0.3">
      <c r="A338" s="2" t="s">
        <v>786</v>
      </c>
      <c r="B338" s="2" t="s">
        <v>787</v>
      </c>
      <c r="C338" s="2" t="s">
        <v>186</v>
      </c>
      <c r="D338" s="2" t="s">
        <v>53</v>
      </c>
      <c r="E338" s="2" t="s">
        <v>16</v>
      </c>
      <c r="F338" s="2" t="s">
        <v>49</v>
      </c>
      <c r="G338" s="2" t="s">
        <v>54</v>
      </c>
      <c r="H338" s="2" t="s">
        <v>19</v>
      </c>
      <c r="I338" s="2">
        <v>3</v>
      </c>
      <c r="J338" s="2">
        <v>1199</v>
      </c>
      <c r="K338" s="2">
        <v>25</v>
      </c>
      <c r="L338" s="2">
        <v>2697.75</v>
      </c>
    </row>
    <row r="339" spans="1:12" x14ac:dyDescent="0.3">
      <c r="A339" s="2" t="s">
        <v>788</v>
      </c>
      <c r="B339" s="2" t="s">
        <v>440</v>
      </c>
      <c r="C339" s="2" t="s">
        <v>102</v>
      </c>
      <c r="D339" s="2" t="s">
        <v>88</v>
      </c>
      <c r="E339" s="2" t="s">
        <v>16</v>
      </c>
      <c r="F339" s="2" t="s">
        <v>25</v>
      </c>
      <c r="G339" s="2" t="s">
        <v>40</v>
      </c>
      <c r="H339" s="2" t="s">
        <v>19</v>
      </c>
      <c r="I339" s="2">
        <v>1</v>
      </c>
      <c r="J339" s="2">
        <v>2123</v>
      </c>
      <c r="K339" s="2">
        <v>13</v>
      </c>
      <c r="L339" s="2">
        <v>1847.01</v>
      </c>
    </row>
    <row r="340" spans="1:12" x14ac:dyDescent="0.3">
      <c r="A340" s="2" t="s">
        <v>789</v>
      </c>
      <c r="B340" s="2" t="s">
        <v>790</v>
      </c>
      <c r="C340" s="2" t="s">
        <v>791</v>
      </c>
      <c r="D340" s="2" t="s">
        <v>53</v>
      </c>
      <c r="E340" s="2" t="s">
        <v>58</v>
      </c>
      <c r="F340" s="2" t="s">
        <v>40</v>
      </c>
      <c r="G340" s="2" t="s">
        <v>18</v>
      </c>
      <c r="H340" s="2" t="s">
        <v>75</v>
      </c>
      <c r="I340" s="2">
        <v>4</v>
      </c>
      <c r="J340" s="2">
        <v>4237</v>
      </c>
      <c r="K340" s="2">
        <v>25</v>
      </c>
      <c r="L340" s="2">
        <v>12711</v>
      </c>
    </row>
    <row r="341" spans="1:12" x14ac:dyDescent="0.3">
      <c r="A341" s="2" t="s">
        <v>792</v>
      </c>
      <c r="B341" s="2" t="s">
        <v>572</v>
      </c>
      <c r="C341" s="2" t="s">
        <v>328</v>
      </c>
      <c r="D341" s="2" t="s">
        <v>30</v>
      </c>
      <c r="E341" s="2" t="s">
        <v>31</v>
      </c>
      <c r="F341" s="2" t="s">
        <v>40</v>
      </c>
      <c r="G341" s="2" t="s">
        <v>62</v>
      </c>
      <c r="H341" s="2" t="s">
        <v>33</v>
      </c>
      <c r="I341" s="2">
        <v>3</v>
      </c>
      <c r="J341" s="2">
        <v>3590</v>
      </c>
      <c r="K341" s="2">
        <v>13</v>
      </c>
      <c r="L341" s="2">
        <v>9369.9</v>
      </c>
    </row>
    <row r="342" spans="1:12" x14ac:dyDescent="0.3">
      <c r="A342" s="2" t="s">
        <v>793</v>
      </c>
      <c r="B342" s="2" t="s">
        <v>561</v>
      </c>
      <c r="C342" s="2" t="s">
        <v>794</v>
      </c>
      <c r="D342" s="2" t="s">
        <v>30</v>
      </c>
      <c r="E342" s="2" t="s">
        <v>79</v>
      </c>
      <c r="F342" s="2" t="s">
        <v>40</v>
      </c>
      <c r="G342" s="2" t="s">
        <v>18</v>
      </c>
      <c r="H342" s="2" t="s">
        <v>19</v>
      </c>
      <c r="I342" s="2">
        <v>3</v>
      </c>
      <c r="J342" s="2">
        <v>1197</v>
      </c>
      <c r="K342" s="2">
        <v>11</v>
      </c>
      <c r="L342" s="2">
        <v>3195.99</v>
      </c>
    </row>
    <row r="343" spans="1:12" x14ac:dyDescent="0.3">
      <c r="A343" s="2" t="s">
        <v>795</v>
      </c>
      <c r="B343" s="2" t="s">
        <v>613</v>
      </c>
      <c r="C343" s="2" t="s">
        <v>758</v>
      </c>
      <c r="D343" s="2" t="s">
        <v>53</v>
      </c>
      <c r="E343" s="2" t="s">
        <v>16</v>
      </c>
      <c r="F343" s="2" t="s">
        <v>32</v>
      </c>
      <c r="G343" s="2" t="s">
        <v>54</v>
      </c>
      <c r="H343" s="2" t="s">
        <v>33</v>
      </c>
      <c r="I343" s="2">
        <v>4</v>
      </c>
      <c r="J343" s="2">
        <v>4236</v>
      </c>
      <c r="K343" s="2">
        <v>12</v>
      </c>
      <c r="L343" s="2">
        <v>14910.72</v>
      </c>
    </row>
    <row r="344" spans="1:12" x14ac:dyDescent="0.3">
      <c r="A344" s="2" t="s">
        <v>796</v>
      </c>
      <c r="B344" s="2" t="s">
        <v>797</v>
      </c>
      <c r="C344" s="2" t="s">
        <v>721</v>
      </c>
      <c r="D344" s="2" t="s">
        <v>88</v>
      </c>
      <c r="E344" s="2" t="s">
        <v>68</v>
      </c>
      <c r="F344" s="2" t="s">
        <v>49</v>
      </c>
      <c r="G344" s="2" t="s">
        <v>18</v>
      </c>
      <c r="H344" s="2" t="s">
        <v>44</v>
      </c>
      <c r="I344" s="2">
        <v>3</v>
      </c>
      <c r="J344" s="2">
        <v>1755</v>
      </c>
      <c r="K344" s="2">
        <v>1</v>
      </c>
      <c r="L344" s="2">
        <v>5212.3500000000004</v>
      </c>
    </row>
    <row r="345" spans="1:12" x14ac:dyDescent="0.3">
      <c r="A345" s="2" t="s">
        <v>798</v>
      </c>
      <c r="B345" s="2" t="s">
        <v>467</v>
      </c>
      <c r="C345" s="2" t="s">
        <v>197</v>
      </c>
      <c r="D345" s="2" t="s">
        <v>53</v>
      </c>
      <c r="E345" s="2" t="s">
        <v>16</v>
      </c>
      <c r="F345" s="2" t="s">
        <v>25</v>
      </c>
      <c r="G345" s="2" t="s">
        <v>62</v>
      </c>
      <c r="H345" s="2" t="s">
        <v>19</v>
      </c>
      <c r="I345" s="2">
        <v>5</v>
      </c>
      <c r="J345" s="2">
        <v>1913</v>
      </c>
      <c r="K345" s="2">
        <v>10</v>
      </c>
      <c r="L345" s="2">
        <v>8608.5</v>
      </c>
    </row>
    <row r="346" spans="1:12" x14ac:dyDescent="0.3">
      <c r="A346" s="2" t="s">
        <v>799</v>
      </c>
      <c r="B346" s="2" t="s">
        <v>800</v>
      </c>
      <c r="C346" s="2" t="s">
        <v>801</v>
      </c>
      <c r="D346" s="2" t="s">
        <v>88</v>
      </c>
      <c r="E346" s="2" t="s">
        <v>68</v>
      </c>
      <c r="F346" s="2" t="s">
        <v>25</v>
      </c>
      <c r="G346" s="2" t="s">
        <v>26</v>
      </c>
      <c r="H346" s="2" t="s">
        <v>19</v>
      </c>
      <c r="I346" s="2">
        <v>2</v>
      </c>
      <c r="J346" s="2">
        <v>960</v>
      </c>
      <c r="K346" s="2">
        <v>5</v>
      </c>
      <c r="L346" s="2">
        <v>1824</v>
      </c>
    </row>
    <row r="347" spans="1:12" x14ac:dyDescent="0.3">
      <c r="A347" s="2" t="s">
        <v>802</v>
      </c>
      <c r="B347" s="2" t="s">
        <v>415</v>
      </c>
      <c r="C347" s="2" t="s">
        <v>771</v>
      </c>
      <c r="D347" s="2" t="s">
        <v>15</v>
      </c>
      <c r="E347" s="2" t="s">
        <v>16</v>
      </c>
      <c r="F347" s="2" t="s">
        <v>32</v>
      </c>
      <c r="G347" s="2" t="s">
        <v>40</v>
      </c>
      <c r="H347" s="2" t="s">
        <v>44</v>
      </c>
      <c r="I347" s="2">
        <v>1</v>
      </c>
      <c r="J347" s="2">
        <v>2567</v>
      </c>
      <c r="K347" s="2">
        <v>28</v>
      </c>
      <c r="L347" s="2">
        <v>1848.24</v>
      </c>
    </row>
    <row r="348" spans="1:12" x14ac:dyDescent="0.3">
      <c r="A348" s="2" t="s">
        <v>803</v>
      </c>
      <c r="B348" s="2" t="s">
        <v>734</v>
      </c>
      <c r="C348" s="2" t="s">
        <v>804</v>
      </c>
      <c r="D348" s="2" t="s">
        <v>23</v>
      </c>
      <c r="E348" s="2" t="s">
        <v>58</v>
      </c>
      <c r="F348" s="2" t="s">
        <v>25</v>
      </c>
      <c r="G348" s="2" t="s">
        <v>26</v>
      </c>
      <c r="H348" s="2" t="s">
        <v>44</v>
      </c>
      <c r="I348" s="2">
        <v>3</v>
      </c>
      <c r="J348" s="2">
        <v>3238</v>
      </c>
      <c r="K348" s="2">
        <v>26</v>
      </c>
      <c r="L348" s="2">
        <v>7188.36</v>
      </c>
    </row>
    <row r="349" spans="1:12" x14ac:dyDescent="0.3">
      <c r="A349" s="2" t="s">
        <v>805</v>
      </c>
      <c r="B349" s="2" t="s">
        <v>704</v>
      </c>
      <c r="C349" s="2" t="s">
        <v>416</v>
      </c>
      <c r="D349" s="2" t="s">
        <v>15</v>
      </c>
      <c r="E349" s="2" t="s">
        <v>68</v>
      </c>
      <c r="F349" s="2" t="s">
        <v>40</v>
      </c>
      <c r="G349" s="2" t="s">
        <v>26</v>
      </c>
      <c r="H349" s="2" t="s">
        <v>75</v>
      </c>
      <c r="I349" s="2">
        <v>1</v>
      </c>
      <c r="J349" s="2">
        <v>4803</v>
      </c>
      <c r="K349" s="2">
        <v>1</v>
      </c>
      <c r="L349" s="2">
        <v>4754.97</v>
      </c>
    </row>
    <row r="350" spans="1:12" x14ac:dyDescent="0.3">
      <c r="A350" s="2" t="s">
        <v>806</v>
      </c>
      <c r="B350" s="2" t="s">
        <v>548</v>
      </c>
      <c r="C350" s="2" t="s">
        <v>804</v>
      </c>
      <c r="D350" s="2" t="s">
        <v>15</v>
      </c>
      <c r="E350" s="2" t="s">
        <v>79</v>
      </c>
      <c r="F350" s="2" t="s">
        <v>25</v>
      </c>
      <c r="G350" s="2" t="s">
        <v>26</v>
      </c>
      <c r="H350" s="2" t="s">
        <v>33</v>
      </c>
      <c r="I350" s="2">
        <v>3</v>
      </c>
      <c r="J350" s="2">
        <v>4790</v>
      </c>
      <c r="K350" s="2">
        <v>17</v>
      </c>
      <c r="L350" s="2">
        <v>11927.1</v>
      </c>
    </row>
    <row r="351" spans="1:12" x14ac:dyDescent="0.3">
      <c r="A351" s="2" t="s">
        <v>807</v>
      </c>
      <c r="B351" s="2" t="s">
        <v>808</v>
      </c>
      <c r="C351" s="2" t="s">
        <v>258</v>
      </c>
      <c r="D351" s="2" t="s">
        <v>53</v>
      </c>
      <c r="E351" s="2" t="s">
        <v>68</v>
      </c>
      <c r="F351" s="2" t="s">
        <v>17</v>
      </c>
      <c r="G351" s="2" t="s">
        <v>40</v>
      </c>
      <c r="H351" s="2" t="s">
        <v>44</v>
      </c>
      <c r="I351" s="2">
        <v>2</v>
      </c>
      <c r="J351" s="2">
        <v>2481</v>
      </c>
      <c r="K351" s="2">
        <v>27</v>
      </c>
      <c r="L351" s="2">
        <v>3622.26</v>
      </c>
    </row>
    <row r="352" spans="1:12" x14ac:dyDescent="0.3">
      <c r="A352" s="2" t="s">
        <v>809</v>
      </c>
      <c r="B352" s="2" t="s">
        <v>810</v>
      </c>
      <c r="C352" s="2" t="s">
        <v>655</v>
      </c>
      <c r="D352" s="2" t="s">
        <v>30</v>
      </c>
      <c r="E352" s="2" t="s">
        <v>48</v>
      </c>
      <c r="F352" s="2" t="s">
        <v>17</v>
      </c>
      <c r="G352" s="2" t="s">
        <v>54</v>
      </c>
      <c r="H352" s="2" t="s">
        <v>19</v>
      </c>
      <c r="I352" s="2">
        <v>2</v>
      </c>
      <c r="J352" s="2">
        <v>3828</v>
      </c>
      <c r="K352" s="2">
        <v>1</v>
      </c>
      <c r="L352" s="2">
        <v>7579.44</v>
      </c>
    </row>
    <row r="353" spans="1:12" x14ac:dyDescent="0.3">
      <c r="A353" s="2" t="s">
        <v>811</v>
      </c>
      <c r="B353" s="2" t="s">
        <v>249</v>
      </c>
      <c r="C353" s="2" t="s">
        <v>102</v>
      </c>
      <c r="D353" s="2" t="s">
        <v>15</v>
      </c>
      <c r="E353" s="2" t="s">
        <v>31</v>
      </c>
      <c r="F353" s="2" t="s">
        <v>32</v>
      </c>
      <c r="G353" s="2" t="s">
        <v>40</v>
      </c>
      <c r="H353" s="2" t="s">
        <v>33</v>
      </c>
      <c r="I353" s="2">
        <v>3</v>
      </c>
      <c r="J353" s="2">
        <v>1014</v>
      </c>
      <c r="K353" s="2">
        <v>30</v>
      </c>
      <c r="L353" s="2">
        <v>2129.4</v>
      </c>
    </row>
    <row r="354" spans="1:12" x14ac:dyDescent="0.3">
      <c r="A354" s="2" t="s">
        <v>812</v>
      </c>
      <c r="B354" s="2" t="s">
        <v>813</v>
      </c>
      <c r="C354" s="2" t="s">
        <v>814</v>
      </c>
      <c r="D354" s="2" t="s">
        <v>23</v>
      </c>
      <c r="E354" s="2" t="s">
        <v>68</v>
      </c>
      <c r="F354" s="2" t="s">
        <v>17</v>
      </c>
      <c r="G354" s="2" t="s">
        <v>18</v>
      </c>
      <c r="H354" s="2" t="s">
        <v>33</v>
      </c>
      <c r="I354" s="2">
        <v>2</v>
      </c>
      <c r="J354" s="2">
        <v>4238</v>
      </c>
      <c r="K354" s="2">
        <v>5</v>
      </c>
      <c r="L354" s="2">
        <v>8052.2</v>
      </c>
    </row>
    <row r="355" spans="1:12" x14ac:dyDescent="0.3">
      <c r="A355" s="2" t="s">
        <v>815</v>
      </c>
      <c r="B355" s="2" t="s">
        <v>816</v>
      </c>
      <c r="C355" s="2" t="s">
        <v>413</v>
      </c>
      <c r="D355" s="2" t="s">
        <v>30</v>
      </c>
      <c r="E355" s="2" t="s">
        <v>58</v>
      </c>
      <c r="F355" s="2" t="s">
        <v>17</v>
      </c>
      <c r="G355" s="2" t="s">
        <v>62</v>
      </c>
      <c r="H355" s="2" t="s">
        <v>33</v>
      </c>
      <c r="I355" s="2">
        <v>1</v>
      </c>
      <c r="J355" s="2">
        <v>3571</v>
      </c>
      <c r="K355" s="2">
        <v>1</v>
      </c>
      <c r="L355" s="2">
        <v>3535.29</v>
      </c>
    </row>
    <row r="356" spans="1:12" x14ac:dyDescent="0.3">
      <c r="A356" s="2" t="s">
        <v>817</v>
      </c>
      <c r="B356" s="2" t="s">
        <v>346</v>
      </c>
      <c r="C356" s="2" t="s">
        <v>818</v>
      </c>
      <c r="D356" s="2" t="s">
        <v>15</v>
      </c>
      <c r="E356" s="2" t="s">
        <v>68</v>
      </c>
      <c r="F356" s="2" t="s">
        <v>40</v>
      </c>
      <c r="G356" s="2" t="s">
        <v>54</v>
      </c>
      <c r="H356" s="2" t="s">
        <v>44</v>
      </c>
      <c r="I356" s="2">
        <v>5</v>
      </c>
      <c r="J356" s="2">
        <v>4488</v>
      </c>
      <c r="K356" s="2">
        <v>11</v>
      </c>
      <c r="L356" s="2">
        <v>19971.599999999999</v>
      </c>
    </row>
    <row r="357" spans="1:12" x14ac:dyDescent="0.3">
      <c r="A357" s="2" t="s">
        <v>819</v>
      </c>
      <c r="B357" s="2" t="s">
        <v>221</v>
      </c>
      <c r="C357" s="2" t="s">
        <v>820</v>
      </c>
      <c r="D357" s="2" t="s">
        <v>15</v>
      </c>
      <c r="E357" s="2" t="s">
        <v>79</v>
      </c>
      <c r="F357" s="2" t="s">
        <v>49</v>
      </c>
      <c r="G357" s="2" t="s">
        <v>26</v>
      </c>
      <c r="H357" s="2" t="s">
        <v>33</v>
      </c>
      <c r="I357" s="2">
        <v>3</v>
      </c>
      <c r="J357" s="2">
        <v>2641</v>
      </c>
      <c r="K357" s="2">
        <v>24</v>
      </c>
      <c r="L357" s="2">
        <v>6021.48</v>
      </c>
    </row>
    <row r="358" spans="1:12" x14ac:dyDescent="0.3">
      <c r="A358" s="2" t="s">
        <v>821</v>
      </c>
      <c r="B358" s="2" t="s">
        <v>208</v>
      </c>
      <c r="C358" s="2" t="s">
        <v>160</v>
      </c>
      <c r="D358" s="2" t="s">
        <v>88</v>
      </c>
      <c r="E358" s="2" t="s">
        <v>16</v>
      </c>
      <c r="F358" s="2" t="s">
        <v>17</v>
      </c>
      <c r="G358" s="2" t="s">
        <v>54</v>
      </c>
      <c r="H358" s="2" t="s">
        <v>19</v>
      </c>
      <c r="I358" s="2">
        <v>1</v>
      </c>
      <c r="J358" s="2">
        <v>1097</v>
      </c>
      <c r="K358" s="2">
        <v>11</v>
      </c>
      <c r="L358" s="2">
        <v>976.33</v>
      </c>
    </row>
    <row r="359" spans="1:12" x14ac:dyDescent="0.3">
      <c r="A359" s="2" t="s">
        <v>822</v>
      </c>
      <c r="B359" s="2" t="s">
        <v>674</v>
      </c>
      <c r="C359" s="2" t="s">
        <v>748</v>
      </c>
      <c r="D359" s="2" t="s">
        <v>88</v>
      </c>
      <c r="E359" s="2" t="s">
        <v>48</v>
      </c>
      <c r="F359" s="2" t="s">
        <v>25</v>
      </c>
      <c r="G359" s="2" t="s">
        <v>40</v>
      </c>
      <c r="H359" s="2" t="s">
        <v>19</v>
      </c>
      <c r="I359" s="2">
        <v>1</v>
      </c>
      <c r="J359" s="2">
        <v>2250</v>
      </c>
      <c r="K359" s="2">
        <v>17</v>
      </c>
      <c r="L359" s="2">
        <v>1867.5</v>
      </c>
    </row>
    <row r="360" spans="1:12" x14ac:dyDescent="0.3">
      <c r="A360" s="2" t="s">
        <v>823</v>
      </c>
      <c r="B360" s="2" t="s">
        <v>141</v>
      </c>
      <c r="C360" s="2" t="s">
        <v>526</v>
      </c>
      <c r="D360" s="2" t="s">
        <v>15</v>
      </c>
      <c r="E360" s="2" t="s">
        <v>24</v>
      </c>
      <c r="F360" s="2" t="s">
        <v>17</v>
      </c>
      <c r="G360" s="2" t="s">
        <v>62</v>
      </c>
      <c r="H360" s="2" t="s">
        <v>75</v>
      </c>
      <c r="I360" s="2">
        <v>3</v>
      </c>
      <c r="J360" s="2">
        <v>1206</v>
      </c>
      <c r="K360" s="2">
        <v>4</v>
      </c>
      <c r="L360" s="2">
        <v>3473.28</v>
      </c>
    </row>
    <row r="361" spans="1:12" x14ac:dyDescent="0.3">
      <c r="A361" s="2" t="s">
        <v>824</v>
      </c>
      <c r="B361" s="2" t="s">
        <v>825</v>
      </c>
      <c r="C361" s="2" t="s">
        <v>826</v>
      </c>
      <c r="D361" s="2" t="s">
        <v>23</v>
      </c>
      <c r="E361" s="2" t="s">
        <v>24</v>
      </c>
      <c r="F361" s="2" t="s">
        <v>49</v>
      </c>
      <c r="G361" s="2" t="s">
        <v>62</v>
      </c>
      <c r="H361" s="2" t="s">
        <v>44</v>
      </c>
      <c r="I361" s="2">
        <v>3</v>
      </c>
      <c r="J361" s="2">
        <v>2837</v>
      </c>
      <c r="K361" s="2">
        <v>21</v>
      </c>
      <c r="L361" s="2">
        <v>6723.69</v>
      </c>
    </row>
    <row r="362" spans="1:12" x14ac:dyDescent="0.3">
      <c r="A362" s="2" t="s">
        <v>827</v>
      </c>
      <c r="B362" s="2" t="s">
        <v>249</v>
      </c>
      <c r="C362" s="2" t="s">
        <v>241</v>
      </c>
      <c r="D362" s="2" t="s">
        <v>30</v>
      </c>
      <c r="E362" s="2" t="s">
        <v>68</v>
      </c>
      <c r="F362" s="2" t="s">
        <v>25</v>
      </c>
      <c r="G362" s="2" t="s">
        <v>54</v>
      </c>
      <c r="H362" s="2" t="s">
        <v>33</v>
      </c>
      <c r="I362" s="2">
        <v>4</v>
      </c>
      <c r="J362" s="2">
        <v>845</v>
      </c>
      <c r="K362" s="2">
        <v>0</v>
      </c>
      <c r="L362" s="2">
        <v>3380</v>
      </c>
    </row>
    <row r="363" spans="1:12" x14ac:dyDescent="0.3">
      <c r="A363" s="2" t="s">
        <v>828</v>
      </c>
      <c r="B363" s="2" t="s">
        <v>739</v>
      </c>
      <c r="C363" s="2" t="s">
        <v>317</v>
      </c>
      <c r="D363" s="2" t="s">
        <v>30</v>
      </c>
      <c r="E363" s="2" t="s">
        <v>79</v>
      </c>
      <c r="F363" s="2" t="s">
        <v>25</v>
      </c>
      <c r="G363" s="2" t="s">
        <v>62</v>
      </c>
      <c r="H363" s="2" t="s">
        <v>33</v>
      </c>
      <c r="I363" s="2">
        <v>2</v>
      </c>
      <c r="J363" s="2">
        <v>2329</v>
      </c>
      <c r="K363" s="2">
        <v>5</v>
      </c>
      <c r="L363" s="2">
        <v>4425.1000000000004</v>
      </c>
    </row>
    <row r="364" spans="1:12" x14ac:dyDescent="0.3">
      <c r="A364" s="2" t="s">
        <v>829</v>
      </c>
      <c r="B364" s="2" t="s">
        <v>830</v>
      </c>
      <c r="C364" s="2" t="s">
        <v>719</v>
      </c>
      <c r="D364" s="2" t="s">
        <v>88</v>
      </c>
      <c r="E364" s="2" t="s">
        <v>68</v>
      </c>
      <c r="F364" s="2" t="s">
        <v>40</v>
      </c>
      <c r="G364" s="2" t="s">
        <v>40</v>
      </c>
      <c r="H364" s="2" t="s">
        <v>19</v>
      </c>
      <c r="I364" s="2">
        <v>2</v>
      </c>
      <c r="J364" s="2">
        <v>2620</v>
      </c>
      <c r="K364" s="2">
        <v>7</v>
      </c>
      <c r="L364" s="2">
        <v>4873.2</v>
      </c>
    </row>
    <row r="365" spans="1:12" x14ac:dyDescent="0.3">
      <c r="A365" s="2" t="s">
        <v>831</v>
      </c>
      <c r="B365" s="2" t="s">
        <v>548</v>
      </c>
      <c r="C365" s="2" t="s">
        <v>832</v>
      </c>
      <c r="D365" s="2" t="s">
        <v>30</v>
      </c>
      <c r="E365" s="2" t="s">
        <v>31</v>
      </c>
      <c r="F365" s="2" t="s">
        <v>17</v>
      </c>
      <c r="G365" s="2" t="s">
        <v>18</v>
      </c>
      <c r="H365" s="2" t="s">
        <v>33</v>
      </c>
      <c r="I365" s="2">
        <v>1</v>
      </c>
      <c r="J365" s="2">
        <v>3534</v>
      </c>
      <c r="K365" s="2">
        <v>30</v>
      </c>
      <c r="L365" s="2">
        <v>2473.8000000000002</v>
      </c>
    </row>
    <row r="366" spans="1:12" x14ac:dyDescent="0.3">
      <c r="A366" s="2" t="s">
        <v>833</v>
      </c>
      <c r="B366" s="2" t="s">
        <v>834</v>
      </c>
      <c r="C366" s="2" t="s">
        <v>758</v>
      </c>
      <c r="D366" s="2" t="s">
        <v>53</v>
      </c>
      <c r="E366" s="2" t="s">
        <v>24</v>
      </c>
      <c r="F366" s="2" t="s">
        <v>32</v>
      </c>
      <c r="G366" s="2" t="s">
        <v>54</v>
      </c>
      <c r="H366" s="2" t="s">
        <v>19</v>
      </c>
      <c r="I366" s="2">
        <v>5</v>
      </c>
      <c r="J366" s="2">
        <v>3043</v>
      </c>
      <c r="K366" s="2">
        <v>0</v>
      </c>
      <c r="L366" s="2">
        <v>15215</v>
      </c>
    </row>
    <row r="367" spans="1:12" x14ac:dyDescent="0.3">
      <c r="A367" s="2" t="s">
        <v>835</v>
      </c>
      <c r="B367" s="2" t="s">
        <v>528</v>
      </c>
      <c r="C367" s="2" t="s">
        <v>836</v>
      </c>
      <c r="D367" s="2" t="s">
        <v>15</v>
      </c>
      <c r="E367" s="2" t="s">
        <v>48</v>
      </c>
      <c r="F367" s="2" t="s">
        <v>49</v>
      </c>
      <c r="G367" s="2" t="s">
        <v>18</v>
      </c>
      <c r="H367" s="2" t="s">
        <v>33</v>
      </c>
      <c r="I367" s="2">
        <v>1</v>
      </c>
      <c r="J367" s="2">
        <v>4123</v>
      </c>
      <c r="K367" s="2">
        <v>6</v>
      </c>
      <c r="L367" s="2">
        <v>3875.62</v>
      </c>
    </row>
    <row r="368" spans="1:12" x14ac:dyDescent="0.3">
      <c r="A368" s="2" t="s">
        <v>837</v>
      </c>
      <c r="B368" s="2" t="s">
        <v>723</v>
      </c>
      <c r="C368" s="2" t="s">
        <v>838</v>
      </c>
      <c r="D368" s="2" t="s">
        <v>23</v>
      </c>
      <c r="E368" s="2" t="s">
        <v>79</v>
      </c>
      <c r="F368" s="2" t="s">
        <v>40</v>
      </c>
      <c r="G368" s="2" t="s">
        <v>26</v>
      </c>
      <c r="H368" s="2" t="s">
        <v>44</v>
      </c>
      <c r="I368" s="2">
        <v>4</v>
      </c>
      <c r="J368" s="2">
        <v>2735</v>
      </c>
      <c r="K368" s="2">
        <v>0</v>
      </c>
      <c r="L368" s="2">
        <v>10940</v>
      </c>
    </row>
    <row r="369" spans="1:12" x14ac:dyDescent="0.3">
      <c r="A369" s="2" t="s">
        <v>839</v>
      </c>
      <c r="B369" s="2" t="s">
        <v>840</v>
      </c>
      <c r="C369" s="2" t="s">
        <v>732</v>
      </c>
      <c r="D369" s="2" t="s">
        <v>53</v>
      </c>
      <c r="E369" s="2" t="s">
        <v>48</v>
      </c>
      <c r="F369" s="2" t="s">
        <v>49</v>
      </c>
      <c r="G369" s="2" t="s">
        <v>54</v>
      </c>
      <c r="H369" s="2" t="s">
        <v>19</v>
      </c>
      <c r="I369" s="2">
        <v>5</v>
      </c>
      <c r="J369" s="2">
        <v>397</v>
      </c>
      <c r="K369" s="2">
        <v>8</v>
      </c>
      <c r="L369" s="2">
        <v>1826.2</v>
      </c>
    </row>
    <row r="370" spans="1:12" x14ac:dyDescent="0.3">
      <c r="A370" s="2" t="s">
        <v>841</v>
      </c>
      <c r="B370" s="2" t="s">
        <v>379</v>
      </c>
      <c r="C370" s="2" t="s">
        <v>590</v>
      </c>
      <c r="D370" s="2" t="s">
        <v>88</v>
      </c>
      <c r="E370" s="2" t="s">
        <v>68</v>
      </c>
      <c r="F370" s="2" t="s">
        <v>25</v>
      </c>
      <c r="G370" s="2" t="s">
        <v>62</v>
      </c>
      <c r="H370" s="2" t="s">
        <v>33</v>
      </c>
      <c r="I370" s="2">
        <v>4</v>
      </c>
      <c r="J370" s="2">
        <v>4648</v>
      </c>
      <c r="K370" s="2">
        <v>19</v>
      </c>
      <c r="L370" s="2">
        <v>15059.52</v>
      </c>
    </row>
    <row r="371" spans="1:12" x14ac:dyDescent="0.3">
      <c r="A371" s="2" t="s">
        <v>842</v>
      </c>
      <c r="B371" s="2" t="s">
        <v>843</v>
      </c>
      <c r="C371" s="2" t="s">
        <v>491</v>
      </c>
      <c r="D371" s="2" t="s">
        <v>88</v>
      </c>
      <c r="E371" s="2" t="s">
        <v>24</v>
      </c>
      <c r="F371" s="2" t="s">
        <v>17</v>
      </c>
      <c r="G371" s="2" t="s">
        <v>26</v>
      </c>
      <c r="H371" s="2" t="s">
        <v>44</v>
      </c>
      <c r="I371" s="2">
        <v>2</v>
      </c>
      <c r="J371" s="2">
        <v>669</v>
      </c>
      <c r="K371" s="2">
        <v>22</v>
      </c>
      <c r="L371" s="2">
        <v>1043.6400000000001</v>
      </c>
    </row>
    <row r="372" spans="1:12" x14ac:dyDescent="0.3">
      <c r="A372" s="2" t="s">
        <v>844</v>
      </c>
      <c r="B372" s="2" t="s">
        <v>147</v>
      </c>
      <c r="C372" s="2" t="s">
        <v>845</v>
      </c>
      <c r="D372" s="2" t="s">
        <v>30</v>
      </c>
      <c r="E372" s="2" t="s">
        <v>58</v>
      </c>
      <c r="F372" s="2" t="s">
        <v>32</v>
      </c>
      <c r="G372" s="2" t="s">
        <v>54</v>
      </c>
      <c r="H372" s="2" t="s">
        <v>33</v>
      </c>
      <c r="I372" s="2">
        <v>5</v>
      </c>
      <c r="J372" s="2">
        <v>1734</v>
      </c>
      <c r="K372" s="2">
        <v>2</v>
      </c>
      <c r="L372" s="2">
        <v>8496.6</v>
      </c>
    </row>
    <row r="373" spans="1:12" x14ac:dyDescent="0.3">
      <c r="A373" s="2" t="s">
        <v>846</v>
      </c>
      <c r="B373" s="2" t="s">
        <v>243</v>
      </c>
      <c r="C373" s="2" t="s">
        <v>148</v>
      </c>
      <c r="D373" s="2" t="s">
        <v>88</v>
      </c>
      <c r="E373" s="2" t="s">
        <v>79</v>
      </c>
      <c r="F373" s="2" t="s">
        <v>17</v>
      </c>
      <c r="G373" s="2" t="s">
        <v>54</v>
      </c>
      <c r="H373" s="2" t="s">
        <v>19</v>
      </c>
      <c r="I373" s="2">
        <v>4</v>
      </c>
      <c r="J373" s="2">
        <v>1419</v>
      </c>
      <c r="K373" s="2">
        <v>8</v>
      </c>
      <c r="L373" s="2">
        <v>5221.92</v>
      </c>
    </row>
    <row r="374" spans="1:12" x14ac:dyDescent="0.3">
      <c r="A374" s="2" t="s">
        <v>847</v>
      </c>
      <c r="B374" s="2" t="s">
        <v>848</v>
      </c>
      <c r="C374" s="2" t="s">
        <v>849</v>
      </c>
      <c r="D374" s="2" t="s">
        <v>30</v>
      </c>
      <c r="E374" s="2" t="s">
        <v>68</v>
      </c>
      <c r="F374" s="2" t="s">
        <v>40</v>
      </c>
      <c r="G374" s="2" t="s">
        <v>54</v>
      </c>
      <c r="H374" s="2" t="s">
        <v>75</v>
      </c>
      <c r="I374" s="2">
        <v>5</v>
      </c>
      <c r="J374" s="2">
        <v>1773</v>
      </c>
      <c r="K374" s="2">
        <v>23</v>
      </c>
      <c r="L374" s="2">
        <v>6826.05</v>
      </c>
    </row>
    <row r="375" spans="1:12" x14ac:dyDescent="0.3">
      <c r="A375" s="2" t="s">
        <v>850</v>
      </c>
      <c r="B375" s="2" t="s">
        <v>716</v>
      </c>
      <c r="C375" s="2" t="s">
        <v>298</v>
      </c>
      <c r="D375" s="2" t="s">
        <v>88</v>
      </c>
      <c r="E375" s="2" t="s">
        <v>24</v>
      </c>
      <c r="F375" s="2" t="s">
        <v>17</v>
      </c>
      <c r="G375" s="2" t="s">
        <v>18</v>
      </c>
      <c r="H375" s="2" t="s">
        <v>44</v>
      </c>
      <c r="I375" s="2">
        <v>5</v>
      </c>
      <c r="J375" s="2">
        <v>1550</v>
      </c>
      <c r="K375" s="2">
        <v>9</v>
      </c>
      <c r="L375" s="2">
        <v>7052.5</v>
      </c>
    </row>
    <row r="376" spans="1:12" x14ac:dyDescent="0.3">
      <c r="A376" s="2" t="s">
        <v>851</v>
      </c>
      <c r="B376" s="2" t="s">
        <v>852</v>
      </c>
      <c r="C376" s="2" t="s">
        <v>284</v>
      </c>
      <c r="D376" s="2" t="s">
        <v>23</v>
      </c>
      <c r="E376" s="2" t="s">
        <v>58</v>
      </c>
      <c r="F376" s="2" t="s">
        <v>25</v>
      </c>
      <c r="G376" s="2" t="s">
        <v>18</v>
      </c>
      <c r="H376" s="2" t="s">
        <v>19</v>
      </c>
      <c r="I376" s="2">
        <v>3</v>
      </c>
      <c r="J376" s="2">
        <v>3436</v>
      </c>
      <c r="K376" s="2">
        <v>24</v>
      </c>
      <c r="L376" s="2">
        <v>7834.08</v>
      </c>
    </row>
    <row r="377" spans="1:12" x14ac:dyDescent="0.3">
      <c r="A377" s="2" t="s">
        <v>853</v>
      </c>
      <c r="B377" s="2" t="s">
        <v>854</v>
      </c>
      <c r="C377" s="2" t="s">
        <v>78</v>
      </c>
      <c r="D377" s="2" t="s">
        <v>23</v>
      </c>
      <c r="E377" s="2" t="s">
        <v>58</v>
      </c>
      <c r="F377" s="2" t="s">
        <v>40</v>
      </c>
      <c r="G377" s="2" t="s">
        <v>18</v>
      </c>
      <c r="H377" s="2" t="s">
        <v>33</v>
      </c>
      <c r="I377" s="2">
        <v>2</v>
      </c>
      <c r="J377" s="2">
        <v>4478</v>
      </c>
      <c r="K377" s="2">
        <v>16</v>
      </c>
      <c r="L377" s="2">
        <v>7523.04</v>
      </c>
    </row>
    <row r="378" spans="1:12" x14ac:dyDescent="0.3">
      <c r="A378" s="2" t="s">
        <v>855</v>
      </c>
      <c r="B378" s="2" t="s">
        <v>856</v>
      </c>
      <c r="C378" s="2" t="s">
        <v>524</v>
      </c>
      <c r="D378" s="2" t="s">
        <v>15</v>
      </c>
      <c r="E378" s="2" t="s">
        <v>58</v>
      </c>
      <c r="F378" s="2" t="s">
        <v>25</v>
      </c>
      <c r="G378" s="2" t="s">
        <v>26</v>
      </c>
      <c r="H378" s="2" t="s">
        <v>44</v>
      </c>
      <c r="I378" s="2">
        <v>5</v>
      </c>
      <c r="J378" s="2">
        <v>3783</v>
      </c>
      <c r="K378" s="2">
        <v>22</v>
      </c>
      <c r="L378" s="2">
        <v>14753.7</v>
      </c>
    </row>
    <row r="379" spans="1:12" x14ac:dyDescent="0.3">
      <c r="A379" s="2" t="s">
        <v>857</v>
      </c>
      <c r="B379" s="2" t="s">
        <v>349</v>
      </c>
      <c r="C379" s="2" t="s">
        <v>858</v>
      </c>
      <c r="D379" s="2" t="s">
        <v>30</v>
      </c>
      <c r="E379" s="2" t="s">
        <v>16</v>
      </c>
      <c r="F379" s="2" t="s">
        <v>40</v>
      </c>
      <c r="G379" s="2" t="s">
        <v>54</v>
      </c>
      <c r="H379" s="2" t="s">
        <v>33</v>
      </c>
      <c r="I379" s="2">
        <v>2</v>
      </c>
      <c r="J379" s="2">
        <v>4154</v>
      </c>
      <c r="K379" s="2">
        <v>24</v>
      </c>
      <c r="L379" s="2">
        <v>6314.08</v>
      </c>
    </row>
    <row r="380" spans="1:12" x14ac:dyDescent="0.3">
      <c r="A380" s="2" t="s">
        <v>859</v>
      </c>
      <c r="B380" s="2" t="s">
        <v>456</v>
      </c>
      <c r="C380" s="2" t="s">
        <v>860</v>
      </c>
      <c r="D380" s="2" t="s">
        <v>15</v>
      </c>
      <c r="E380" s="2" t="s">
        <v>16</v>
      </c>
      <c r="F380" s="2" t="s">
        <v>40</v>
      </c>
      <c r="G380" s="2" t="s">
        <v>26</v>
      </c>
      <c r="H380" s="2" t="s">
        <v>33</v>
      </c>
      <c r="I380" s="2">
        <v>2</v>
      </c>
      <c r="J380" s="2">
        <v>3009</v>
      </c>
      <c r="K380" s="2">
        <v>2</v>
      </c>
      <c r="L380" s="2">
        <v>5897.64</v>
      </c>
    </row>
    <row r="381" spans="1:12" x14ac:dyDescent="0.3">
      <c r="A381" s="2" t="s">
        <v>861</v>
      </c>
      <c r="B381" s="2" t="s">
        <v>440</v>
      </c>
      <c r="C381" s="2" t="s">
        <v>862</v>
      </c>
      <c r="D381" s="2" t="s">
        <v>30</v>
      </c>
      <c r="E381" s="2" t="s">
        <v>68</v>
      </c>
      <c r="F381" s="2" t="s">
        <v>40</v>
      </c>
      <c r="G381" s="2" t="s">
        <v>26</v>
      </c>
      <c r="H381" s="2" t="s">
        <v>33</v>
      </c>
      <c r="I381" s="2">
        <v>3</v>
      </c>
      <c r="J381" s="2">
        <v>4255</v>
      </c>
      <c r="K381" s="2">
        <v>21</v>
      </c>
      <c r="L381" s="2">
        <v>10084.35</v>
      </c>
    </row>
    <row r="382" spans="1:12" x14ac:dyDescent="0.3">
      <c r="A382" s="2" t="s">
        <v>863</v>
      </c>
      <c r="B382" s="2" t="s">
        <v>764</v>
      </c>
      <c r="C382" s="2" t="s">
        <v>438</v>
      </c>
      <c r="D382" s="2" t="s">
        <v>15</v>
      </c>
      <c r="E382" s="2" t="s">
        <v>16</v>
      </c>
      <c r="F382" s="2" t="s">
        <v>49</v>
      </c>
      <c r="G382" s="2" t="s">
        <v>26</v>
      </c>
      <c r="H382" s="2" t="s">
        <v>75</v>
      </c>
      <c r="I382" s="2">
        <v>2</v>
      </c>
      <c r="J382" s="2">
        <v>1937</v>
      </c>
      <c r="K382" s="2">
        <v>6</v>
      </c>
      <c r="L382" s="2">
        <v>3641.56</v>
      </c>
    </row>
    <row r="383" spans="1:12" x14ac:dyDescent="0.3">
      <c r="A383" s="2" t="s">
        <v>864</v>
      </c>
      <c r="B383" s="2" t="s">
        <v>304</v>
      </c>
      <c r="C383" s="2" t="s">
        <v>491</v>
      </c>
      <c r="D383" s="2" t="s">
        <v>30</v>
      </c>
      <c r="E383" s="2" t="s">
        <v>24</v>
      </c>
      <c r="F383" s="2" t="s">
        <v>25</v>
      </c>
      <c r="G383" s="2" t="s">
        <v>40</v>
      </c>
      <c r="H383" s="2" t="s">
        <v>75</v>
      </c>
      <c r="I383" s="2">
        <v>4</v>
      </c>
      <c r="J383" s="2">
        <v>3654</v>
      </c>
      <c r="K383" s="2">
        <v>13</v>
      </c>
      <c r="L383" s="2">
        <v>12715.92</v>
      </c>
    </row>
    <row r="384" spans="1:12" x14ac:dyDescent="0.3">
      <c r="A384" s="2" t="s">
        <v>865</v>
      </c>
      <c r="B384" s="2" t="s">
        <v>866</v>
      </c>
      <c r="C384" s="2" t="s">
        <v>441</v>
      </c>
      <c r="D384" s="2" t="s">
        <v>88</v>
      </c>
      <c r="E384" s="2" t="s">
        <v>24</v>
      </c>
      <c r="F384" s="2" t="s">
        <v>32</v>
      </c>
      <c r="G384" s="2" t="s">
        <v>54</v>
      </c>
      <c r="H384" s="2" t="s">
        <v>75</v>
      </c>
      <c r="I384" s="2">
        <v>3</v>
      </c>
      <c r="J384" s="2">
        <v>4766</v>
      </c>
      <c r="K384" s="2">
        <v>4</v>
      </c>
      <c r="L384" s="2">
        <v>13726.08</v>
      </c>
    </row>
    <row r="385" spans="1:12" x14ac:dyDescent="0.3">
      <c r="A385" s="2" t="s">
        <v>867</v>
      </c>
      <c r="B385" s="2" t="s">
        <v>257</v>
      </c>
      <c r="C385" s="2" t="s">
        <v>194</v>
      </c>
      <c r="D385" s="2" t="s">
        <v>15</v>
      </c>
      <c r="E385" s="2" t="s">
        <v>79</v>
      </c>
      <c r="F385" s="2" t="s">
        <v>25</v>
      </c>
      <c r="G385" s="2" t="s">
        <v>54</v>
      </c>
      <c r="H385" s="2" t="s">
        <v>75</v>
      </c>
      <c r="I385" s="2">
        <v>5</v>
      </c>
      <c r="J385" s="2">
        <v>3682</v>
      </c>
      <c r="K385" s="2">
        <v>27</v>
      </c>
      <c r="L385" s="2">
        <v>13439.3</v>
      </c>
    </row>
    <row r="386" spans="1:12" x14ac:dyDescent="0.3">
      <c r="A386" s="2" t="s">
        <v>868</v>
      </c>
      <c r="B386" s="2" t="s">
        <v>540</v>
      </c>
      <c r="C386" s="2" t="s">
        <v>732</v>
      </c>
      <c r="D386" s="2" t="s">
        <v>23</v>
      </c>
      <c r="E386" s="2" t="s">
        <v>24</v>
      </c>
      <c r="F386" s="2" t="s">
        <v>40</v>
      </c>
      <c r="G386" s="2" t="s">
        <v>18</v>
      </c>
      <c r="H386" s="2" t="s">
        <v>33</v>
      </c>
      <c r="I386" s="2">
        <v>1</v>
      </c>
      <c r="J386" s="2">
        <v>4623</v>
      </c>
      <c r="K386" s="2">
        <v>3</v>
      </c>
      <c r="L386" s="2">
        <v>4484.3100000000004</v>
      </c>
    </row>
    <row r="387" spans="1:12" x14ac:dyDescent="0.3">
      <c r="A387" s="2" t="s">
        <v>869</v>
      </c>
      <c r="B387" s="2" t="s">
        <v>537</v>
      </c>
      <c r="C387" s="2" t="s">
        <v>409</v>
      </c>
      <c r="D387" s="2" t="s">
        <v>15</v>
      </c>
      <c r="E387" s="2" t="s">
        <v>31</v>
      </c>
      <c r="F387" s="2" t="s">
        <v>32</v>
      </c>
      <c r="G387" s="2" t="s">
        <v>62</v>
      </c>
      <c r="H387" s="2" t="s">
        <v>33</v>
      </c>
      <c r="I387" s="2">
        <v>5</v>
      </c>
      <c r="J387" s="2">
        <v>4503</v>
      </c>
      <c r="K387" s="2">
        <v>20</v>
      </c>
      <c r="L387" s="2">
        <v>18012</v>
      </c>
    </row>
    <row r="388" spans="1:12" x14ac:dyDescent="0.3">
      <c r="A388" s="2" t="s">
        <v>870</v>
      </c>
      <c r="B388" s="2" t="s">
        <v>871</v>
      </c>
      <c r="C388" s="2" t="s">
        <v>872</v>
      </c>
      <c r="D388" s="2" t="s">
        <v>15</v>
      </c>
      <c r="E388" s="2" t="s">
        <v>48</v>
      </c>
      <c r="F388" s="2" t="s">
        <v>17</v>
      </c>
      <c r="G388" s="2" t="s">
        <v>62</v>
      </c>
      <c r="H388" s="2" t="s">
        <v>19</v>
      </c>
      <c r="I388" s="2">
        <v>5</v>
      </c>
      <c r="J388" s="2">
        <v>1031</v>
      </c>
      <c r="K388" s="2">
        <v>27</v>
      </c>
      <c r="L388" s="2">
        <v>3763.15</v>
      </c>
    </row>
    <row r="389" spans="1:12" x14ac:dyDescent="0.3">
      <c r="A389" s="2" t="s">
        <v>873</v>
      </c>
      <c r="B389" s="2" t="s">
        <v>874</v>
      </c>
      <c r="C389" s="2" t="s">
        <v>194</v>
      </c>
      <c r="D389" s="2" t="s">
        <v>53</v>
      </c>
      <c r="E389" s="2" t="s">
        <v>68</v>
      </c>
      <c r="F389" s="2" t="s">
        <v>17</v>
      </c>
      <c r="G389" s="2" t="s">
        <v>62</v>
      </c>
      <c r="H389" s="2" t="s">
        <v>33</v>
      </c>
      <c r="I389" s="2">
        <v>1</v>
      </c>
      <c r="J389" s="2">
        <v>2554</v>
      </c>
      <c r="K389" s="2">
        <v>13</v>
      </c>
      <c r="L389" s="2">
        <v>2221.98</v>
      </c>
    </row>
    <row r="390" spans="1:12" x14ac:dyDescent="0.3">
      <c r="A390" s="2" t="s">
        <v>875</v>
      </c>
      <c r="B390" s="2" t="s">
        <v>876</v>
      </c>
      <c r="C390" s="2" t="s">
        <v>311</v>
      </c>
      <c r="D390" s="2" t="s">
        <v>53</v>
      </c>
      <c r="E390" s="2" t="s">
        <v>48</v>
      </c>
      <c r="F390" s="2" t="s">
        <v>49</v>
      </c>
      <c r="G390" s="2" t="s">
        <v>62</v>
      </c>
      <c r="H390" s="2" t="s">
        <v>44</v>
      </c>
      <c r="I390" s="2">
        <v>4</v>
      </c>
      <c r="J390" s="2">
        <v>2748</v>
      </c>
      <c r="K390" s="2">
        <v>23</v>
      </c>
      <c r="L390" s="2">
        <v>8463.84</v>
      </c>
    </row>
    <row r="391" spans="1:12" x14ac:dyDescent="0.3">
      <c r="A391" s="2" t="s">
        <v>877</v>
      </c>
      <c r="B391" s="2" t="s">
        <v>840</v>
      </c>
      <c r="C391" s="2" t="s">
        <v>878</v>
      </c>
      <c r="D391" s="2" t="s">
        <v>30</v>
      </c>
      <c r="E391" s="2" t="s">
        <v>31</v>
      </c>
      <c r="F391" s="2" t="s">
        <v>40</v>
      </c>
      <c r="G391" s="2" t="s">
        <v>54</v>
      </c>
      <c r="H391" s="2" t="s">
        <v>19</v>
      </c>
      <c r="I391" s="2">
        <v>2</v>
      </c>
      <c r="J391" s="2">
        <v>499</v>
      </c>
      <c r="K391" s="2">
        <v>5</v>
      </c>
      <c r="L391" s="2">
        <v>948.1</v>
      </c>
    </row>
    <row r="392" spans="1:12" x14ac:dyDescent="0.3">
      <c r="A392" s="2" t="s">
        <v>879</v>
      </c>
      <c r="B392" s="2" t="s">
        <v>739</v>
      </c>
      <c r="C392" s="2" t="s">
        <v>880</v>
      </c>
      <c r="D392" s="2" t="s">
        <v>88</v>
      </c>
      <c r="E392" s="2" t="s">
        <v>58</v>
      </c>
      <c r="F392" s="2" t="s">
        <v>17</v>
      </c>
      <c r="G392" s="2" t="s">
        <v>40</v>
      </c>
      <c r="H392" s="2" t="s">
        <v>75</v>
      </c>
      <c r="I392" s="2">
        <v>4</v>
      </c>
      <c r="J392" s="2">
        <v>3949</v>
      </c>
      <c r="K392" s="2">
        <v>2</v>
      </c>
      <c r="L392" s="2">
        <v>15480.08</v>
      </c>
    </row>
    <row r="393" spans="1:12" x14ac:dyDescent="0.3">
      <c r="A393" s="2" t="s">
        <v>881</v>
      </c>
      <c r="B393" s="2" t="s">
        <v>769</v>
      </c>
      <c r="C393" s="2" t="s">
        <v>882</v>
      </c>
      <c r="D393" s="2" t="s">
        <v>30</v>
      </c>
      <c r="E393" s="2" t="s">
        <v>24</v>
      </c>
      <c r="F393" s="2" t="s">
        <v>40</v>
      </c>
      <c r="G393" s="2" t="s">
        <v>62</v>
      </c>
      <c r="H393" s="2" t="s">
        <v>19</v>
      </c>
      <c r="I393" s="2">
        <v>1</v>
      </c>
      <c r="J393" s="2">
        <v>3130</v>
      </c>
      <c r="K393" s="2">
        <v>13</v>
      </c>
      <c r="L393" s="2">
        <v>2723.1</v>
      </c>
    </row>
    <row r="394" spans="1:12" x14ac:dyDescent="0.3">
      <c r="A394" s="2" t="s">
        <v>883</v>
      </c>
      <c r="B394" s="2" t="s">
        <v>425</v>
      </c>
      <c r="C394" s="2" t="s">
        <v>493</v>
      </c>
      <c r="D394" s="2" t="s">
        <v>23</v>
      </c>
      <c r="E394" s="2" t="s">
        <v>31</v>
      </c>
      <c r="F394" s="2" t="s">
        <v>32</v>
      </c>
      <c r="G394" s="2" t="s">
        <v>26</v>
      </c>
      <c r="H394" s="2" t="s">
        <v>44</v>
      </c>
      <c r="I394" s="2">
        <v>2</v>
      </c>
      <c r="J394" s="2">
        <v>2304</v>
      </c>
      <c r="K394" s="2">
        <v>12</v>
      </c>
      <c r="L394" s="2">
        <v>4055.04</v>
      </c>
    </row>
    <row r="395" spans="1:12" x14ac:dyDescent="0.3">
      <c r="A395" s="2" t="s">
        <v>884</v>
      </c>
      <c r="B395" s="2" t="s">
        <v>723</v>
      </c>
      <c r="C395" s="2" t="s">
        <v>222</v>
      </c>
      <c r="D395" s="2" t="s">
        <v>15</v>
      </c>
      <c r="E395" s="2" t="s">
        <v>79</v>
      </c>
      <c r="F395" s="2" t="s">
        <v>17</v>
      </c>
      <c r="G395" s="2" t="s">
        <v>62</v>
      </c>
      <c r="H395" s="2" t="s">
        <v>33</v>
      </c>
      <c r="I395" s="2">
        <v>3</v>
      </c>
      <c r="J395" s="2">
        <v>2534</v>
      </c>
      <c r="K395" s="2">
        <v>20</v>
      </c>
      <c r="L395" s="2">
        <v>6081.6</v>
      </c>
    </row>
    <row r="396" spans="1:12" x14ac:dyDescent="0.3">
      <c r="A396" s="2" t="s">
        <v>885</v>
      </c>
      <c r="B396" s="2" t="s">
        <v>369</v>
      </c>
      <c r="C396" s="2" t="s">
        <v>567</v>
      </c>
      <c r="D396" s="2" t="s">
        <v>30</v>
      </c>
      <c r="E396" s="2" t="s">
        <v>16</v>
      </c>
      <c r="F396" s="2" t="s">
        <v>40</v>
      </c>
      <c r="G396" s="2" t="s">
        <v>62</v>
      </c>
      <c r="H396" s="2" t="s">
        <v>19</v>
      </c>
      <c r="I396" s="2">
        <v>5</v>
      </c>
      <c r="J396" s="2">
        <v>1340</v>
      </c>
      <c r="K396" s="2">
        <v>28</v>
      </c>
      <c r="L396" s="2">
        <v>4824</v>
      </c>
    </row>
    <row r="397" spans="1:12" x14ac:dyDescent="0.3">
      <c r="A397" s="2" t="s">
        <v>886</v>
      </c>
      <c r="B397" s="2" t="s">
        <v>681</v>
      </c>
      <c r="C397" s="2" t="s">
        <v>264</v>
      </c>
      <c r="D397" s="2" t="s">
        <v>15</v>
      </c>
      <c r="E397" s="2" t="s">
        <v>68</v>
      </c>
      <c r="F397" s="2" t="s">
        <v>49</v>
      </c>
      <c r="G397" s="2" t="s">
        <v>62</v>
      </c>
      <c r="H397" s="2" t="s">
        <v>19</v>
      </c>
      <c r="I397" s="2">
        <v>4</v>
      </c>
      <c r="J397" s="2">
        <v>4711</v>
      </c>
      <c r="K397" s="2">
        <v>1</v>
      </c>
      <c r="L397" s="2">
        <v>18655.560000000001</v>
      </c>
    </row>
    <row r="398" spans="1:12" x14ac:dyDescent="0.3">
      <c r="A398" s="2" t="s">
        <v>887</v>
      </c>
      <c r="B398" s="2" t="s">
        <v>315</v>
      </c>
      <c r="C398" s="2" t="s">
        <v>765</v>
      </c>
      <c r="D398" s="2" t="s">
        <v>15</v>
      </c>
      <c r="E398" s="2" t="s">
        <v>16</v>
      </c>
      <c r="F398" s="2" t="s">
        <v>40</v>
      </c>
      <c r="G398" s="2" t="s">
        <v>18</v>
      </c>
      <c r="H398" s="2" t="s">
        <v>75</v>
      </c>
      <c r="I398" s="2">
        <v>4</v>
      </c>
      <c r="J398" s="2">
        <v>2518</v>
      </c>
      <c r="K398" s="2">
        <v>19</v>
      </c>
      <c r="L398" s="2">
        <v>8158.32</v>
      </c>
    </row>
    <row r="399" spans="1:12" x14ac:dyDescent="0.3">
      <c r="A399" s="2" t="s">
        <v>888</v>
      </c>
      <c r="B399" s="2" t="s">
        <v>889</v>
      </c>
      <c r="C399" s="2" t="s">
        <v>344</v>
      </c>
      <c r="D399" s="2" t="s">
        <v>23</v>
      </c>
      <c r="E399" s="2" t="s">
        <v>58</v>
      </c>
      <c r="F399" s="2" t="s">
        <v>40</v>
      </c>
      <c r="G399" s="2" t="s">
        <v>26</v>
      </c>
      <c r="H399" s="2" t="s">
        <v>44</v>
      </c>
      <c r="I399" s="2">
        <v>4</v>
      </c>
      <c r="J399" s="2">
        <v>4705</v>
      </c>
      <c r="K399" s="2">
        <v>4</v>
      </c>
      <c r="L399" s="2">
        <v>18067.2</v>
      </c>
    </row>
    <row r="400" spans="1:12" x14ac:dyDescent="0.3">
      <c r="A400" s="2" t="s">
        <v>890</v>
      </c>
      <c r="B400" s="2" t="s">
        <v>116</v>
      </c>
      <c r="C400" s="2" t="s">
        <v>549</v>
      </c>
      <c r="D400" s="2" t="s">
        <v>53</v>
      </c>
      <c r="E400" s="2" t="s">
        <v>58</v>
      </c>
      <c r="F400" s="2" t="s">
        <v>25</v>
      </c>
      <c r="G400" s="2" t="s">
        <v>18</v>
      </c>
      <c r="H400" s="2" t="s">
        <v>33</v>
      </c>
      <c r="I400" s="2">
        <v>4</v>
      </c>
      <c r="J400" s="2">
        <v>4960</v>
      </c>
      <c r="K400" s="2">
        <v>21</v>
      </c>
      <c r="L400" s="2">
        <v>15673.6</v>
      </c>
    </row>
    <row r="401" spans="1:12" x14ac:dyDescent="0.3">
      <c r="A401" s="2" t="s">
        <v>891</v>
      </c>
      <c r="B401" s="2" t="s">
        <v>355</v>
      </c>
      <c r="C401" s="2" t="s">
        <v>317</v>
      </c>
      <c r="D401" s="2" t="s">
        <v>23</v>
      </c>
      <c r="E401" s="2" t="s">
        <v>58</v>
      </c>
      <c r="F401" s="2" t="s">
        <v>49</v>
      </c>
      <c r="G401" s="2" t="s">
        <v>40</v>
      </c>
      <c r="H401" s="2" t="s">
        <v>19</v>
      </c>
      <c r="I401" s="2">
        <v>2</v>
      </c>
      <c r="J401" s="2">
        <v>3450</v>
      </c>
      <c r="K401" s="2">
        <v>14</v>
      </c>
      <c r="L401" s="2">
        <v>5934</v>
      </c>
    </row>
    <row r="402" spans="1:12" x14ac:dyDescent="0.3">
      <c r="A402" s="2" t="s">
        <v>892</v>
      </c>
      <c r="B402" s="2" t="s">
        <v>893</v>
      </c>
      <c r="C402" s="2" t="s">
        <v>477</v>
      </c>
      <c r="D402" s="2" t="s">
        <v>53</v>
      </c>
      <c r="E402" s="2" t="s">
        <v>58</v>
      </c>
      <c r="F402" s="2" t="s">
        <v>17</v>
      </c>
      <c r="G402" s="2" t="s">
        <v>18</v>
      </c>
      <c r="H402" s="2" t="s">
        <v>33</v>
      </c>
      <c r="I402" s="2">
        <v>2</v>
      </c>
      <c r="J402" s="2">
        <v>330</v>
      </c>
      <c r="K402" s="2">
        <v>2</v>
      </c>
      <c r="L402" s="2">
        <v>646.79999999999995</v>
      </c>
    </row>
    <row r="403" spans="1:12" x14ac:dyDescent="0.3">
      <c r="A403" s="2" t="s">
        <v>894</v>
      </c>
      <c r="B403" s="2" t="s">
        <v>895</v>
      </c>
      <c r="C403" s="2" t="s">
        <v>692</v>
      </c>
      <c r="D403" s="2" t="s">
        <v>15</v>
      </c>
      <c r="E403" s="2" t="s">
        <v>58</v>
      </c>
      <c r="F403" s="2" t="s">
        <v>25</v>
      </c>
      <c r="G403" s="2" t="s">
        <v>18</v>
      </c>
      <c r="H403" s="2" t="s">
        <v>33</v>
      </c>
      <c r="I403" s="2">
        <v>3</v>
      </c>
      <c r="J403" s="2">
        <v>218</v>
      </c>
      <c r="K403" s="2">
        <v>15</v>
      </c>
      <c r="L403" s="2">
        <v>555.9</v>
      </c>
    </row>
    <row r="404" spans="1:12" x14ac:dyDescent="0.3">
      <c r="A404" s="2" t="s">
        <v>896</v>
      </c>
      <c r="B404" s="2" t="s">
        <v>897</v>
      </c>
      <c r="C404" s="2" t="s">
        <v>367</v>
      </c>
      <c r="D404" s="2" t="s">
        <v>88</v>
      </c>
      <c r="E404" s="2" t="s">
        <v>48</v>
      </c>
      <c r="F404" s="2" t="s">
        <v>17</v>
      </c>
      <c r="G404" s="2" t="s">
        <v>18</v>
      </c>
      <c r="H404" s="2" t="s">
        <v>75</v>
      </c>
      <c r="I404" s="2">
        <v>2</v>
      </c>
      <c r="J404" s="2">
        <v>727</v>
      </c>
      <c r="K404" s="2">
        <v>24</v>
      </c>
      <c r="L404" s="2">
        <v>1105.04</v>
      </c>
    </row>
    <row r="405" spans="1:12" x14ac:dyDescent="0.3">
      <c r="A405" s="2" t="s">
        <v>898</v>
      </c>
      <c r="B405" s="2" t="s">
        <v>742</v>
      </c>
      <c r="C405" s="2" t="s">
        <v>899</v>
      </c>
      <c r="D405" s="2" t="s">
        <v>88</v>
      </c>
      <c r="E405" s="2" t="s">
        <v>58</v>
      </c>
      <c r="F405" s="2" t="s">
        <v>17</v>
      </c>
      <c r="G405" s="2" t="s">
        <v>62</v>
      </c>
      <c r="H405" s="2" t="s">
        <v>75</v>
      </c>
      <c r="I405" s="2">
        <v>1</v>
      </c>
      <c r="J405" s="2">
        <v>4557</v>
      </c>
      <c r="K405" s="2">
        <v>28</v>
      </c>
      <c r="L405" s="2">
        <v>3281.04</v>
      </c>
    </row>
    <row r="406" spans="1:12" x14ac:dyDescent="0.3">
      <c r="A406" s="2" t="s">
        <v>900</v>
      </c>
      <c r="B406" s="2" t="s">
        <v>901</v>
      </c>
      <c r="C406" s="2" t="s">
        <v>902</v>
      </c>
      <c r="D406" s="2" t="s">
        <v>15</v>
      </c>
      <c r="E406" s="2" t="s">
        <v>16</v>
      </c>
      <c r="F406" s="2" t="s">
        <v>17</v>
      </c>
      <c r="G406" s="2" t="s">
        <v>26</v>
      </c>
      <c r="H406" s="2" t="s">
        <v>19</v>
      </c>
      <c r="I406" s="2">
        <v>5</v>
      </c>
      <c r="J406" s="2">
        <v>4312</v>
      </c>
      <c r="K406" s="2">
        <v>12</v>
      </c>
      <c r="L406" s="2">
        <v>18972.8</v>
      </c>
    </row>
    <row r="407" spans="1:12" x14ac:dyDescent="0.3">
      <c r="A407" s="2" t="s">
        <v>903</v>
      </c>
      <c r="B407" s="2" t="s">
        <v>904</v>
      </c>
      <c r="C407" s="2" t="s">
        <v>477</v>
      </c>
      <c r="D407" s="2" t="s">
        <v>88</v>
      </c>
      <c r="E407" s="2" t="s">
        <v>79</v>
      </c>
      <c r="F407" s="2" t="s">
        <v>25</v>
      </c>
      <c r="G407" s="2" t="s">
        <v>62</v>
      </c>
      <c r="H407" s="2" t="s">
        <v>44</v>
      </c>
      <c r="I407" s="2">
        <v>4</v>
      </c>
      <c r="J407" s="2">
        <v>783</v>
      </c>
      <c r="K407" s="2">
        <v>3</v>
      </c>
      <c r="L407" s="2">
        <v>3038.04</v>
      </c>
    </row>
    <row r="408" spans="1:12" x14ac:dyDescent="0.3">
      <c r="A408" s="2" t="s">
        <v>905</v>
      </c>
      <c r="B408" s="2" t="s">
        <v>906</v>
      </c>
      <c r="C408" s="2" t="s">
        <v>36</v>
      </c>
      <c r="D408" s="2" t="s">
        <v>23</v>
      </c>
      <c r="E408" s="2" t="s">
        <v>16</v>
      </c>
      <c r="F408" s="2" t="s">
        <v>32</v>
      </c>
      <c r="G408" s="2" t="s">
        <v>40</v>
      </c>
      <c r="H408" s="2" t="s">
        <v>19</v>
      </c>
      <c r="I408" s="2">
        <v>3</v>
      </c>
      <c r="J408" s="2">
        <v>413</v>
      </c>
      <c r="K408" s="2">
        <v>18</v>
      </c>
      <c r="L408" s="2">
        <v>1015.98</v>
      </c>
    </row>
    <row r="409" spans="1:12" x14ac:dyDescent="0.3">
      <c r="A409" s="2" t="s">
        <v>907</v>
      </c>
      <c r="B409" s="2" t="s">
        <v>443</v>
      </c>
      <c r="C409" s="2" t="s">
        <v>552</v>
      </c>
      <c r="D409" s="2" t="s">
        <v>53</v>
      </c>
      <c r="E409" s="2" t="s">
        <v>79</v>
      </c>
      <c r="F409" s="2" t="s">
        <v>40</v>
      </c>
      <c r="G409" s="2" t="s">
        <v>18</v>
      </c>
      <c r="H409" s="2" t="s">
        <v>33</v>
      </c>
      <c r="I409" s="2">
        <v>4</v>
      </c>
      <c r="J409" s="2">
        <v>599</v>
      </c>
      <c r="K409" s="2">
        <v>23</v>
      </c>
      <c r="L409" s="2">
        <v>1844.92</v>
      </c>
    </row>
    <row r="410" spans="1:12" x14ac:dyDescent="0.3">
      <c r="A410" s="2" t="s">
        <v>908</v>
      </c>
      <c r="B410" s="2" t="s">
        <v>185</v>
      </c>
      <c r="C410" s="2" t="s">
        <v>522</v>
      </c>
      <c r="D410" s="2" t="s">
        <v>88</v>
      </c>
      <c r="E410" s="2" t="s">
        <v>31</v>
      </c>
      <c r="F410" s="2" t="s">
        <v>25</v>
      </c>
      <c r="G410" s="2" t="s">
        <v>54</v>
      </c>
      <c r="H410" s="2" t="s">
        <v>19</v>
      </c>
      <c r="I410" s="2">
        <v>3</v>
      </c>
      <c r="J410" s="2">
        <v>1959</v>
      </c>
      <c r="K410" s="2">
        <v>28</v>
      </c>
      <c r="L410" s="2">
        <v>4231.4399999999996</v>
      </c>
    </row>
    <row r="411" spans="1:12" x14ac:dyDescent="0.3">
      <c r="A411" s="2" t="s">
        <v>909</v>
      </c>
      <c r="B411" s="2" t="s">
        <v>246</v>
      </c>
      <c r="C411" s="2" t="s">
        <v>413</v>
      </c>
      <c r="D411" s="2" t="s">
        <v>30</v>
      </c>
      <c r="E411" s="2" t="s">
        <v>79</v>
      </c>
      <c r="F411" s="2" t="s">
        <v>40</v>
      </c>
      <c r="G411" s="2" t="s">
        <v>18</v>
      </c>
      <c r="H411" s="2" t="s">
        <v>33</v>
      </c>
      <c r="I411" s="2">
        <v>4</v>
      </c>
      <c r="J411" s="2">
        <v>4712</v>
      </c>
      <c r="K411" s="2">
        <v>12</v>
      </c>
      <c r="L411" s="2">
        <v>16586.240000000002</v>
      </c>
    </row>
    <row r="412" spans="1:12" x14ac:dyDescent="0.3">
      <c r="A412" s="2" t="s">
        <v>910</v>
      </c>
      <c r="B412" s="2" t="s">
        <v>854</v>
      </c>
      <c r="C412" s="2" t="s">
        <v>142</v>
      </c>
      <c r="D412" s="2" t="s">
        <v>23</v>
      </c>
      <c r="E412" s="2" t="s">
        <v>79</v>
      </c>
      <c r="F412" s="2" t="s">
        <v>32</v>
      </c>
      <c r="G412" s="2" t="s">
        <v>54</v>
      </c>
      <c r="H412" s="2" t="s">
        <v>19</v>
      </c>
      <c r="I412" s="2">
        <v>2</v>
      </c>
      <c r="J412" s="2">
        <v>2414</v>
      </c>
      <c r="K412" s="2">
        <v>15</v>
      </c>
      <c r="L412" s="2">
        <v>4103.8</v>
      </c>
    </row>
    <row r="413" spans="1:12" x14ac:dyDescent="0.3">
      <c r="A413" s="2" t="s">
        <v>911</v>
      </c>
      <c r="B413" s="2" t="s">
        <v>73</v>
      </c>
      <c r="C413" s="2" t="s">
        <v>342</v>
      </c>
      <c r="D413" s="2" t="s">
        <v>15</v>
      </c>
      <c r="E413" s="2" t="s">
        <v>31</v>
      </c>
      <c r="F413" s="2" t="s">
        <v>40</v>
      </c>
      <c r="G413" s="2" t="s">
        <v>18</v>
      </c>
      <c r="H413" s="2" t="s">
        <v>44</v>
      </c>
      <c r="I413" s="2">
        <v>5</v>
      </c>
      <c r="J413" s="2">
        <v>2950</v>
      </c>
      <c r="K413" s="2">
        <v>12</v>
      </c>
      <c r="L413" s="2">
        <v>12980</v>
      </c>
    </row>
    <row r="414" spans="1:12" x14ac:dyDescent="0.3">
      <c r="A414" s="2" t="s">
        <v>912</v>
      </c>
      <c r="B414" s="2" t="s">
        <v>554</v>
      </c>
      <c r="C414" s="2" t="s">
        <v>913</v>
      </c>
      <c r="D414" s="2" t="s">
        <v>53</v>
      </c>
      <c r="E414" s="2" t="s">
        <v>68</v>
      </c>
      <c r="F414" s="2" t="s">
        <v>49</v>
      </c>
      <c r="G414" s="2" t="s">
        <v>54</v>
      </c>
      <c r="H414" s="2" t="s">
        <v>19</v>
      </c>
      <c r="I414" s="2">
        <v>2</v>
      </c>
      <c r="J414" s="2">
        <v>1565</v>
      </c>
      <c r="K414" s="2">
        <v>2</v>
      </c>
      <c r="L414" s="2">
        <v>3067.4</v>
      </c>
    </row>
    <row r="415" spans="1:12" x14ac:dyDescent="0.3">
      <c r="A415" s="2" t="s">
        <v>914</v>
      </c>
      <c r="B415" s="2" t="s">
        <v>427</v>
      </c>
      <c r="C415" s="2" t="s">
        <v>915</v>
      </c>
      <c r="D415" s="2" t="s">
        <v>53</v>
      </c>
      <c r="E415" s="2" t="s">
        <v>68</v>
      </c>
      <c r="F415" s="2" t="s">
        <v>49</v>
      </c>
      <c r="G415" s="2" t="s">
        <v>40</v>
      </c>
      <c r="H415" s="2" t="s">
        <v>33</v>
      </c>
      <c r="I415" s="2">
        <v>2</v>
      </c>
      <c r="J415" s="2">
        <v>3305</v>
      </c>
      <c r="K415" s="2">
        <v>5</v>
      </c>
      <c r="L415" s="2">
        <v>6279.5</v>
      </c>
    </row>
    <row r="416" spans="1:12" x14ac:dyDescent="0.3">
      <c r="A416" s="2" t="s">
        <v>916</v>
      </c>
      <c r="B416" s="2" t="s">
        <v>509</v>
      </c>
      <c r="C416" s="2" t="s">
        <v>317</v>
      </c>
      <c r="D416" s="2" t="s">
        <v>30</v>
      </c>
      <c r="E416" s="2" t="s">
        <v>79</v>
      </c>
      <c r="F416" s="2" t="s">
        <v>49</v>
      </c>
      <c r="G416" s="2" t="s">
        <v>54</v>
      </c>
      <c r="H416" s="2" t="s">
        <v>44</v>
      </c>
      <c r="I416" s="2">
        <v>3</v>
      </c>
      <c r="J416" s="2">
        <v>4975</v>
      </c>
      <c r="K416" s="2">
        <v>30</v>
      </c>
      <c r="L416" s="2">
        <v>10447.5</v>
      </c>
    </row>
    <row r="417" spans="1:12" x14ac:dyDescent="0.3">
      <c r="A417" s="2" t="s">
        <v>917</v>
      </c>
      <c r="B417" s="2" t="s">
        <v>159</v>
      </c>
      <c r="C417" s="2" t="s">
        <v>918</v>
      </c>
      <c r="D417" s="2" t="s">
        <v>88</v>
      </c>
      <c r="E417" s="2" t="s">
        <v>48</v>
      </c>
      <c r="F417" s="2" t="s">
        <v>17</v>
      </c>
      <c r="G417" s="2" t="s">
        <v>18</v>
      </c>
      <c r="H417" s="2" t="s">
        <v>33</v>
      </c>
      <c r="I417" s="2">
        <v>5</v>
      </c>
      <c r="J417" s="2">
        <v>2677</v>
      </c>
      <c r="K417" s="2">
        <v>29</v>
      </c>
      <c r="L417" s="2">
        <v>9503.35</v>
      </c>
    </row>
    <row r="418" spans="1:12" x14ac:dyDescent="0.3">
      <c r="A418" s="2" t="s">
        <v>919</v>
      </c>
      <c r="B418" s="2" t="s">
        <v>852</v>
      </c>
      <c r="C418" s="2" t="s">
        <v>52</v>
      </c>
      <c r="D418" s="2" t="s">
        <v>23</v>
      </c>
      <c r="E418" s="2" t="s">
        <v>48</v>
      </c>
      <c r="F418" s="2" t="s">
        <v>32</v>
      </c>
      <c r="G418" s="2" t="s">
        <v>40</v>
      </c>
      <c r="H418" s="2" t="s">
        <v>44</v>
      </c>
      <c r="I418" s="2">
        <v>5</v>
      </c>
      <c r="J418" s="2">
        <v>4095</v>
      </c>
      <c r="K418" s="2">
        <v>0</v>
      </c>
      <c r="L418" s="2">
        <v>20475</v>
      </c>
    </row>
    <row r="419" spans="1:12" x14ac:dyDescent="0.3">
      <c r="A419" s="2" t="s">
        <v>920</v>
      </c>
      <c r="B419" s="2" t="s">
        <v>174</v>
      </c>
      <c r="C419" s="2" t="s">
        <v>921</v>
      </c>
      <c r="D419" s="2" t="s">
        <v>88</v>
      </c>
      <c r="E419" s="2" t="s">
        <v>58</v>
      </c>
      <c r="F419" s="2" t="s">
        <v>25</v>
      </c>
      <c r="G419" s="2" t="s">
        <v>26</v>
      </c>
      <c r="H419" s="2" t="s">
        <v>33</v>
      </c>
      <c r="I419" s="2">
        <v>2</v>
      </c>
      <c r="J419" s="2">
        <v>3623</v>
      </c>
      <c r="K419" s="2">
        <v>13</v>
      </c>
      <c r="L419" s="2">
        <v>6304.02</v>
      </c>
    </row>
    <row r="420" spans="1:12" x14ac:dyDescent="0.3">
      <c r="A420" s="2" t="s">
        <v>922</v>
      </c>
      <c r="B420" s="2" t="s">
        <v>119</v>
      </c>
      <c r="C420" s="2" t="s">
        <v>872</v>
      </c>
      <c r="D420" s="2" t="s">
        <v>53</v>
      </c>
      <c r="E420" s="2" t="s">
        <v>48</v>
      </c>
      <c r="F420" s="2" t="s">
        <v>49</v>
      </c>
      <c r="G420" s="2" t="s">
        <v>62</v>
      </c>
      <c r="H420" s="2" t="s">
        <v>19</v>
      </c>
      <c r="I420" s="2">
        <v>3</v>
      </c>
      <c r="J420" s="2">
        <v>4748</v>
      </c>
      <c r="K420" s="2">
        <v>28</v>
      </c>
      <c r="L420" s="2">
        <v>10255.68</v>
      </c>
    </row>
    <row r="421" spans="1:12" x14ac:dyDescent="0.3">
      <c r="A421" s="2" t="s">
        <v>923</v>
      </c>
      <c r="B421" s="2" t="s">
        <v>60</v>
      </c>
      <c r="C421" s="2" t="s">
        <v>924</v>
      </c>
      <c r="D421" s="2" t="s">
        <v>15</v>
      </c>
      <c r="E421" s="2" t="s">
        <v>16</v>
      </c>
      <c r="F421" s="2" t="s">
        <v>49</v>
      </c>
      <c r="G421" s="2" t="s">
        <v>40</v>
      </c>
      <c r="H421" s="2" t="s">
        <v>75</v>
      </c>
      <c r="I421" s="2">
        <v>2</v>
      </c>
      <c r="J421" s="2">
        <v>4141</v>
      </c>
      <c r="K421" s="2">
        <v>19</v>
      </c>
      <c r="L421" s="2">
        <v>6708.42</v>
      </c>
    </row>
    <row r="422" spans="1:12" x14ac:dyDescent="0.3">
      <c r="A422" s="2" t="s">
        <v>925</v>
      </c>
      <c r="B422" s="2" t="s">
        <v>252</v>
      </c>
      <c r="C422" s="2" t="s">
        <v>404</v>
      </c>
      <c r="D422" s="2" t="s">
        <v>30</v>
      </c>
      <c r="E422" s="2" t="s">
        <v>24</v>
      </c>
      <c r="F422" s="2" t="s">
        <v>25</v>
      </c>
      <c r="G422" s="2" t="s">
        <v>18</v>
      </c>
      <c r="H422" s="2" t="s">
        <v>19</v>
      </c>
      <c r="I422" s="2">
        <v>5</v>
      </c>
      <c r="J422" s="2">
        <v>1605</v>
      </c>
      <c r="K422" s="2">
        <v>1</v>
      </c>
      <c r="L422" s="2">
        <v>7944.75</v>
      </c>
    </row>
    <row r="423" spans="1:12" x14ac:dyDescent="0.3">
      <c r="A423" s="2" t="s">
        <v>926</v>
      </c>
      <c r="B423" s="2" t="s">
        <v>240</v>
      </c>
      <c r="C423" s="2" t="s">
        <v>619</v>
      </c>
      <c r="D423" s="2" t="s">
        <v>30</v>
      </c>
      <c r="E423" s="2" t="s">
        <v>68</v>
      </c>
      <c r="F423" s="2" t="s">
        <v>32</v>
      </c>
      <c r="G423" s="2" t="s">
        <v>26</v>
      </c>
      <c r="H423" s="2" t="s">
        <v>33</v>
      </c>
      <c r="I423" s="2">
        <v>1</v>
      </c>
      <c r="J423" s="2">
        <v>4032</v>
      </c>
      <c r="K423" s="2">
        <v>22</v>
      </c>
      <c r="L423" s="2">
        <v>3144.96</v>
      </c>
    </row>
    <row r="424" spans="1:12" x14ac:dyDescent="0.3">
      <c r="A424" s="2" t="s">
        <v>927</v>
      </c>
      <c r="B424" s="2" t="s">
        <v>928</v>
      </c>
      <c r="C424" s="2" t="s">
        <v>39</v>
      </c>
      <c r="D424" s="2" t="s">
        <v>30</v>
      </c>
      <c r="E424" s="2" t="s">
        <v>16</v>
      </c>
      <c r="F424" s="2" t="s">
        <v>32</v>
      </c>
      <c r="G424" s="2" t="s">
        <v>26</v>
      </c>
      <c r="H424" s="2" t="s">
        <v>33</v>
      </c>
      <c r="I424" s="2">
        <v>5</v>
      </c>
      <c r="J424" s="2">
        <v>4006</v>
      </c>
      <c r="K424" s="2">
        <v>28</v>
      </c>
      <c r="L424" s="2">
        <v>14421.6</v>
      </c>
    </row>
    <row r="425" spans="1:12" x14ac:dyDescent="0.3">
      <c r="A425" s="2" t="s">
        <v>929</v>
      </c>
      <c r="B425" s="2" t="s">
        <v>266</v>
      </c>
      <c r="C425" s="2" t="s">
        <v>356</v>
      </c>
      <c r="D425" s="2" t="s">
        <v>53</v>
      </c>
      <c r="E425" s="2" t="s">
        <v>68</v>
      </c>
      <c r="F425" s="2" t="s">
        <v>25</v>
      </c>
      <c r="G425" s="2" t="s">
        <v>62</v>
      </c>
      <c r="H425" s="2" t="s">
        <v>44</v>
      </c>
      <c r="I425" s="2">
        <v>4</v>
      </c>
      <c r="J425" s="2">
        <v>2430</v>
      </c>
      <c r="K425" s="2">
        <v>3</v>
      </c>
      <c r="L425" s="2">
        <v>9428.4</v>
      </c>
    </row>
    <row r="426" spans="1:12" x14ac:dyDescent="0.3">
      <c r="A426" s="2" t="s">
        <v>930</v>
      </c>
      <c r="B426" s="2" t="s">
        <v>224</v>
      </c>
      <c r="C426" s="2" t="s">
        <v>931</v>
      </c>
      <c r="D426" s="2" t="s">
        <v>53</v>
      </c>
      <c r="E426" s="2" t="s">
        <v>79</v>
      </c>
      <c r="F426" s="2" t="s">
        <v>17</v>
      </c>
      <c r="G426" s="2" t="s">
        <v>40</v>
      </c>
      <c r="H426" s="2" t="s">
        <v>44</v>
      </c>
      <c r="I426" s="2">
        <v>3</v>
      </c>
      <c r="J426" s="2">
        <v>744</v>
      </c>
      <c r="K426" s="2">
        <v>24</v>
      </c>
      <c r="L426" s="2">
        <v>1696.32</v>
      </c>
    </row>
    <row r="427" spans="1:12" x14ac:dyDescent="0.3">
      <c r="A427" s="2" t="s">
        <v>932</v>
      </c>
      <c r="B427" s="2" t="s">
        <v>764</v>
      </c>
      <c r="C427" s="2" t="s">
        <v>419</v>
      </c>
      <c r="D427" s="2" t="s">
        <v>53</v>
      </c>
      <c r="E427" s="2" t="s">
        <v>24</v>
      </c>
      <c r="F427" s="2" t="s">
        <v>25</v>
      </c>
      <c r="G427" s="2" t="s">
        <v>40</v>
      </c>
      <c r="H427" s="2" t="s">
        <v>75</v>
      </c>
      <c r="I427" s="2">
        <v>3</v>
      </c>
      <c r="J427" s="2">
        <v>1975</v>
      </c>
      <c r="K427" s="2">
        <v>4</v>
      </c>
      <c r="L427" s="2">
        <v>5688</v>
      </c>
    </row>
    <row r="428" spans="1:12" x14ac:dyDescent="0.3">
      <c r="A428" s="2" t="s">
        <v>933</v>
      </c>
      <c r="B428" s="2" t="s">
        <v>64</v>
      </c>
      <c r="C428" s="2" t="s">
        <v>913</v>
      </c>
      <c r="D428" s="2" t="s">
        <v>88</v>
      </c>
      <c r="E428" s="2" t="s">
        <v>24</v>
      </c>
      <c r="F428" s="2" t="s">
        <v>32</v>
      </c>
      <c r="G428" s="2" t="s">
        <v>26</v>
      </c>
      <c r="H428" s="2" t="s">
        <v>44</v>
      </c>
      <c r="I428" s="2">
        <v>4</v>
      </c>
      <c r="J428" s="2">
        <v>4675</v>
      </c>
      <c r="K428" s="2">
        <v>30</v>
      </c>
      <c r="L428" s="2">
        <v>13090</v>
      </c>
    </row>
    <row r="429" spans="1:12" x14ac:dyDescent="0.3">
      <c r="A429" s="2" t="s">
        <v>934</v>
      </c>
      <c r="B429" s="2" t="s">
        <v>889</v>
      </c>
      <c r="C429" s="2" t="s">
        <v>454</v>
      </c>
      <c r="D429" s="2" t="s">
        <v>53</v>
      </c>
      <c r="E429" s="2" t="s">
        <v>24</v>
      </c>
      <c r="F429" s="2" t="s">
        <v>25</v>
      </c>
      <c r="G429" s="2" t="s">
        <v>40</v>
      </c>
      <c r="H429" s="2" t="s">
        <v>33</v>
      </c>
      <c r="I429" s="2">
        <v>2</v>
      </c>
      <c r="J429" s="2">
        <v>598</v>
      </c>
      <c r="K429" s="2">
        <v>10</v>
      </c>
      <c r="L429" s="2">
        <v>1076.4000000000001</v>
      </c>
    </row>
    <row r="430" spans="1:12" x14ac:dyDescent="0.3">
      <c r="A430" s="2" t="s">
        <v>935</v>
      </c>
      <c r="B430" s="2" t="s">
        <v>208</v>
      </c>
      <c r="C430" s="2" t="s">
        <v>936</v>
      </c>
      <c r="D430" s="2" t="s">
        <v>15</v>
      </c>
      <c r="E430" s="2" t="s">
        <v>68</v>
      </c>
      <c r="F430" s="2" t="s">
        <v>25</v>
      </c>
      <c r="G430" s="2" t="s">
        <v>26</v>
      </c>
      <c r="H430" s="2" t="s">
        <v>44</v>
      </c>
      <c r="I430" s="2">
        <v>5</v>
      </c>
      <c r="J430" s="2">
        <v>2062</v>
      </c>
      <c r="K430" s="2">
        <v>23</v>
      </c>
      <c r="L430" s="2">
        <v>7938.7</v>
      </c>
    </row>
    <row r="431" spans="1:12" x14ac:dyDescent="0.3">
      <c r="A431" s="2" t="s">
        <v>937</v>
      </c>
      <c r="B431" s="2" t="s">
        <v>734</v>
      </c>
      <c r="C431" s="2" t="s">
        <v>836</v>
      </c>
      <c r="D431" s="2" t="s">
        <v>88</v>
      </c>
      <c r="E431" s="2" t="s">
        <v>31</v>
      </c>
      <c r="F431" s="2" t="s">
        <v>32</v>
      </c>
      <c r="G431" s="2" t="s">
        <v>26</v>
      </c>
      <c r="H431" s="2" t="s">
        <v>19</v>
      </c>
      <c r="I431" s="2">
        <v>3</v>
      </c>
      <c r="J431" s="2">
        <v>4875</v>
      </c>
      <c r="K431" s="2">
        <v>29</v>
      </c>
      <c r="L431" s="2">
        <v>10383.75</v>
      </c>
    </row>
    <row r="432" spans="1:12" x14ac:dyDescent="0.3">
      <c r="A432" s="2" t="s">
        <v>938</v>
      </c>
      <c r="B432" s="2" t="s">
        <v>153</v>
      </c>
      <c r="C432" s="2" t="s">
        <v>214</v>
      </c>
      <c r="D432" s="2" t="s">
        <v>88</v>
      </c>
      <c r="E432" s="2" t="s">
        <v>48</v>
      </c>
      <c r="F432" s="2" t="s">
        <v>17</v>
      </c>
      <c r="G432" s="2" t="s">
        <v>62</v>
      </c>
      <c r="H432" s="2" t="s">
        <v>33</v>
      </c>
      <c r="I432" s="2">
        <v>4</v>
      </c>
      <c r="J432" s="2">
        <v>2575</v>
      </c>
      <c r="K432" s="2">
        <v>17</v>
      </c>
      <c r="L432" s="2">
        <v>8549</v>
      </c>
    </row>
    <row r="433" spans="1:12" x14ac:dyDescent="0.3">
      <c r="A433" s="2" t="s">
        <v>939</v>
      </c>
      <c r="B433" s="2" t="s">
        <v>940</v>
      </c>
      <c r="C433" s="2" t="s">
        <v>860</v>
      </c>
      <c r="D433" s="2" t="s">
        <v>30</v>
      </c>
      <c r="E433" s="2" t="s">
        <v>31</v>
      </c>
      <c r="F433" s="2" t="s">
        <v>25</v>
      </c>
      <c r="G433" s="2" t="s">
        <v>18</v>
      </c>
      <c r="H433" s="2" t="s">
        <v>75</v>
      </c>
      <c r="I433" s="2">
        <v>3</v>
      </c>
      <c r="J433" s="2">
        <v>4597</v>
      </c>
      <c r="K433" s="2">
        <v>15</v>
      </c>
      <c r="L433" s="2">
        <v>11722.35</v>
      </c>
    </row>
    <row r="434" spans="1:12" x14ac:dyDescent="0.3">
      <c r="A434" s="2" t="s">
        <v>941</v>
      </c>
      <c r="B434" s="2" t="s">
        <v>575</v>
      </c>
      <c r="C434" s="2" t="s">
        <v>942</v>
      </c>
      <c r="D434" s="2" t="s">
        <v>23</v>
      </c>
      <c r="E434" s="2" t="s">
        <v>24</v>
      </c>
      <c r="F434" s="2" t="s">
        <v>32</v>
      </c>
      <c r="G434" s="2" t="s">
        <v>18</v>
      </c>
      <c r="H434" s="2" t="s">
        <v>19</v>
      </c>
      <c r="I434" s="2">
        <v>5</v>
      </c>
      <c r="J434" s="2">
        <v>2439</v>
      </c>
      <c r="K434" s="2">
        <v>22</v>
      </c>
      <c r="L434" s="2">
        <v>9512.1</v>
      </c>
    </row>
    <row r="435" spans="1:12" x14ac:dyDescent="0.3">
      <c r="A435" s="2" t="s">
        <v>943</v>
      </c>
      <c r="B435" s="2" t="s">
        <v>202</v>
      </c>
      <c r="C435" s="2" t="s">
        <v>421</v>
      </c>
      <c r="D435" s="2" t="s">
        <v>30</v>
      </c>
      <c r="E435" s="2" t="s">
        <v>48</v>
      </c>
      <c r="F435" s="2" t="s">
        <v>32</v>
      </c>
      <c r="G435" s="2" t="s">
        <v>18</v>
      </c>
      <c r="H435" s="2" t="s">
        <v>75</v>
      </c>
      <c r="I435" s="2">
        <v>3</v>
      </c>
      <c r="J435" s="2">
        <v>3455</v>
      </c>
      <c r="K435" s="2">
        <v>15</v>
      </c>
      <c r="L435" s="2">
        <v>8810.25</v>
      </c>
    </row>
    <row r="436" spans="1:12" x14ac:dyDescent="0.3">
      <c r="A436" s="2" t="s">
        <v>944</v>
      </c>
      <c r="B436" s="2" t="s">
        <v>290</v>
      </c>
      <c r="C436" s="2" t="s">
        <v>945</v>
      </c>
      <c r="D436" s="2" t="s">
        <v>30</v>
      </c>
      <c r="E436" s="2" t="s">
        <v>58</v>
      </c>
      <c r="F436" s="2" t="s">
        <v>17</v>
      </c>
      <c r="G436" s="2" t="s">
        <v>62</v>
      </c>
      <c r="H436" s="2" t="s">
        <v>19</v>
      </c>
      <c r="I436" s="2">
        <v>4</v>
      </c>
      <c r="J436" s="2">
        <v>1645</v>
      </c>
      <c r="K436" s="2">
        <v>10</v>
      </c>
      <c r="L436" s="2">
        <v>5922</v>
      </c>
    </row>
    <row r="437" spans="1:12" x14ac:dyDescent="0.3">
      <c r="A437" s="2" t="s">
        <v>946</v>
      </c>
      <c r="B437" s="2" t="s">
        <v>446</v>
      </c>
      <c r="C437" s="2" t="s">
        <v>22</v>
      </c>
      <c r="D437" s="2" t="s">
        <v>53</v>
      </c>
      <c r="E437" s="2" t="s">
        <v>48</v>
      </c>
      <c r="F437" s="2" t="s">
        <v>32</v>
      </c>
      <c r="G437" s="2" t="s">
        <v>26</v>
      </c>
      <c r="H437" s="2" t="s">
        <v>19</v>
      </c>
      <c r="I437" s="2">
        <v>3</v>
      </c>
      <c r="J437" s="2">
        <v>3822</v>
      </c>
      <c r="K437" s="2">
        <v>12</v>
      </c>
      <c r="L437" s="2">
        <v>10090.08</v>
      </c>
    </row>
    <row r="438" spans="1:12" x14ac:dyDescent="0.3">
      <c r="A438" s="2" t="s">
        <v>947</v>
      </c>
      <c r="B438" s="2" t="s">
        <v>295</v>
      </c>
      <c r="C438" s="2" t="s">
        <v>291</v>
      </c>
      <c r="D438" s="2" t="s">
        <v>15</v>
      </c>
      <c r="E438" s="2" t="s">
        <v>48</v>
      </c>
      <c r="F438" s="2" t="s">
        <v>25</v>
      </c>
      <c r="G438" s="2" t="s">
        <v>18</v>
      </c>
      <c r="H438" s="2" t="s">
        <v>75</v>
      </c>
      <c r="I438" s="2">
        <v>5</v>
      </c>
      <c r="J438" s="2">
        <v>777</v>
      </c>
      <c r="K438" s="2">
        <v>1</v>
      </c>
      <c r="L438" s="2">
        <v>3846.15</v>
      </c>
    </row>
    <row r="439" spans="1:12" x14ac:dyDescent="0.3">
      <c r="A439" s="2" t="s">
        <v>948</v>
      </c>
      <c r="B439" s="2" t="s">
        <v>949</v>
      </c>
      <c r="C439" s="2" t="s">
        <v>721</v>
      </c>
      <c r="D439" s="2" t="s">
        <v>15</v>
      </c>
      <c r="E439" s="2" t="s">
        <v>68</v>
      </c>
      <c r="F439" s="2" t="s">
        <v>32</v>
      </c>
      <c r="G439" s="2" t="s">
        <v>40</v>
      </c>
      <c r="H439" s="2" t="s">
        <v>75</v>
      </c>
      <c r="I439" s="2">
        <v>4</v>
      </c>
      <c r="J439" s="2">
        <v>322</v>
      </c>
      <c r="K439" s="2">
        <v>14</v>
      </c>
      <c r="L439" s="2">
        <v>1107.68</v>
      </c>
    </row>
    <row r="440" spans="1:12" x14ac:dyDescent="0.3">
      <c r="A440" s="2" t="s">
        <v>950</v>
      </c>
      <c r="B440" s="2" t="s">
        <v>182</v>
      </c>
      <c r="C440" s="2" t="s">
        <v>567</v>
      </c>
      <c r="D440" s="2" t="s">
        <v>53</v>
      </c>
      <c r="E440" s="2" t="s">
        <v>68</v>
      </c>
      <c r="F440" s="2" t="s">
        <v>40</v>
      </c>
      <c r="G440" s="2" t="s">
        <v>40</v>
      </c>
      <c r="H440" s="2" t="s">
        <v>19</v>
      </c>
      <c r="I440" s="2">
        <v>1</v>
      </c>
      <c r="J440" s="2">
        <v>1721</v>
      </c>
      <c r="K440" s="2">
        <v>15</v>
      </c>
      <c r="L440" s="2">
        <v>1462.85</v>
      </c>
    </row>
    <row r="441" spans="1:12" x14ac:dyDescent="0.3">
      <c r="A441" s="2" t="s">
        <v>951</v>
      </c>
      <c r="B441" s="2" t="s">
        <v>210</v>
      </c>
      <c r="C441" s="2" t="s">
        <v>342</v>
      </c>
      <c r="D441" s="2" t="s">
        <v>30</v>
      </c>
      <c r="E441" s="2" t="s">
        <v>24</v>
      </c>
      <c r="F441" s="2" t="s">
        <v>32</v>
      </c>
      <c r="G441" s="2" t="s">
        <v>26</v>
      </c>
      <c r="H441" s="2" t="s">
        <v>75</v>
      </c>
      <c r="I441" s="2">
        <v>4</v>
      </c>
      <c r="J441" s="2">
        <v>3204</v>
      </c>
      <c r="K441" s="2">
        <v>17</v>
      </c>
      <c r="L441" s="2">
        <v>10637.28</v>
      </c>
    </row>
    <row r="442" spans="1:12" x14ac:dyDescent="0.3">
      <c r="A442" s="2" t="s">
        <v>952</v>
      </c>
      <c r="B442" s="2" t="s">
        <v>174</v>
      </c>
      <c r="C442" s="2" t="s">
        <v>931</v>
      </c>
      <c r="D442" s="2" t="s">
        <v>53</v>
      </c>
      <c r="E442" s="2" t="s">
        <v>31</v>
      </c>
      <c r="F442" s="2" t="s">
        <v>32</v>
      </c>
      <c r="G442" s="2" t="s">
        <v>26</v>
      </c>
      <c r="H442" s="2" t="s">
        <v>33</v>
      </c>
      <c r="I442" s="2">
        <v>3</v>
      </c>
      <c r="J442" s="2">
        <v>3211</v>
      </c>
      <c r="K442" s="2">
        <v>19</v>
      </c>
      <c r="L442" s="2">
        <v>7802.73</v>
      </c>
    </row>
    <row r="443" spans="1:12" x14ac:dyDescent="0.3">
      <c r="A443" s="2" t="s">
        <v>953</v>
      </c>
      <c r="B443" s="2" t="s">
        <v>375</v>
      </c>
      <c r="C443" s="2" t="s">
        <v>91</v>
      </c>
      <c r="D443" s="2" t="s">
        <v>88</v>
      </c>
      <c r="E443" s="2" t="s">
        <v>31</v>
      </c>
      <c r="F443" s="2" t="s">
        <v>25</v>
      </c>
      <c r="G443" s="2" t="s">
        <v>18</v>
      </c>
      <c r="H443" s="2" t="s">
        <v>33</v>
      </c>
      <c r="I443" s="2">
        <v>1</v>
      </c>
      <c r="J443" s="2">
        <v>4033</v>
      </c>
      <c r="K443" s="2">
        <v>0</v>
      </c>
      <c r="L443" s="2">
        <v>4033</v>
      </c>
    </row>
    <row r="444" spans="1:12" x14ac:dyDescent="0.3">
      <c r="A444" s="2" t="s">
        <v>954</v>
      </c>
      <c r="B444" s="2" t="s">
        <v>895</v>
      </c>
      <c r="C444" s="2" t="s">
        <v>955</v>
      </c>
      <c r="D444" s="2" t="s">
        <v>15</v>
      </c>
      <c r="E444" s="2" t="s">
        <v>79</v>
      </c>
      <c r="F444" s="2" t="s">
        <v>40</v>
      </c>
      <c r="G444" s="2" t="s">
        <v>18</v>
      </c>
      <c r="H444" s="2" t="s">
        <v>19</v>
      </c>
      <c r="I444" s="2">
        <v>3</v>
      </c>
      <c r="J444" s="2">
        <v>2478</v>
      </c>
      <c r="K444" s="2">
        <v>17</v>
      </c>
      <c r="L444" s="2">
        <v>6170.22</v>
      </c>
    </row>
    <row r="445" spans="1:12" x14ac:dyDescent="0.3">
      <c r="A445" s="2" t="s">
        <v>956</v>
      </c>
      <c r="B445" s="2" t="s">
        <v>509</v>
      </c>
      <c r="C445" s="2" t="s">
        <v>117</v>
      </c>
      <c r="D445" s="2" t="s">
        <v>30</v>
      </c>
      <c r="E445" s="2" t="s">
        <v>58</v>
      </c>
      <c r="F445" s="2" t="s">
        <v>32</v>
      </c>
      <c r="G445" s="2" t="s">
        <v>54</v>
      </c>
      <c r="H445" s="2" t="s">
        <v>44</v>
      </c>
      <c r="I445" s="2">
        <v>5</v>
      </c>
      <c r="J445" s="2">
        <v>440</v>
      </c>
      <c r="K445" s="2">
        <v>16</v>
      </c>
      <c r="L445" s="2">
        <v>1848</v>
      </c>
    </row>
    <row r="446" spans="1:12" x14ac:dyDescent="0.3">
      <c r="A446" s="2" t="s">
        <v>957</v>
      </c>
      <c r="B446" s="2" t="s">
        <v>958</v>
      </c>
      <c r="C446" s="2" t="s">
        <v>416</v>
      </c>
      <c r="D446" s="2" t="s">
        <v>53</v>
      </c>
      <c r="E446" s="2" t="s">
        <v>68</v>
      </c>
      <c r="F446" s="2" t="s">
        <v>17</v>
      </c>
      <c r="G446" s="2" t="s">
        <v>62</v>
      </c>
      <c r="H446" s="2" t="s">
        <v>75</v>
      </c>
      <c r="I446" s="2">
        <v>3</v>
      </c>
      <c r="J446" s="2">
        <v>473</v>
      </c>
      <c r="K446" s="2">
        <v>2</v>
      </c>
      <c r="L446" s="2">
        <v>1390.62</v>
      </c>
    </row>
    <row r="447" spans="1:12" x14ac:dyDescent="0.3">
      <c r="A447" s="2" t="s">
        <v>959</v>
      </c>
      <c r="B447" s="2" t="s">
        <v>243</v>
      </c>
      <c r="C447" s="2" t="s">
        <v>960</v>
      </c>
      <c r="D447" s="2" t="s">
        <v>23</v>
      </c>
      <c r="E447" s="2" t="s">
        <v>16</v>
      </c>
      <c r="F447" s="2" t="s">
        <v>17</v>
      </c>
      <c r="G447" s="2" t="s">
        <v>26</v>
      </c>
      <c r="H447" s="2" t="s">
        <v>19</v>
      </c>
      <c r="I447" s="2">
        <v>2</v>
      </c>
      <c r="J447" s="2">
        <v>2568</v>
      </c>
      <c r="K447" s="2">
        <v>26</v>
      </c>
      <c r="L447" s="2">
        <v>3800.64</v>
      </c>
    </row>
    <row r="448" spans="1:12" x14ac:dyDescent="0.3">
      <c r="A448" s="2" t="s">
        <v>961</v>
      </c>
      <c r="B448" s="2" t="s">
        <v>962</v>
      </c>
      <c r="C448" s="2" t="s">
        <v>241</v>
      </c>
      <c r="D448" s="2" t="s">
        <v>53</v>
      </c>
      <c r="E448" s="2" t="s">
        <v>48</v>
      </c>
      <c r="F448" s="2" t="s">
        <v>40</v>
      </c>
      <c r="G448" s="2" t="s">
        <v>40</v>
      </c>
      <c r="H448" s="2" t="s">
        <v>75</v>
      </c>
      <c r="I448" s="2">
        <v>4</v>
      </c>
      <c r="J448" s="2">
        <v>4368</v>
      </c>
      <c r="K448" s="2">
        <v>2</v>
      </c>
      <c r="L448" s="2">
        <v>17122.560000000001</v>
      </c>
    </row>
    <row r="449" spans="1:12" x14ac:dyDescent="0.3">
      <c r="A449" s="2" t="s">
        <v>963</v>
      </c>
      <c r="B449" s="2" t="s">
        <v>592</v>
      </c>
      <c r="C449" s="2" t="s">
        <v>477</v>
      </c>
      <c r="D449" s="2" t="s">
        <v>88</v>
      </c>
      <c r="E449" s="2" t="s">
        <v>31</v>
      </c>
      <c r="F449" s="2" t="s">
        <v>17</v>
      </c>
      <c r="G449" s="2" t="s">
        <v>26</v>
      </c>
      <c r="H449" s="2" t="s">
        <v>44</v>
      </c>
      <c r="I449" s="2">
        <v>1</v>
      </c>
      <c r="J449" s="2">
        <v>248</v>
      </c>
      <c r="K449" s="2">
        <v>23</v>
      </c>
      <c r="L449" s="2">
        <v>190.96</v>
      </c>
    </row>
    <row r="450" spans="1:12" x14ac:dyDescent="0.3">
      <c r="A450" s="2" t="s">
        <v>964</v>
      </c>
      <c r="B450" s="2" t="s">
        <v>965</v>
      </c>
      <c r="C450" s="2" t="s">
        <v>649</v>
      </c>
      <c r="D450" s="2" t="s">
        <v>88</v>
      </c>
      <c r="E450" s="2" t="s">
        <v>79</v>
      </c>
      <c r="F450" s="2" t="s">
        <v>40</v>
      </c>
      <c r="G450" s="2" t="s">
        <v>62</v>
      </c>
      <c r="H450" s="2" t="s">
        <v>19</v>
      </c>
      <c r="I450" s="2">
        <v>4</v>
      </c>
      <c r="J450" s="2">
        <v>4230</v>
      </c>
      <c r="K450" s="2">
        <v>14</v>
      </c>
      <c r="L450" s="2">
        <v>14551.2</v>
      </c>
    </row>
    <row r="451" spans="1:12" x14ac:dyDescent="0.3">
      <c r="A451" s="2" t="s">
        <v>966</v>
      </c>
      <c r="B451" s="2" t="s">
        <v>474</v>
      </c>
      <c r="C451" s="2" t="s">
        <v>678</v>
      </c>
      <c r="D451" s="2" t="s">
        <v>88</v>
      </c>
      <c r="E451" s="2" t="s">
        <v>79</v>
      </c>
      <c r="F451" s="2" t="s">
        <v>49</v>
      </c>
      <c r="G451" s="2" t="s">
        <v>62</v>
      </c>
      <c r="H451" s="2" t="s">
        <v>44</v>
      </c>
      <c r="I451" s="2">
        <v>1</v>
      </c>
      <c r="J451" s="2">
        <v>1627</v>
      </c>
      <c r="K451" s="2">
        <v>1</v>
      </c>
      <c r="L451" s="2">
        <v>1610.73</v>
      </c>
    </row>
    <row r="452" spans="1:12" x14ac:dyDescent="0.3">
      <c r="A452" s="2" t="s">
        <v>967</v>
      </c>
      <c r="B452" s="2" t="s">
        <v>366</v>
      </c>
      <c r="C452" s="2" t="s">
        <v>968</v>
      </c>
      <c r="D452" s="2" t="s">
        <v>88</v>
      </c>
      <c r="E452" s="2" t="s">
        <v>68</v>
      </c>
      <c r="F452" s="2" t="s">
        <v>49</v>
      </c>
      <c r="G452" s="2" t="s">
        <v>62</v>
      </c>
      <c r="H452" s="2" t="s">
        <v>44</v>
      </c>
      <c r="I452" s="2">
        <v>5</v>
      </c>
      <c r="J452" s="2">
        <v>420</v>
      </c>
      <c r="K452" s="2">
        <v>10</v>
      </c>
      <c r="L452" s="2">
        <v>1890</v>
      </c>
    </row>
    <row r="453" spans="1:12" x14ac:dyDescent="0.3">
      <c r="A453" s="2" t="s">
        <v>969</v>
      </c>
      <c r="B453" s="2" t="s">
        <v>517</v>
      </c>
      <c r="C453" s="2" t="s">
        <v>281</v>
      </c>
      <c r="D453" s="2" t="s">
        <v>15</v>
      </c>
      <c r="E453" s="2" t="s">
        <v>79</v>
      </c>
      <c r="F453" s="2" t="s">
        <v>25</v>
      </c>
      <c r="G453" s="2" t="s">
        <v>26</v>
      </c>
      <c r="H453" s="2" t="s">
        <v>75</v>
      </c>
      <c r="I453" s="2">
        <v>4</v>
      </c>
      <c r="J453" s="2">
        <v>4289</v>
      </c>
      <c r="K453" s="2">
        <v>19</v>
      </c>
      <c r="L453" s="2">
        <v>13896.36</v>
      </c>
    </row>
    <row r="454" spans="1:12" x14ac:dyDescent="0.3">
      <c r="A454" s="2" t="s">
        <v>970</v>
      </c>
      <c r="B454" s="2" t="s">
        <v>901</v>
      </c>
      <c r="C454" s="2" t="s">
        <v>253</v>
      </c>
      <c r="D454" s="2" t="s">
        <v>15</v>
      </c>
      <c r="E454" s="2" t="s">
        <v>68</v>
      </c>
      <c r="F454" s="2" t="s">
        <v>49</v>
      </c>
      <c r="G454" s="2" t="s">
        <v>18</v>
      </c>
      <c r="H454" s="2" t="s">
        <v>19</v>
      </c>
      <c r="I454" s="2">
        <v>4</v>
      </c>
      <c r="J454" s="2">
        <v>3825</v>
      </c>
      <c r="K454" s="2">
        <v>22</v>
      </c>
      <c r="L454" s="2">
        <v>11934</v>
      </c>
    </row>
    <row r="455" spans="1:12" x14ac:dyDescent="0.3">
      <c r="A455" s="2" t="s">
        <v>971</v>
      </c>
      <c r="B455" s="2" t="s">
        <v>227</v>
      </c>
      <c r="C455" s="2" t="s">
        <v>127</v>
      </c>
      <c r="D455" s="2" t="s">
        <v>15</v>
      </c>
      <c r="E455" s="2" t="s">
        <v>58</v>
      </c>
      <c r="F455" s="2" t="s">
        <v>49</v>
      </c>
      <c r="G455" s="2" t="s">
        <v>18</v>
      </c>
      <c r="H455" s="2" t="s">
        <v>33</v>
      </c>
      <c r="I455" s="2">
        <v>5</v>
      </c>
      <c r="J455" s="2">
        <v>1019</v>
      </c>
      <c r="K455" s="2">
        <v>20</v>
      </c>
      <c r="L455" s="2">
        <v>4076</v>
      </c>
    </row>
    <row r="456" spans="1:12" x14ac:dyDescent="0.3">
      <c r="A456" s="2" t="s">
        <v>972</v>
      </c>
      <c r="B456" s="2" t="s">
        <v>731</v>
      </c>
      <c r="C456" s="2" t="s">
        <v>902</v>
      </c>
      <c r="D456" s="2" t="s">
        <v>53</v>
      </c>
      <c r="E456" s="2" t="s">
        <v>24</v>
      </c>
      <c r="F456" s="2" t="s">
        <v>17</v>
      </c>
      <c r="G456" s="2" t="s">
        <v>62</v>
      </c>
      <c r="H456" s="2" t="s">
        <v>75</v>
      </c>
      <c r="I456" s="2">
        <v>5</v>
      </c>
      <c r="J456" s="2">
        <v>1363</v>
      </c>
      <c r="K456" s="2">
        <v>18</v>
      </c>
      <c r="L456" s="2">
        <v>5588.3</v>
      </c>
    </row>
    <row r="457" spans="1:12" x14ac:dyDescent="0.3">
      <c r="A457" s="2" t="s">
        <v>973</v>
      </c>
      <c r="B457" s="2" t="s">
        <v>974</v>
      </c>
      <c r="C457" s="2" t="s">
        <v>570</v>
      </c>
      <c r="D457" s="2" t="s">
        <v>30</v>
      </c>
      <c r="E457" s="2" t="s">
        <v>79</v>
      </c>
      <c r="F457" s="2" t="s">
        <v>40</v>
      </c>
      <c r="G457" s="2" t="s">
        <v>26</v>
      </c>
      <c r="H457" s="2" t="s">
        <v>33</v>
      </c>
      <c r="I457" s="2">
        <v>4</v>
      </c>
      <c r="J457" s="2">
        <v>4972</v>
      </c>
      <c r="K457" s="2">
        <v>20</v>
      </c>
      <c r="L457" s="2">
        <v>15910.4</v>
      </c>
    </row>
    <row r="458" spans="1:12" x14ac:dyDescent="0.3">
      <c r="A458" s="2" t="s">
        <v>975</v>
      </c>
      <c r="B458" s="2" t="s">
        <v>976</v>
      </c>
      <c r="C458" s="2" t="s">
        <v>977</v>
      </c>
      <c r="D458" s="2" t="s">
        <v>30</v>
      </c>
      <c r="E458" s="2" t="s">
        <v>24</v>
      </c>
      <c r="F458" s="2" t="s">
        <v>25</v>
      </c>
      <c r="G458" s="2" t="s">
        <v>26</v>
      </c>
      <c r="H458" s="2" t="s">
        <v>44</v>
      </c>
      <c r="I458" s="2">
        <v>1</v>
      </c>
      <c r="J458" s="2">
        <v>1562</v>
      </c>
      <c r="K458" s="2">
        <v>4</v>
      </c>
      <c r="L458" s="2">
        <v>1499.52</v>
      </c>
    </row>
    <row r="459" spans="1:12" x14ac:dyDescent="0.3">
      <c r="A459" s="2" t="s">
        <v>978</v>
      </c>
      <c r="B459" s="2" t="s">
        <v>205</v>
      </c>
      <c r="C459" s="2" t="s">
        <v>325</v>
      </c>
      <c r="D459" s="2" t="s">
        <v>53</v>
      </c>
      <c r="E459" s="2" t="s">
        <v>48</v>
      </c>
      <c r="F459" s="2" t="s">
        <v>32</v>
      </c>
      <c r="G459" s="2" t="s">
        <v>62</v>
      </c>
      <c r="H459" s="2" t="s">
        <v>33</v>
      </c>
      <c r="I459" s="2">
        <v>2</v>
      </c>
      <c r="J459" s="2">
        <v>1984</v>
      </c>
      <c r="K459" s="2">
        <v>9</v>
      </c>
      <c r="L459" s="2">
        <v>3610.88</v>
      </c>
    </row>
    <row r="460" spans="1:12" x14ac:dyDescent="0.3">
      <c r="A460" s="2" t="s">
        <v>979</v>
      </c>
      <c r="B460" s="2" t="s">
        <v>980</v>
      </c>
      <c r="C460" s="2" t="s">
        <v>175</v>
      </c>
      <c r="D460" s="2" t="s">
        <v>15</v>
      </c>
      <c r="E460" s="2" t="s">
        <v>58</v>
      </c>
      <c r="F460" s="2" t="s">
        <v>17</v>
      </c>
      <c r="G460" s="2" t="s">
        <v>26</v>
      </c>
      <c r="H460" s="2" t="s">
        <v>44</v>
      </c>
      <c r="I460" s="2">
        <v>4</v>
      </c>
      <c r="J460" s="2">
        <v>3567</v>
      </c>
      <c r="K460" s="2">
        <v>16</v>
      </c>
      <c r="L460" s="2">
        <v>11985.12</v>
      </c>
    </row>
    <row r="461" spans="1:12" x14ac:dyDescent="0.3">
      <c r="A461" s="2" t="s">
        <v>981</v>
      </c>
      <c r="B461" s="2" t="s">
        <v>904</v>
      </c>
      <c r="C461" s="2" t="s">
        <v>102</v>
      </c>
      <c r="D461" s="2" t="s">
        <v>15</v>
      </c>
      <c r="E461" s="2" t="s">
        <v>24</v>
      </c>
      <c r="F461" s="2" t="s">
        <v>17</v>
      </c>
      <c r="G461" s="2" t="s">
        <v>18</v>
      </c>
      <c r="H461" s="2" t="s">
        <v>75</v>
      </c>
      <c r="I461" s="2">
        <v>1</v>
      </c>
      <c r="J461" s="2">
        <v>4775</v>
      </c>
      <c r="K461" s="2">
        <v>20</v>
      </c>
      <c r="L461" s="2">
        <v>3820</v>
      </c>
    </row>
    <row r="462" spans="1:12" x14ac:dyDescent="0.3">
      <c r="A462" s="2" t="s">
        <v>982</v>
      </c>
      <c r="B462" s="2" t="s">
        <v>272</v>
      </c>
      <c r="C462" s="2" t="s">
        <v>983</v>
      </c>
      <c r="D462" s="2" t="s">
        <v>30</v>
      </c>
      <c r="E462" s="2" t="s">
        <v>48</v>
      </c>
      <c r="F462" s="2" t="s">
        <v>40</v>
      </c>
      <c r="G462" s="2" t="s">
        <v>18</v>
      </c>
      <c r="H462" s="2" t="s">
        <v>75</v>
      </c>
      <c r="I462" s="2">
        <v>5</v>
      </c>
      <c r="J462" s="2">
        <v>4999</v>
      </c>
      <c r="K462" s="2">
        <v>29</v>
      </c>
      <c r="L462" s="2">
        <v>17746.45</v>
      </c>
    </row>
    <row r="463" spans="1:12" x14ac:dyDescent="0.3">
      <c r="A463" s="2" t="s">
        <v>984</v>
      </c>
      <c r="B463" s="2" t="s">
        <v>985</v>
      </c>
      <c r="C463" s="2" t="s">
        <v>194</v>
      </c>
      <c r="D463" s="2" t="s">
        <v>15</v>
      </c>
      <c r="E463" s="2" t="s">
        <v>58</v>
      </c>
      <c r="F463" s="2" t="s">
        <v>17</v>
      </c>
      <c r="G463" s="2" t="s">
        <v>18</v>
      </c>
      <c r="H463" s="2" t="s">
        <v>75</v>
      </c>
      <c r="I463" s="2">
        <v>4</v>
      </c>
      <c r="J463" s="2">
        <v>264</v>
      </c>
      <c r="K463" s="2">
        <v>19</v>
      </c>
      <c r="L463" s="2">
        <v>855.36</v>
      </c>
    </row>
    <row r="464" spans="1:12" x14ac:dyDescent="0.3">
      <c r="A464" s="2" t="s">
        <v>986</v>
      </c>
      <c r="B464" s="2" t="s">
        <v>987</v>
      </c>
      <c r="C464" s="2" t="s">
        <v>880</v>
      </c>
      <c r="D464" s="2" t="s">
        <v>88</v>
      </c>
      <c r="E464" s="2" t="s">
        <v>31</v>
      </c>
      <c r="F464" s="2" t="s">
        <v>49</v>
      </c>
      <c r="G464" s="2" t="s">
        <v>40</v>
      </c>
      <c r="H464" s="2" t="s">
        <v>19</v>
      </c>
      <c r="I464" s="2">
        <v>3</v>
      </c>
      <c r="J464" s="2">
        <v>3065</v>
      </c>
      <c r="K464" s="2">
        <v>9</v>
      </c>
      <c r="L464" s="2">
        <v>8367.4500000000007</v>
      </c>
    </row>
    <row r="465" spans="1:12" x14ac:dyDescent="0.3">
      <c r="A465" s="2" t="s">
        <v>988</v>
      </c>
      <c r="B465" s="2" t="s">
        <v>989</v>
      </c>
      <c r="C465" s="2" t="s">
        <v>367</v>
      </c>
      <c r="D465" s="2" t="s">
        <v>53</v>
      </c>
      <c r="E465" s="2" t="s">
        <v>31</v>
      </c>
      <c r="F465" s="2" t="s">
        <v>25</v>
      </c>
      <c r="G465" s="2" t="s">
        <v>62</v>
      </c>
      <c r="H465" s="2" t="s">
        <v>75</v>
      </c>
      <c r="I465" s="2">
        <v>4</v>
      </c>
      <c r="J465" s="2">
        <v>1853</v>
      </c>
      <c r="K465" s="2">
        <v>18</v>
      </c>
      <c r="L465" s="2">
        <v>6077.84</v>
      </c>
    </row>
    <row r="466" spans="1:12" x14ac:dyDescent="0.3">
      <c r="A466" s="2" t="s">
        <v>990</v>
      </c>
      <c r="B466" s="2" t="s">
        <v>991</v>
      </c>
      <c r="C466" s="2" t="s">
        <v>29</v>
      </c>
      <c r="D466" s="2" t="s">
        <v>15</v>
      </c>
      <c r="E466" s="2" t="s">
        <v>58</v>
      </c>
      <c r="F466" s="2" t="s">
        <v>17</v>
      </c>
      <c r="G466" s="2" t="s">
        <v>40</v>
      </c>
      <c r="H466" s="2" t="s">
        <v>44</v>
      </c>
      <c r="I466" s="2">
        <v>1</v>
      </c>
      <c r="J466" s="2">
        <v>2058</v>
      </c>
      <c r="K466" s="2">
        <v>15</v>
      </c>
      <c r="L466" s="2">
        <v>1749.3</v>
      </c>
    </row>
    <row r="467" spans="1:12" x14ac:dyDescent="0.3">
      <c r="A467" s="2" t="s">
        <v>992</v>
      </c>
      <c r="B467" s="2" t="s">
        <v>330</v>
      </c>
      <c r="C467" s="2" t="s">
        <v>197</v>
      </c>
      <c r="D467" s="2" t="s">
        <v>30</v>
      </c>
      <c r="E467" s="2" t="s">
        <v>48</v>
      </c>
      <c r="F467" s="2" t="s">
        <v>17</v>
      </c>
      <c r="G467" s="2" t="s">
        <v>54</v>
      </c>
      <c r="H467" s="2" t="s">
        <v>44</v>
      </c>
      <c r="I467" s="2">
        <v>1</v>
      </c>
      <c r="J467" s="2">
        <v>2959</v>
      </c>
      <c r="K467" s="2">
        <v>18</v>
      </c>
      <c r="L467" s="2">
        <v>2426.38</v>
      </c>
    </row>
    <row r="468" spans="1:12" x14ac:dyDescent="0.3">
      <c r="A468" s="2" t="s">
        <v>993</v>
      </c>
      <c r="B468" s="2" t="s">
        <v>739</v>
      </c>
      <c r="C468" s="2" t="s">
        <v>994</v>
      </c>
      <c r="D468" s="2" t="s">
        <v>23</v>
      </c>
      <c r="E468" s="2" t="s">
        <v>48</v>
      </c>
      <c r="F468" s="2" t="s">
        <v>17</v>
      </c>
      <c r="G468" s="2" t="s">
        <v>26</v>
      </c>
      <c r="H468" s="2" t="s">
        <v>44</v>
      </c>
      <c r="I468" s="2">
        <v>1</v>
      </c>
      <c r="J468" s="2">
        <v>1645</v>
      </c>
      <c r="K468" s="2">
        <v>1</v>
      </c>
      <c r="L468" s="2">
        <v>1628.55</v>
      </c>
    </row>
    <row r="469" spans="1:12" x14ac:dyDescent="0.3">
      <c r="A469" s="2" t="s">
        <v>995</v>
      </c>
      <c r="B469" s="2" t="s">
        <v>321</v>
      </c>
      <c r="C469" s="2" t="s">
        <v>996</v>
      </c>
      <c r="D469" s="2" t="s">
        <v>88</v>
      </c>
      <c r="E469" s="2" t="s">
        <v>48</v>
      </c>
      <c r="F469" s="2" t="s">
        <v>49</v>
      </c>
      <c r="G469" s="2" t="s">
        <v>26</v>
      </c>
      <c r="H469" s="2" t="s">
        <v>19</v>
      </c>
      <c r="I469" s="2">
        <v>1</v>
      </c>
      <c r="J469" s="2">
        <v>1468</v>
      </c>
      <c r="K469" s="2">
        <v>19</v>
      </c>
      <c r="L469" s="2">
        <v>1189.08</v>
      </c>
    </row>
    <row r="470" spans="1:12" x14ac:dyDescent="0.3">
      <c r="A470" s="2" t="s">
        <v>997</v>
      </c>
      <c r="B470" s="2" t="s">
        <v>998</v>
      </c>
      <c r="C470" s="2" t="s">
        <v>999</v>
      </c>
      <c r="D470" s="2" t="s">
        <v>23</v>
      </c>
      <c r="E470" s="2" t="s">
        <v>79</v>
      </c>
      <c r="F470" s="2" t="s">
        <v>32</v>
      </c>
      <c r="G470" s="2" t="s">
        <v>54</v>
      </c>
      <c r="H470" s="2" t="s">
        <v>75</v>
      </c>
      <c r="I470" s="2">
        <v>3</v>
      </c>
      <c r="J470" s="2">
        <v>2933</v>
      </c>
      <c r="K470" s="2">
        <v>1</v>
      </c>
      <c r="L470" s="2">
        <v>8711.01</v>
      </c>
    </row>
    <row r="471" spans="1:12" x14ac:dyDescent="0.3">
      <c r="A471" s="2" t="s">
        <v>1000</v>
      </c>
      <c r="B471" s="2" t="s">
        <v>304</v>
      </c>
      <c r="C471" s="2" t="s">
        <v>860</v>
      </c>
      <c r="D471" s="2" t="s">
        <v>23</v>
      </c>
      <c r="E471" s="2" t="s">
        <v>48</v>
      </c>
      <c r="F471" s="2" t="s">
        <v>17</v>
      </c>
      <c r="G471" s="2" t="s">
        <v>62</v>
      </c>
      <c r="H471" s="2" t="s">
        <v>19</v>
      </c>
      <c r="I471" s="2">
        <v>3</v>
      </c>
      <c r="J471" s="2">
        <v>465</v>
      </c>
      <c r="K471" s="2">
        <v>19</v>
      </c>
      <c r="L471" s="2">
        <v>1129.95</v>
      </c>
    </row>
    <row r="472" spans="1:12" x14ac:dyDescent="0.3">
      <c r="A472" s="2" t="s">
        <v>1001</v>
      </c>
      <c r="B472" s="2" t="s">
        <v>965</v>
      </c>
      <c r="C472" s="2" t="s">
        <v>826</v>
      </c>
      <c r="D472" s="2" t="s">
        <v>53</v>
      </c>
      <c r="E472" s="2" t="s">
        <v>58</v>
      </c>
      <c r="F472" s="2" t="s">
        <v>17</v>
      </c>
      <c r="G472" s="2" t="s">
        <v>26</v>
      </c>
      <c r="H472" s="2" t="s">
        <v>75</v>
      </c>
      <c r="I472" s="2">
        <v>5</v>
      </c>
      <c r="J472" s="2">
        <v>4899</v>
      </c>
      <c r="K472" s="2">
        <v>28</v>
      </c>
      <c r="L472" s="2">
        <v>17636.400000000001</v>
      </c>
    </row>
    <row r="473" spans="1:12" x14ac:dyDescent="0.3">
      <c r="A473" s="2" t="s">
        <v>1002</v>
      </c>
      <c r="B473" s="2" t="s">
        <v>1003</v>
      </c>
      <c r="C473" s="2" t="s">
        <v>1004</v>
      </c>
      <c r="D473" s="2" t="s">
        <v>53</v>
      </c>
      <c r="E473" s="2" t="s">
        <v>58</v>
      </c>
      <c r="F473" s="2" t="s">
        <v>40</v>
      </c>
      <c r="G473" s="2" t="s">
        <v>26</v>
      </c>
      <c r="H473" s="2" t="s">
        <v>33</v>
      </c>
      <c r="I473" s="2">
        <v>4</v>
      </c>
      <c r="J473" s="2">
        <v>4975</v>
      </c>
      <c r="K473" s="2">
        <v>22</v>
      </c>
      <c r="L473" s="2">
        <v>15522</v>
      </c>
    </row>
    <row r="474" spans="1:12" x14ac:dyDescent="0.3">
      <c r="A474" s="2" t="s">
        <v>1005</v>
      </c>
      <c r="B474" s="2" t="s">
        <v>980</v>
      </c>
      <c r="C474" s="2" t="s">
        <v>438</v>
      </c>
      <c r="D474" s="2" t="s">
        <v>23</v>
      </c>
      <c r="E474" s="2" t="s">
        <v>31</v>
      </c>
      <c r="F474" s="2" t="s">
        <v>40</v>
      </c>
      <c r="G474" s="2" t="s">
        <v>62</v>
      </c>
      <c r="H474" s="2" t="s">
        <v>19</v>
      </c>
      <c r="I474" s="2">
        <v>4</v>
      </c>
      <c r="J474" s="2">
        <v>2414</v>
      </c>
      <c r="K474" s="2">
        <v>7</v>
      </c>
      <c r="L474" s="2">
        <v>8980.08</v>
      </c>
    </row>
    <row r="475" spans="1:12" x14ac:dyDescent="0.3">
      <c r="A475" s="2" t="s">
        <v>1006</v>
      </c>
      <c r="B475" s="2" t="s">
        <v>341</v>
      </c>
      <c r="C475" s="2" t="s">
        <v>515</v>
      </c>
      <c r="D475" s="2" t="s">
        <v>88</v>
      </c>
      <c r="E475" s="2" t="s">
        <v>24</v>
      </c>
      <c r="F475" s="2" t="s">
        <v>17</v>
      </c>
      <c r="G475" s="2" t="s">
        <v>18</v>
      </c>
      <c r="H475" s="2" t="s">
        <v>44</v>
      </c>
      <c r="I475" s="2">
        <v>3</v>
      </c>
      <c r="J475" s="2">
        <v>4845</v>
      </c>
      <c r="K475" s="2">
        <v>10</v>
      </c>
      <c r="L475" s="2">
        <v>13081.5</v>
      </c>
    </row>
    <row r="476" spans="1:12" x14ac:dyDescent="0.3">
      <c r="A476" s="2" t="s">
        <v>1007</v>
      </c>
      <c r="B476" s="2" t="s">
        <v>60</v>
      </c>
      <c r="C476" s="2" t="s">
        <v>1008</v>
      </c>
      <c r="D476" s="2" t="s">
        <v>53</v>
      </c>
      <c r="E476" s="2" t="s">
        <v>24</v>
      </c>
      <c r="F476" s="2" t="s">
        <v>25</v>
      </c>
      <c r="G476" s="2" t="s">
        <v>54</v>
      </c>
      <c r="H476" s="2" t="s">
        <v>33</v>
      </c>
      <c r="I476" s="2">
        <v>2</v>
      </c>
      <c r="J476" s="2">
        <v>3181</v>
      </c>
      <c r="K476" s="2">
        <v>8</v>
      </c>
      <c r="L476" s="2">
        <v>5853.04</v>
      </c>
    </row>
    <row r="477" spans="1:12" x14ac:dyDescent="0.3">
      <c r="A477" s="2" t="s">
        <v>1009</v>
      </c>
      <c r="B477" s="2" t="s">
        <v>871</v>
      </c>
      <c r="C477" s="2" t="s">
        <v>94</v>
      </c>
      <c r="D477" s="2" t="s">
        <v>30</v>
      </c>
      <c r="E477" s="2" t="s">
        <v>48</v>
      </c>
      <c r="F477" s="2" t="s">
        <v>32</v>
      </c>
      <c r="G477" s="2" t="s">
        <v>62</v>
      </c>
      <c r="H477" s="2" t="s">
        <v>75</v>
      </c>
      <c r="I477" s="2">
        <v>5</v>
      </c>
      <c r="J477" s="2">
        <v>2869</v>
      </c>
      <c r="K477" s="2">
        <v>10</v>
      </c>
      <c r="L477" s="2">
        <v>12910.5</v>
      </c>
    </row>
    <row r="478" spans="1:12" x14ac:dyDescent="0.3">
      <c r="A478" s="2" t="s">
        <v>1010</v>
      </c>
      <c r="B478" s="2" t="s">
        <v>991</v>
      </c>
      <c r="C478" s="2" t="s">
        <v>186</v>
      </c>
      <c r="D478" s="2" t="s">
        <v>53</v>
      </c>
      <c r="E478" s="2" t="s">
        <v>24</v>
      </c>
      <c r="F478" s="2" t="s">
        <v>32</v>
      </c>
      <c r="G478" s="2" t="s">
        <v>18</v>
      </c>
      <c r="H478" s="2" t="s">
        <v>75</v>
      </c>
      <c r="I478" s="2">
        <v>5</v>
      </c>
      <c r="J478" s="2">
        <v>2709</v>
      </c>
      <c r="K478" s="2">
        <v>7</v>
      </c>
      <c r="L478" s="2">
        <v>12596.85</v>
      </c>
    </row>
    <row r="479" spans="1:12" x14ac:dyDescent="0.3">
      <c r="A479" s="2" t="s">
        <v>1011</v>
      </c>
      <c r="B479" s="2" t="s">
        <v>498</v>
      </c>
      <c r="C479" s="2" t="s">
        <v>331</v>
      </c>
      <c r="D479" s="2" t="s">
        <v>30</v>
      </c>
      <c r="E479" s="2" t="s">
        <v>48</v>
      </c>
      <c r="F479" s="2" t="s">
        <v>49</v>
      </c>
      <c r="G479" s="2" t="s">
        <v>40</v>
      </c>
      <c r="H479" s="2" t="s">
        <v>19</v>
      </c>
      <c r="I479" s="2">
        <v>5</v>
      </c>
      <c r="J479" s="2">
        <v>647</v>
      </c>
      <c r="K479" s="2">
        <v>10</v>
      </c>
      <c r="L479" s="2">
        <v>2911.5</v>
      </c>
    </row>
    <row r="480" spans="1:12" x14ac:dyDescent="0.3">
      <c r="A480" s="2" t="s">
        <v>1012</v>
      </c>
      <c r="B480" s="2" t="s">
        <v>760</v>
      </c>
      <c r="C480" s="2" t="s">
        <v>43</v>
      </c>
      <c r="D480" s="2" t="s">
        <v>88</v>
      </c>
      <c r="E480" s="2" t="s">
        <v>31</v>
      </c>
      <c r="F480" s="2" t="s">
        <v>49</v>
      </c>
      <c r="G480" s="2" t="s">
        <v>62</v>
      </c>
      <c r="H480" s="2" t="s">
        <v>19</v>
      </c>
      <c r="I480" s="2">
        <v>1</v>
      </c>
      <c r="J480" s="2">
        <v>720</v>
      </c>
      <c r="K480" s="2">
        <v>29</v>
      </c>
      <c r="L480" s="2">
        <v>511.2</v>
      </c>
    </row>
    <row r="481" spans="1:12" x14ac:dyDescent="0.3">
      <c r="A481" s="2" t="s">
        <v>1013</v>
      </c>
      <c r="B481" s="2" t="s">
        <v>1014</v>
      </c>
      <c r="C481" s="2" t="s">
        <v>298</v>
      </c>
      <c r="D481" s="2" t="s">
        <v>30</v>
      </c>
      <c r="E481" s="2" t="s">
        <v>48</v>
      </c>
      <c r="F481" s="2" t="s">
        <v>49</v>
      </c>
      <c r="G481" s="2" t="s">
        <v>54</v>
      </c>
      <c r="H481" s="2" t="s">
        <v>33</v>
      </c>
      <c r="I481" s="2">
        <v>3</v>
      </c>
      <c r="J481" s="2">
        <v>346</v>
      </c>
      <c r="K481" s="2">
        <v>9</v>
      </c>
      <c r="L481" s="2">
        <v>944.58</v>
      </c>
    </row>
    <row r="482" spans="1:12" x14ac:dyDescent="0.3">
      <c r="A482" s="2" t="s">
        <v>1015</v>
      </c>
      <c r="B482" s="2" t="s">
        <v>813</v>
      </c>
      <c r="C482" s="2" t="s">
        <v>84</v>
      </c>
      <c r="D482" s="2" t="s">
        <v>88</v>
      </c>
      <c r="E482" s="2" t="s">
        <v>16</v>
      </c>
      <c r="F482" s="2" t="s">
        <v>49</v>
      </c>
      <c r="G482" s="2" t="s">
        <v>62</v>
      </c>
      <c r="H482" s="2" t="s">
        <v>75</v>
      </c>
      <c r="I482" s="2">
        <v>2</v>
      </c>
      <c r="J482" s="2">
        <v>4895</v>
      </c>
      <c r="K482" s="2">
        <v>7</v>
      </c>
      <c r="L482" s="2">
        <v>9104.7000000000007</v>
      </c>
    </row>
    <row r="483" spans="1:12" x14ac:dyDescent="0.3">
      <c r="A483" s="2" t="s">
        <v>1016</v>
      </c>
      <c r="B483" s="2" t="s">
        <v>965</v>
      </c>
      <c r="C483" s="2" t="s">
        <v>71</v>
      </c>
      <c r="D483" s="2" t="s">
        <v>30</v>
      </c>
      <c r="E483" s="2" t="s">
        <v>68</v>
      </c>
      <c r="F483" s="2" t="s">
        <v>49</v>
      </c>
      <c r="G483" s="2" t="s">
        <v>26</v>
      </c>
      <c r="H483" s="2" t="s">
        <v>44</v>
      </c>
      <c r="I483" s="2">
        <v>1</v>
      </c>
      <c r="J483" s="2">
        <v>4149</v>
      </c>
      <c r="K483" s="2">
        <v>21</v>
      </c>
      <c r="L483" s="2">
        <v>3277.71</v>
      </c>
    </row>
    <row r="484" spans="1:12" x14ac:dyDescent="0.3">
      <c r="A484" s="2" t="s">
        <v>1017</v>
      </c>
      <c r="B484" s="2" t="s">
        <v>1018</v>
      </c>
      <c r="C484" s="2" t="s">
        <v>183</v>
      </c>
      <c r="D484" s="2" t="s">
        <v>23</v>
      </c>
      <c r="E484" s="2" t="s">
        <v>48</v>
      </c>
      <c r="F484" s="2" t="s">
        <v>32</v>
      </c>
      <c r="G484" s="2" t="s">
        <v>40</v>
      </c>
      <c r="H484" s="2" t="s">
        <v>33</v>
      </c>
      <c r="I484" s="2">
        <v>1</v>
      </c>
      <c r="J484" s="2">
        <v>2347</v>
      </c>
      <c r="K484" s="2">
        <v>22</v>
      </c>
      <c r="L484" s="2">
        <v>1830.66</v>
      </c>
    </row>
    <row r="485" spans="1:12" x14ac:dyDescent="0.3">
      <c r="A485" s="2" t="s">
        <v>1019</v>
      </c>
      <c r="B485" s="2" t="s">
        <v>605</v>
      </c>
      <c r="C485" s="2" t="s">
        <v>284</v>
      </c>
      <c r="D485" s="2" t="s">
        <v>30</v>
      </c>
      <c r="E485" s="2" t="s">
        <v>16</v>
      </c>
      <c r="F485" s="2" t="s">
        <v>40</v>
      </c>
      <c r="G485" s="2" t="s">
        <v>54</v>
      </c>
      <c r="H485" s="2" t="s">
        <v>44</v>
      </c>
      <c r="I485" s="2">
        <v>1</v>
      </c>
      <c r="J485" s="2">
        <v>2163</v>
      </c>
      <c r="K485" s="2">
        <v>12</v>
      </c>
      <c r="L485" s="2">
        <v>1903.44</v>
      </c>
    </row>
    <row r="486" spans="1:12" x14ac:dyDescent="0.3">
      <c r="A486" s="2" t="s">
        <v>1020</v>
      </c>
      <c r="B486" s="2" t="s">
        <v>1021</v>
      </c>
      <c r="C486" s="2" t="s">
        <v>117</v>
      </c>
      <c r="D486" s="2" t="s">
        <v>15</v>
      </c>
      <c r="E486" s="2" t="s">
        <v>48</v>
      </c>
      <c r="F486" s="2" t="s">
        <v>49</v>
      </c>
      <c r="G486" s="2" t="s">
        <v>40</v>
      </c>
      <c r="H486" s="2" t="s">
        <v>33</v>
      </c>
      <c r="I486" s="2">
        <v>4</v>
      </c>
      <c r="J486" s="2">
        <v>2983</v>
      </c>
      <c r="K486" s="2">
        <v>14</v>
      </c>
      <c r="L486" s="2">
        <v>10261.52</v>
      </c>
    </row>
    <row r="487" spans="1:12" x14ac:dyDescent="0.3">
      <c r="A487" s="2" t="s">
        <v>1022</v>
      </c>
      <c r="B487" s="2" t="s">
        <v>631</v>
      </c>
      <c r="C487" s="2" t="s">
        <v>711</v>
      </c>
      <c r="D487" s="2" t="s">
        <v>88</v>
      </c>
      <c r="E487" s="2" t="s">
        <v>48</v>
      </c>
      <c r="F487" s="2" t="s">
        <v>32</v>
      </c>
      <c r="G487" s="2" t="s">
        <v>54</v>
      </c>
      <c r="H487" s="2" t="s">
        <v>44</v>
      </c>
      <c r="I487" s="2">
        <v>4</v>
      </c>
      <c r="J487" s="2">
        <v>3162</v>
      </c>
      <c r="K487" s="2">
        <v>17</v>
      </c>
      <c r="L487" s="2">
        <v>10497.84</v>
      </c>
    </row>
    <row r="488" spans="1:12" x14ac:dyDescent="0.3">
      <c r="A488" s="2" t="s">
        <v>1023</v>
      </c>
      <c r="B488" s="2" t="s">
        <v>637</v>
      </c>
      <c r="C488" s="2" t="s">
        <v>124</v>
      </c>
      <c r="D488" s="2" t="s">
        <v>88</v>
      </c>
      <c r="E488" s="2" t="s">
        <v>79</v>
      </c>
      <c r="F488" s="2" t="s">
        <v>17</v>
      </c>
      <c r="G488" s="2" t="s">
        <v>26</v>
      </c>
      <c r="H488" s="2" t="s">
        <v>75</v>
      </c>
      <c r="I488" s="2">
        <v>5</v>
      </c>
      <c r="J488" s="2">
        <v>936</v>
      </c>
      <c r="K488" s="2">
        <v>27</v>
      </c>
      <c r="L488" s="2">
        <v>3416.4</v>
      </c>
    </row>
    <row r="489" spans="1:12" x14ac:dyDescent="0.3">
      <c r="A489" s="2" t="s">
        <v>1024</v>
      </c>
      <c r="B489" s="2" t="s">
        <v>1025</v>
      </c>
      <c r="C489" s="2" t="s">
        <v>660</v>
      </c>
      <c r="D489" s="2" t="s">
        <v>15</v>
      </c>
      <c r="E489" s="2" t="s">
        <v>58</v>
      </c>
      <c r="F489" s="2" t="s">
        <v>25</v>
      </c>
      <c r="G489" s="2" t="s">
        <v>18</v>
      </c>
      <c r="H489" s="2" t="s">
        <v>19</v>
      </c>
      <c r="I489" s="2">
        <v>3</v>
      </c>
      <c r="J489" s="2">
        <v>526</v>
      </c>
      <c r="K489" s="2">
        <v>24</v>
      </c>
      <c r="L489" s="2">
        <v>1199.28</v>
      </c>
    </row>
    <row r="490" spans="1:12" x14ac:dyDescent="0.3">
      <c r="A490" s="2" t="s">
        <v>1026</v>
      </c>
      <c r="B490" s="2" t="s">
        <v>1027</v>
      </c>
      <c r="C490" s="2" t="s">
        <v>216</v>
      </c>
      <c r="D490" s="2" t="s">
        <v>23</v>
      </c>
      <c r="E490" s="2" t="s">
        <v>24</v>
      </c>
      <c r="F490" s="2" t="s">
        <v>25</v>
      </c>
      <c r="G490" s="2" t="s">
        <v>54</v>
      </c>
      <c r="H490" s="2" t="s">
        <v>75</v>
      </c>
      <c r="I490" s="2">
        <v>3</v>
      </c>
      <c r="J490" s="2">
        <v>4681</v>
      </c>
      <c r="K490" s="2">
        <v>2</v>
      </c>
      <c r="L490" s="2">
        <v>13762.14</v>
      </c>
    </row>
    <row r="491" spans="1:12" x14ac:dyDescent="0.3">
      <c r="A491" s="2" t="s">
        <v>1028</v>
      </c>
      <c r="B491" s="2" t="s">
        <v>42</v>
      </c>
      <c r="C491" s="2" t="s">
        <v>1029</v>
      </c>
      <c r="D491" s="2" t="s">
        <v>53</v>
      </c>
      <c r="E491" s="2" t="s">
        <v>31</v>
      </c>
      <c r="F491" s="2" t="s">
        <v>17</v>
      </c>
      <c r="G491" s="2" t="s">
        <v>54</v>
      </c>
      <c r="H491" s="2" t="s">
        <v>44</v>
      </c>
      <c r="I491" s="2">
        <v>1</v>
      </c>
      <c r="J491" s="2">
        <v>537</v>
      </c>
      <c r="K491" s="2">
        <v>12</v>
      </c>
      <c r="L491" s="2">
        <v>472.56</v>
      </c>
    </row>
    <row r="492" spans="1:12" x14ac:dyDescent="0.3">
      <c r="A492" s="2" t="s">
        <v>1030</v>
      </c>
      <c r="B492" s="2" t="s">
        <v>621</v>
      </c>
      <c r="C492" s="2" t="s">
        <v>849</v>
      </c>
      <c r="D492" s="2" t="s">
        <v>30</v>
      </c>
      <c r="E492" s="2" t="s">
        <v>79</v>
      </c>
      <c r="F492" s="2" t="s">
        <v>32</v>
      </c>
      <c r="G492" s="2" t="s">
        <v>26</v>
      </c>
      <c r="H492" s="2" t="s">
        <v>75</v>
      </c>
      <c r="I492" s="2">
        <v>4</v>
      </c>
      <c r="J492" s="2">
        <v>2181</v>
      </c>
      <c r="K492" s="2">
        <v>20</v>
      </c>
      <c r="L492" s="2">
        <v>6979.2</v>
      </c>
    </row>
    <row r="493" spans="1:12" x14ac:dyDescent="0.3">
      <c r="A493" s="2" t="s">
        <v>1031</v>
      </c>
      <c r="B493" s="2" t="s">
        <v>278</v>
      </c>
      <c r="C493" s="2" t="s">
        <v>502</v>
      </c>
      <c r="D493" s="2" t="s">
        <v>53</v>
      </c>
      <c r="E493" s="2" t="s">
        <v>16</v>
      </c>
      <c r="F493" s="2" t="s">
        <v>32</v>
      </c>
      <c r="G493" s="2" t="s">
        <v>18</v>
      </c>
      <c r="H493" s="2" t="s">
        <v>75</v>
      </c>
      <c r="I493" s="2">
        <v>1</v>
      </c>
      <c r="J493" s="2">
        <v>2857</v>
      </c>
      <c r="K493" s="2">
        <v>12</v>
      </c>
      <c r="L493" s="2">
        <v>2514.16</v>
      </c>
    </row>
    <row r="494" spans="1:12" x14ac:dyDescent="0.3">
      <c r="A494" s="2" t="s">
        <v>1032</v>
      </c>
      <c r="B494" s="2" t="s">
        <v>144</v>
      </c>
      <c r="C494" s="2" t="s">
        <v>711</v>
      </c>
      <c r="D494" s="2" t="s">
        <v>53</v>
      </c>
      <c r="E494" s="2" t="s">
        <v>24</v>
      </c>
      <c r="F494" s="2" t="s">
        <v>32</v>
      </c>
      <c r="G494" s="2" t="s">
        <v>54</v>
      </c>
      <c r="H494" s="2" t="s">
        <v>75</v>
      </c>
      <c r="I494" s="2">
        <v>3</v>
      </c>
      <c r="J494" s="2">
        <v>608</v>
      </c>
      <c r="K494" s="2">
        <v>14</v>
      </c>
      <c r="L494" s="2">
        <v>1568.64</v>
      </c>
    </row>
    <row r="495" spans="1:12" x14ac:dyDescent="0.3">
      <c r="A495" s="2" t="s">
        <v>1033</v>
      </c>
      <c r="B495" s="2" t="s">
        <v>113</v>
      </c>
      <c r="C495" s="2" t="s">
        <v>597</v>
      </c>
      <c r="D495" s="2" t="s">
        <v>15</v>
      </c>
      <c r="E495" s="2" t="s">
        <v>58</v>
      </c>
      <c r="F495" s="2" t="s">
        <v>32</v>
      </c>
      <c r="G495" s="2" t="s">
        <v>40</v>
      </c>
      <c r="H495" s="2" t="s">
        <v>44</v>
      </c>
      <c r="I495" s="2">
        <v>3</v>
      </c>
      <c r="J495" s="2">
        <v>3778</v>
      </c>
      <c r="K495" s="2">
        <v>15</v>
      </c>
      <c r="L495" s="2">
        <v>9633.9</v>
      </c>
    </row>
    <row r="496" spans="1:12" x14ac:dyDescent="0.3">
      <c r="A496" s="2" t="s">
        <v>1034</v>
      </c>
      <c r="B496" s="2" t="s">
        <v>897</v>
      </c>
      <c r="C496" s="2" t="s">
        <v>698</v>
      </c>
      <c r="D496" s="2" t="s">
        <v>30</v>
      </c>
      <c r="E496" s="2" t="s">
        <v>48</v>
      </c>
      <c r="F496" s="2" t="s">
        <v>32</v>
      </c>
      <c r="G496" s="2" t="s">
        <v>26</v>
      </c>
      <c r="H496" s="2" t="s">
        <v>75</v>
      </c>
      <c r="I496" s="2">
        <v>1</v>
      </c>
      <c r="J496" s="2">
        <v>864</v>
      </c>
      <c r="K496" s="2">
        <v>10</v>
      </c>
      <c r="L496" s="2">
        <v>777.6</v>
      </c>
    </row>
    <row r="497" spans="1:12" x14ac:dyDescent="0.3">
      <c r="A497" s="2" t="s">
        <v>1035</v>
      </c>
      <c r="B497" s="2" t="s">
        <v>487</v>
      </c>
      <c r="C497" s="2" t="s">
        <v>91</v>
      </c>
      <c r="D497" s="2" t="s">
        <v>23</v>
      </c>
      <c r="E497" s="2" t="s">
        <v>48</v>
      </c>
      <c r="F497" s="2" t="s">
        <v>40</v>
      </c>
      <c r="G497" s="2" t="s">
        <v>54</v>
      </c>
      <c r="H497" s="2" t="s">
        <v>33</v>
      </c>
      <c r="I497" s="2">
        <v>3</v>
      </c>
      <c r="J497" s="2">
        <v>1754</v>
      </c>
      <c r="K497" s="2">
        <v>26</v>
      </c>
      <c r="L497" s="2">
        <v>3893.88</v>
      </c>
    </row>
    <row r="498" spans="1:12" x14ac:dyDescent="0.3">
      <c r="A498" s="2" t="s">
        <v>1036</v>
      </c>
      <c r="B498" s="2" t="s">
        <v>498</v>
      </c>
      <c r="C498" s="2" t="s">
        <v>655</v>
      </c>
      <c r="D498" s="2" t="s">
        <v>53</v>
      </c>
      <c r="E498" s="2" t="s">
        <v>58</v>
      </c>
      <c r="F498" s="2" t="s">
        <v>25</v>
      </c>
      <c r="G498" s="2" t="s">
        <v>18</v>
      </c>
      <c r="H498" s="2" t="s">
        <v>75</v>
      </c>
      <c r="I498" s="2">
        <v>4</v>
      </c>
      <c r="J498" s="2">
        <v>857</v>
      </c>
      <c r="K498" s="2">
        <v>16</v>
      </c>
      <c r="L498" s="2">
        <v>2879.52</v>
      </c>
    </row>
    <row r="499" spans="1:12" x14ac:dyDescent="0.3">
      <c r="A499" s="2" t="s">
        <v>1037</v>
      </c>
      <c r="B499" s="2" t="s">
        <v>764</v>
      </c>
      <c r="C499" s="2" t="s">
        <v>902</v>
      </c>
      <c r="D499" s="2" t="s">
        <v>53</v>
      </c>
      <c r="E499" s="2" t="s">
        <v>16</v>
      </c>
      <c r="F499" s="2" t="s">
        <v>32</v>
      </c>
      <c r="G499" s="2" t="s">
        <v>62</v>
      </c>
      <c r="H499" s="2" t="s">
        <v>19</v>
      </c>
      <c r="I499" s="2">
        <v>5</v>
      </c>
      <c r="J499" s="2">
        <v>1728</v>
      </c>
      <c r="K499" s="2">
        <v>10</v>
      </c>
      <c r="L499" s="2">
        <v>7776</v>
      </c>
    </row>
    <row r="500" spans="1:12" x14ac:dyDescent="0.3">
      <c r="A500" s="2" t="s">
        <v>1038</v>
      </c>
      <c r="B500" s="2" t="s">
        <v>1039</v>
      </c>
      <c r="C500" s="2" t="s">
        <v>325</v>
      </c>
      <c r="D500" s="2" t="s">
        <v>30</v>
      </c>
      <c r="E500" s="2" t="s">
        <v>68</v>
      </c>
      <c r="F500" s="2" t="s">
        <v>32</v>
      </c>
      <c r="G500" s="2" t="s">
        <v>62</v>
      </c>
      <c r="H500" s="2" t="s">
        <v>19</v>
      </c>
      <c r="I500" s="2">
        <v>3</v>
      </c>
      <c r="J500" s="2">
        <v>4389</v>
      </c>
      <c r="K500" s="2">
        <v>30</v>
      </c>
      <c r="L500" s="2">
        <v>9216.9</v>
      </c>
    </row>
    <row r="501" spans="1:12" x14ac:dyDescent="0.3">
      <c r="A501" s="2" t="s">
        <v>1040</v>
      </c>
      <c r="B501" s="2" t="s">
        <v>392</v>
      </c>
      <c r="C501" s="2" t="s">
        <v>1041</v>
      </c>
      <c r="D501" s="2" t="s">
        <v>15</v>
      </c>
      <c r="E501" s="2" t="s">
        <v>48</v>
      </c>
      <c r="F501" s="2" t="s">
        <v>32</v>
      </c>
      <c r="G501" s="2" t="s">
        <v>26</v>
      </c>
      <c r="H501" s="2" t="s">
        <v>19</v>
      </c>
      <c r="I501" s="2">
        <v>5</v>
      </c>
      <c r="J501" s="2">
        <v>356</v>
      </c>
      <c r="K501" s="2">
        <v>1</v>
      </c>
      <c r="L501" s="2">
        <v>1762.2</v>
      </c>
    </row>
    <row r="502" spans="1:12" x14ac:dyDescent="0.3">
      <c r="A502" s="2" t="s">
        <v>1042</v>
      </c>
      <c r="B502" s="2" t="s">
        <v>196</v>
      </c>
      <c r="C502" s="2" t="s">
        <v>342</v>
      </c>
      <c r="D502" s="2" t="s">
        <v>30</v>
      </c>
      <c r="E502" s="2" t="s">
        <v>58</v>
      </c>
      <c r="F502" s="2" t="s">
        <v>40</v>
      </c>
      <c r="G502" s="2" t="s">
        <v>54</v>
      </c>
      <c r="H502" s="2" t="s">
        <v>44</v>
      </c>
      <c r="I502" s="2">
        <v>4</v>
      </c>
      <c r="J502" s="2">
        <v>2081</v>
      </c>
      <c r="K502" s="2">
        <v>30</v>
      </c>
      <c r="L502" s="2">
        <v>5826.8</v>
      </c>
    </row>
    <row r="503" spans="1:12" x14ac:dyDescent="0.3">
      <c r="A503" s="2" t="s">
        <v>1043</v>
      </c>
      <c r="B503" s="2" t="s">
        <v>240</v>
      </c>
      <c r="C503" s="2" t="s">
        <v>475</v>
      </c>
      <c r="D503" s="2" t="s">
        <v>23</v>
      </c>
      <c r="E503" s="2" t="s">
        <v>58</v>
      </c>
      <c r="F503" s="2" t="s">
        <v>17</v>
      </c>
      <c r="G503" s="2" t="s">
        <v>40</v>
      </c>
      <c r="H503" s="2" t="s">
        <v>44</v>
      </c>
      <c r="I503" s="2">
        <v>2</v>
      </c>
      <c r="J503" s="2">
        <v>1461</v>
      </c>
      <c r="K503" s="2">
        <v>15</v>
      </c>
      <c r="L503" s="2">
        <v>2483.6999999999998</v>
      </c>
    </row>
    <row r="504" spans="1:12" x14ac:dyDescent="0.3">
      <c r="A504" s="2" t="s">
        <v>1044</v>
      </c>
      <c r="B504" s="2" t="s">
        <v>1045</v>
      </c>
      <c r="C504" s="2" t="s">
        <v>791</v>
      </c>
      <c r="D504" s="2" t="s">
        <v>23</v>
      </c>
      <c r="E504" s="2" t="s">
        <v>58</v>
      </c>
      <c r="F504" s="2" t="s">
        <v>40</v>
      </c>
      <c r="G504" s="2" t="s">
        <v>26</v>
      </c>
      <c r="H504" s="2" t="s">
        <v>75</v>
      </c>
      <c r="I504" s="2">
        <v>3</v>
      </c>
      <c r="J504" s="2">
        <v>2549</v>
      </c>
      <c r="K504" s="2">
        <v>5</v>
      </c>
      <c r="L504" s="2">
        <v>7264.65</v>
      </c>
    </row>
    <row r="505" spans="1:12" x14ac:dyDescent="0.3">
      <c r="A505" s="2" t="s">
        <v>1046</v>
      </c>
      <c r="B505" s="2" t="s">
        <v>257</v>
      </c>
      <c r="C505" s="2" t="s">
        <v>1047</v>
      </c>
      <c r="D505" s="2" t="s">
        <v>88</v>
      </c>
      <c r="E505" s="2" t="s">
        <v>31</v>
      </c>
      <c r="F505" s="2" t="s">
        <v>25</v>
      </c>
      <c r="G505" s="2" t="s">
        <v>62</v>
      </c>
      <c r="H505" s="2" t="s">
        <v>33</v>
      </c>
      <c r="I505" s="2">
        <v>1</v>
      </c>
      <c r="J505" s="2">
        <v>4268</v>
      </c>
      <c r="K505" s="2">
        <v>0</v>
      </c>
      <c r="L505" s="2">
        <v>4268</v>
      </c>
    </row>
    <row r="506" spans="1:12" x14ac:dyDescent="0.3">
      <c r="A506" s="2" t="s">
        <v>1048</v>
      </c>
      <c r="B506" s="2" t="s">
        <v>1049</v>
      </c>
      <c r="C506" s="2" t="s">
        <v>1050</v>
      </c>
      <c r="D506" s="2" t="s">
        <v>53</v>
      </c>
      <c r="E506" s="2" t="s">
        <v>79</v>
      </c>
      <c r="F506" s="2" t="s">
        <v>40</v>
      </c>
      <c r="G506" s="2" t="s">
        <v>62</v>
      </c>
      <c r="H506" s="2" t="s">
        <v>75</v>
      </c>
      <c r="I506" s="2">
        <v>5</v>
      </c>
      <c r="J506" s="2">
        <v>1302</v>
      </c>
      <c r="K506" s="2">
        <v>7</v>
      </c>
      <c r="L506" s="2">
        <v>6054.3</v>
      </c>
    </row>
    <row r="507" spans="1:12" x14ac:dyDescent="0.3">
      <c r="A507" s="2" t="s">
        <v>1051</v>
      </c>
      <c r="B507" s="2" t="s">
        <v>1052</v>
      </c>
      <c r="C507" s="2" t="s">
        <v>955</v>
      </c>
      <c r="D507" s="2" t="s">
        <v>53</v>
      </c>
      <c r="E507" s="2" t="s">
        <v>58</v>
      </c>
      <c r="F507" s="2" t="s">
        <v>25</v>
      </c>
      <c r="G507" s="2" t="s">
        <v>62</v>
      </c>
      <c r="H507" s="2" t="s">
        <v>33</v>
      </c>
      <c r="I507" s="2">
        <v>5</v>
      </c>
      <c r="J507" s="2">
        <v>4228</v>
      </c>
      <c r="K507" s="2">
        <v>4</v>
      </c>
      <c r="L507" s="2">
        <v>20294.400000000001</v>
      </c>
    </row>
    <row r="508" spans="1:12" x14ac:dyDescent="0.3">
      <c r="A508" s="2" t="s">
        <v>1053</v>
      </c>
      <c r="B508" s="2" t="s">
        <v>750</v>
      </c>
      <c r="C508" s="2" t="s">
        <v>273</v>
      </c>
      <c r="D508" s="2" t="s">
        <v>88</v>
      </c>
      <c r="E508" s="2" t="s">
        <v>31</v>
      </c>
      <c r="F508" s="2" t="s">
        <v>32</v>
      </c>
      <c r="G508" s="2" t="s">
        <v>62</v>
      </c>
      <c r="H508" s="2" t="s">
        <v>75</v>
      </c>
      <c r="I508" s="2">
        <v>3</v>
      </c>
      <c r="J508" s="2">
        <v>3319</v>
      </c>
      <c r="K508" s="2">
        <v>17</v>
      </c>
      <c r="L508" s="2">
        <v>8264.31</v>
      </c>
    </row>
    <row r="509" spans="1:12" x14ac:dyDescent="0.3">
      <c r="A509" s="2" t="s">
        <v>1054</v>
      </c>
      <c r="B509" s="2" t="s">
        <v>684</v>
      </c>
      <c r="C509" s="2" t="s">
        <v>682</v>
      </c>
      <c r="D509" s="2" t="s">
        <v>88</v>
      </c>
      <c r="E509" s="2" t="s">
        <v>79</v>
      </c>
      <c r="F509" s="2" t="s">
        <v>40</v>
      </c>
      <c r="G509" s="2" t="s">
        <v>26</v>
      </c>
      <c r="H509" s="2" t="s">
        <v>19</v>
      </c>
      <c r="I509" s="2">
        <v>3</v>
      </c>
      <c r="J509" s="2">
        <v>2833</v>
      </c>
      <c r="K509" s="2">
        <v>16</v>
      </c>
      <c r="L509" s="2">
        <v>7139.16</v>
      </c>
    </row>
    <row r="510" spans="1:12" x14ac:dyDescent="0.3">
      <c r="A510" s="2" t="s">
        <v>1055</v>
      </c>
      <c r="B510" s="2" t="s">
        <v>495</v>
      </c>
      <c r="C510" s="2" t="s">
        <v>111</v>
      </c>
      <c r="D510" s="2" t="s">
        <v>30</v>
      </c>
      <c r="E510" s="2" t="s">
        <v>16</v>
      </c>
      <c r="F510" s="2" t="s">
        <v>17</v>
      </c>
      <c r="G510" s="2" t="s">
        <v>40</v>
      </c>
      <c r="H510" s="2" t="s">
        <v>44</v>
      </c>
      <c r="I510" s="2">
        <v>3</v>
      </c>
      <c r="J510" s="2">
        <v>4909</v>
      </c>
      <c r="K510" s="2">
        <v>17</v>
      </c>
      <c r="L510" s="2">
        <v>12223.41</v>
      </c>
    </row>
    <row r="511" spans="1:12" x14ac:dyDescent="0.3">
      <c r="A511" s="2" t="s">
        <v>1056</v>
      </c>
      <c r="B511" s="2" t="s">
        <v>871</v>
      </c>
      <c r="C511" s="2" t="s">
        <v>1057</v>
      </c>
      <c r="D511" s="2" t="s">
        <v>15</v>
      </c>
      <c r="E511" s="2" t="s">
        <v>24</v>
      </c>
      <c r="F511" s="2" t="s">
        <v>25</v>
      </c>
      <c r="G511" s="2" t="s">
        <v>26</v>
      </c>
      <c r="H511" s="2" t="s">
        <v>19</v>
      </c>
      <c r="I511" s="2">
        <v>3</v>
      </c>
      <c r="J511" s="2">
        <v>3785</v>
      </c>
      <c r="K511" s="2">
        <v>7</v>
      </c>
      <c r="L511" s="2">
        <v>10560.15</v>
      </c>
    </row>
    <row r="512" spans="1:12" x14ac:dyDescent="0.3">
      <c r="A512" s="2" t="s">
        <v>1058</v>
      </c>
      <c r="B512" s="2" t="s">
        <v>227</v>
      </c>
      <c r="C512" s="2" t="s">
        <v>619</v>
      </c>
      <c r="D512" s="2" t="s">
        <v>88</v>
      </c>
      <c r="E512" s="2" t="s">
        <v>16</v>
      </c>
      <c r="F512" s="2" t="s">
        <v>32</v>
      </c>
      <c r="G512" s="2" t="s">
        <v>40</v>
      </c>
      <c r="H512" s="2" t="s">
        <v>44</v>
      </c>
      <c r="I512" s="2">
        <v>3</v>
      </c>
      <c r="J512" s="2">
        <v>1067</v>
      </c>
      <c r="K512" s="2">
        <v>13</v>
      </c>
      <c r="L512" s="2">
        <v>2784.87</v>
      </c>
    </row>
    <row r="513" spans="1:12" x14ac:dyDescent="0.3">
      <c r="A513" s="2" t="s">
        <v>1059</v>
      </c>
      <c r="B513" s="2" t="s">
        <v>1003</v>
      </c>
      <c r="C513" s="2" t="s">
        <v>999</v>
      </c>
      <c r="D513" s="2" t="s">
        <v>53</v>
      </c>
      <c r="E513" s="2" t="s">
        <v>24</v>
      </c>
      <c r="F513" s="2" t="s">
        <v>25</v>
      </c>
      <c r="G513" s="2" t="s">
        <v>18</v>
      </c>
      <c r="H513" s="2" t="s">
        <v>19</v>
      </c>
      <c r="I513" s="2">
        <v>4</v>
      </c>
      <c r="J513" s="2">
        <v>2152</v>
      </c>
      <c r="K513" s="2">
        <v>24</v>
      </c>
      <c r="L513" s="2">
        <v>6542.08</v>
      </c>
    </row>
    <row r="514" spans="1:12" x14ac:dyDescent="0.3">
      <c r="A514" s="2" t="s">
        <v>1060</v>
      </c>
      <c r="B514" s="2" t="s">
        <v>1061</v>
      </c>
      <c r="C514" s="2" t="s">
        <v>331</v>
      </c>
      <c r="D514" s="2" t="s">
        <v>53</v>
      </c>
      <c r="E514" s="2" t="s">
        <v>68</v>
      </c>
      <c r="F514" s="2" t="s">
        <v>49</v>
      </c>
      <c r="G514" s="2" t="s">
        <v>54</v>
      </c>
      <c r="H514" s="2" t="s">
        <v>75</v>
      </c>
      <c r="I514" s="2">
        <v>1</v>
      </c>
      <c r="J514" s="2">
        <v>3951</v>
      </c>
      <c r="K514" s="2">
        <v>22</v>
      </c>
      <c r="L514" s="2">
        <v>3081.78</v>
      </c>
    </row>
    <row r="515" spans="1:12" x14ac:dyDescent="0.3">
      <c r="A515" s="2" t="s">
        <v>1062</v>
      </c>
      <c r="B515" s="2" t="s">
        <v>64</v>
      </c>
      <c r="C515" s="2" t="s">
        <v>191</v>
      </c>
      <c r="D515" s="2" t="s">
        <v>53</v>
      </c>
      <c r="E515" s="2" t="s">
        <v>58</v>
      </c>
      <c r="F515" s="2" t="s">
        <v>49</v>
      </c>
      <c r="G515" s="2" t="s">
        <v>40</v>
      </c>
      <c r="H515" s="2" t="s">
        <v>33</v>
      </c>
      <c r="I515" s="2">
        <v>1</v>
      </c>
      <c r="J515" s="2">
        <v>1834</v>
      </c>
      <c r="K515" s="2">
        <v>4</v>
      </c>
      <c r="L515" s="2">
        <v>1760.64</v>
      </c>
    </row>
    <row r="516" spans="1:12" x14ac:dyDescent="0.3">
      <c r="A516" s="2" t="s">
        <v>1063</v>
      </c>
      <c r="B516" s="2" t="s">
        <v>427</v>
      </c>
      <c r="C516" s="2" t="s">
        <v>47</v>
      </c>
      <c r="D516" s="2" t="s">
        <v>88</v>
      </c>
      <c r="E516" s="2" t="s">
        <v>79</v>
      </c>
      <c r="F516" s="2" t="s">
        <v>32</v>
      </c>
      <c r="G516" s="2" t="s">
        <v>62</v>
      </c>
      <c r="H516" s="2" t="s">
        <v>19</v>
      </c>
      <c r="I516" s="2">
        <v>2</v>
      </c>
      <c r="J516" s="2">
        <v>265</v>
      </c>
      <c r="K516" s="2">
        <v>27</v>
      </c>
      <c r="L516" s="2">
        <v>386.9</v>
      </c>
    </row>
    <row r="517" spans="1:12" x14ac:dyDescent="0.3">
      <c r="A517" s="2" t="s">
        <v>1064</v>
      </c>
      <c r="B517" s="2" t="s">
        <v>498</v>
      </c>
      <c r="C517" s="2" t="s">
        <v>609</v>
      </c>
      <c r="D517" s="2" t="s">
        <v>88</v>
      </c>
      <c r="E517" s="2" t="s">
        <v>16</v>
      </c>
      <c r="F517" s="2" t="s">
        <v>17</v>
      </c>
      <c r="G517" s="2" t="s">
        <v>26</v>
      </c>
      <c r="H517" s="2" t="s">
        <v>75</v>
      </c>
      <c r="I517" s="2">
        <v>4</v>
      </c>
      <c r="J517" s="2">
        <v>2676</v>
      </c>
      <c r="K517" s="2">
        <v>4</v>
      </c>
      <c r="L517" s="2">
        <v>10275.84</v>
      </c>
    </row>
    <row r="518" spans="1:12" x14ac:dyDescent="0.3">
      <c r="A518" s="2" t="s">
        <v>1065</v>
      </c>
      <c r="B518" s="2" t="s">
        <v>324</v>
      </c>
      <c r="C518" s="2" t="s">
        <v>526</v>
      </c>
      <c r="D518" s="2" t="s">
        <v>23</v>
      </c>
      <c r="E518" s="2" t="s">
        <v>58</v>
      </c>
      <c r="F518" s="2" t="s">
        <v>49</v>
      </c>
      <c r="G518" s="2" t="s">
        <v>40</v>
      </c>
      <c r="H518" s="2" t="s">
        <v>75</v>
      </c>
      <c r="I518" s="2">
        <v>5</v>
      </c>
      <c r="J518" s="2">
        <v>898</v>
      </c>
      <c r="K518" s="2">
        <v>23</v>
      </c>
      <c r="L518" s="2">
        <v>3457.3</v>
      </c>
    </row>
    <row r="519" spans="1:12" x14ac:dyDescent="0.3">
      <c r="A519" s="2" t="s">
        <v>1066</v>
      </c>
      <c r="B519" s="2" t="s">
        <v>66</v>
      </c>
      <c r="C519" s="2" t="s">
        <v>172</v>
      </c>
      <c r="D519" s="2" t="s">
        <v>88</v>
      </c>
      <c r="E519" s="2" t="s">
        <v>24</v>
      </c>
      <c r="F519" s="2" t="s">
        <v>32</v>
      </c>
      <c r="G519" s="2" t="s">
        <v>62</v>
      </c>
      <c r="H519" s="2" t="s">
        <v>75</v>
      </c>
      <c r="I519" s="2">
        <v>5</v>
      </c>
      <c r="J519" s="2">
        <v>892</v>
      </c>
      <c r="K519" s="2">
        <v>21</v>
      </c>
      <c r="L519" s="2">
        <v>3523.4</v>
      </c>
    </row>
    <row r="520" spans="1:12" x14ac:dyDescent="0.3">
      <c r="A520" s="2" t="s">
        <v>1067</v>
      </c>
      <c r="B520" s="2" t="s">
        <v>1068</v>
      </c>
      <c r="C520" s="2" t="s">
        <v>416</v>
      </c>
      <c r="D520" s="2" t="s">
        <v>30</v>
      </c>
      <c r="E520" s="2" t="s">
        <v>24</v>
      </c>
      <c r="F520" s="2" t="s">
        <v>40</v>
      </c>
      <c r="G520" s="2" t="s">
        <v>40</v>
      </c>
      <c r="H520" s="2" t="s">
        <v>33</v>
      </c>
      <c r="I520" s="2">
        <v>2</v>
      </c>
      <c r="J520" s="2">
        <v>988</v>
      </c>
      <c r="K520" s="2">
        <v>9</v>
      </c>
      <c r="L520" s="2">
        <v>1798.16</v>
      </c>
    </row>
    <row r="521" spans="1:12" x14ac:dyDescent="0.3">
      <c r="A521" s="2" t="s">
        <v>1069</v>
      </c>
      <c r="B521" s="2" t="s">
        <v>637</v>
      </c>
      <c r="C521" s="2" t="s">
        <v>273</v>
      </c>
      <c r="D521" s="2" t="s">
        <v>15</v>
      </c>
      <c r="E521" s="2" t="s">
        <v>16</v>
      </c>
      <c r="F521" s="2" t="s">
        <v>32</v>
      </c>
      <c r="G521" s="2" t="s">
        <v>18</v>
      </c>
      <c r="H521" s="2" t="s">
        <v>33</v>
      </c>
      <c r="I521" s="2">
        <v>4</v>
      </c>
      <c r="J521" s="2">
        <v>3537</v>
      </c>
      <c r="K521" s="2">
        <v>24</v>
      </c>
      <c r="L521" s="2">
        <v>10752.48</v>
      </c>
    </row>
    <row r="522" spans="1:12" x14ac:dyDescent="0.3">
      <c r="A522" s="2" t="s">
        <v>1070</v>
      </c>
      <c r="B522" s="2" t="s">
        <v>989</v>
      </c>
      <c r="C522" s="2" t="s">
        <v>111</v>
      </c>
      <c r="D522" s="2" t="s">
        <v>88</v>
      </c>
      <c r="E522" s="2" t="s">
        <v>48</v>
      </c>
      <c r="F522" s="2" t="s">
        <v>49</v>
      </c>
      <c r="G522" s="2" t="s">
        <v>26</v>
      </c>
      <c r="H522" s="2" t="s">
        <v>19</v>
      </c>
      <c r="I522" s="2">
        <v>4</v>
      </c>
      <c r="J522" s="2">
        <v>3204</v>
      </c>
      <c r="K522" s="2">
        <v>30</v>
      </c>
      <c r="L522" s="2">
        <v>8971.2000000000007</v>
      </c>
    </row>
    <row r="523" spans="1:12" x14ac:dyDescent="0.3">
      <c r="A523" s="2" t="s">
        <v>1071</v>
      </c>
      <c r="B523" s="2" t="s">
        <v>1072</v>
      </c>
      <c r="C523" s="2" t="s">
        <v>480</v>
      </c>
      <c r="D523" s="2" t="s">
        <v>88</v>
      </c>
      <c r="E523" s="2" t="s">
        <v>68</v>
      </c>
      <c r="F523" s="2" t="s">
        <v>17</v>
      </c>
      <c r="G523" s="2" t="s">
        <v>54</v>
      </c>
      <c r="H523" s="2" t="s">
        <v>19</v>
      </c>
      <c r="I523" s="2">
        <v>4</v>
      </c>
      <c r="J523" s="2">
        <v>2991</v>
      </c>
      <c r="K523" s="2">
        <v>13</v>
      </c>
      <c r="L523" s="2">
        <v>10408.68</v>
      </c>
    </row>
    <row r="524" spans="1:12" x14ac:dyDescent="0.3">
      <c r="A524" s="2" t="s">
        <v>1073</v>
      </c>
      <c r="B524" s="2" t="s">
        <v>797</v>
      </c>
      <c r="C524" s="2" t="s">
        <v>791</v>
      </c>
      <c r="D524" s="2" t="s">
        <v>15</v>
      </c>
      <c r="E524" s="2" t="s">
        <v>48</v>
      </c>
      <c r="F524" s="2" t="s">
        <v>25</v>
      </c>
      <c r="G524" s="2" t="s">
        <v>26</v>
      </c>
      <c r="H524" s="2" t="s">
        <v>33</v>
      </c>
      <c r="I524" s="2">
        <v>3</v>
      </c>
      <c r="J524" s="2">
        <v>1748</v>
      </c>
      <c r="K524" s="2">
        <v>9</v>
      </c>
      <c r="L524" s="2">
        <v>4772.04</v>
      </c>
    </row>
    <row r="525" spans="1:12" x14ac:dyDescent="0.3">
      <c r="A525" s="2" t="s">
        <v>1074</v>
      </c>
      <c r="B525" s="2" t="s">
        <v>389</v>
      </c>
      <c r="C525" s="2" t="s">
        <v>1075</v>
      </c>
      <c r="D525" s="2" t="s">
        <v>53</v>
      </c>
      <c r="E525" s="2" t="s">
        <v>68</v>
      </c>
      <c r="F525" s="2" t="s">
        <v>25</v>
      </c>
      <c r="G525" s="2" t="s">
        <v>40</v>
      </c>
      <c r="H525" s="2" t="s">
        <v>75</v>
      </c>
      <c r="I525" s="2">
        <v>2</v>
      </c>
      <c r="J525" s="2">
        <v>1128</v>
      </c>
      <c r="K525" s="2">
        <v>14</v>
      </c>
      <c r="L525" s="2">
        <v>1940.16</v>
      </c>
    </row>
    <row r="526" spans="1:12" x14ac:dyDescent="0.3">
      <c r="A526" s="2" t="s">
        <v>1076</v>
      </c>
      <c r="B526" s="2" t="s">
        <v>1077</v>
      </c>
      <c r="C526" s="2" t="s">
        <v>139</v>
      </c>
      <c r="D526" s="2" t="s">
        <v>15</v>
      </c>
      <c r="E526" s="2" t="s">
        <v>68</v>
      </c>
      <c r="F526" s="2" t="s">
        <v>25</v>
      </c>
      <c r="G526" s="2" t="s">
        <v>62</v>
      </c>
      <c r="H526" s="2" t="s">
        <v>44</v>
      </c>
      <c r="I526" s="2">
        <v>5</v>
      </c>
      <c r="J526" s="2">
        <v>2477</v>
      </c>
      <c r="K526" s="2">
        <v>15</v>
      </c>
      <c r="L526" s="2">
        <v>10527.25</v>
      </c>
    </row>
    <row r="527" spans="1:12" x14ac:dyDescent="0.3">
      <c r="A527" s="2" t="s">
        <v>1078</v>
      </c>
      <c r="B527" s="2" t="s">
        <v>1079</v>
      </c>
      <c r="C527" s="2" t="s">
        <v>1080</v>
      </c>
      <c r="D527" s="2" t="s">
        <v>88</v>
      </c>
      <c r="E527" s="2" t="s">
        <v>24</v>
      </c>
      <c r="F527" s="2" t="s">
        <v>40</v>
      </c>
      <c r="G527" s="2" t="s">
        <v>18</v>
      </c>
      <c r="H527" s="2" t="s">
        <v>44</v>
      </c>
      <c r="I527" s="2">
        <v>5</v>
      </c>
      <c r="J527" s="2">
        <v>3365</v>
      </c>
      <c r="K527" s="2">
        <v>20</v>
      </c>
      <c r="L527" s="2">
        <v>13460</v>
      </c>
    </row>
    <row r="528" spans="1:12" x14ac:dyDescent="0.3">
      <c r="A528" s="2" t="s">
        <v>1081</v>
      </c>
      <c r="B528" s="2" t="s">
        <v>662</v>
      </c>
      <c r="C528" s="2" t="s">
        <v>655</v>
      </c>
      <c r="D528" s="2" t="s">
        <v>15</v>
      </c>
      <c r="E528" s="2" t="s">
        <v>68</v>
      </c>
      <c r="F528" s="2" t="s">
        <v>32</v>
      </c>
      <c r="G528" s="2" t="s">
        <v>18</v>
      </c>
      <c r="H528" s="2" t="s">
        <v>75</v>
      </c>
      <c r="I528" s="2">
        <v>2</v>
      </c>
      <c r="J528" s="2">
        <v>3501</v>
      </c>
      <c r="K528" s="2">
        <v>8</v>
      </c>
      <c r="L528" s="2">
        <v>6441.84</v>
      </c>
    </row>
    <row r="529" spans="1:12" x14ac:dyDescent="0.3">
      <c r="A529" s="2" t="s">
        <v>1082</v>
      </c>
      <c r="B529" s="2" t="s">
        <v>1083</v>
      </c>
      <c r="C529" s="2" t="s">
        <v>413</v>
      </c>
      <c r="D529" s="2" t="s">
        <v>88</v>
      </c>
      <c r="E529" s="2" t="s">
        <v>48</v>
      </c>
      <c r="F529" s="2" t="s">
        <v>32</v>
      </c>
      <c r="G529" s="2" t="s">
        <v>40</v>
      </c>
      <c r="H529" s="2" t="s">
        <v>19</v>
      </c>
      <c r="I529" s="2">
        <v>3</v>
      </c>
      <c r="J529" s="2">
        <v>4688</v>
      </c>
      <c r="K529" s="2">
        <v>28</v>
      </c>
      <c r="L529" s="2">
        <v>10126.08</v>
      </c>
    </row>
    <row r="530" spans="1:12" x14ac:dyDescent="0.3">
      <c r="A530" s="2" t="s">
        <v>1084</v>
      </c>
      <c r="B530" s="2" t="s">
        <v>411</v>
      </c>
      <c r="C530" s="2" t="s">
        <v>87</v>
      </c>
      <c r="D530" s="2" t="s">
        <v>23</v>
      </c>
      <c r="E530" s="2" t="s">
        <v>24</v>
      </c>
      <c r="F530" s="2" t="s">
        <v>25</v>
      </c>
      <c r="G530" s="2" t="s">
        <v>26</v>
      </c>
      <c r="H530" s="2" t="s">
        <v>33</v>
      </c>
      <c r="I530" s="2">
        <v>4</v>
      </c>
      <c r="J530" s="2">
        <v>1148</v>
      </c>
      <c r="K530" s="2">
        <v>25</v>
      </c>
      <c r="L530" s="2">
        <v>3444</v>
      </c>
    </row>
    <row r="531" spans="1:12" x14ac:dyDescent="0.3">
      <c r="A531" s="2" t="s">
        <v>1085</v>
      </c>
      <c r="B531" s="2" t="s">
        <v>472</v>
      </c>
      <c r="C531" s="2" t="s">
        <v>924</v>
      </c>
      <c r="D531" s="2" t="s">
        <v>30</v>
      </c>
      <c r="E531" s="2" t="s">
        <v>31</v>
      </c>
      <c r="F531" s="2" t="s">
        <v>40</v>
      </c>
      <c r="G531" s="2" t="s">
        <v>54</v>
      </c>
      <c r="H531" s="2" t="s">
        <v>44</v>
      </c>
      <c r="I531" s="2">
        <v>2</v>
      </c>
      <c r="J531" s="2">
        <v>1091</v>
      </c>
      <c r="K531" s="2">
        <v>29</v>
      </c>
      <c r="L531" s="2">
        <v>1549.22</v>
      </c>
    </row>
    <row r="532" spans="1:12" x14ac:dyDescent="0.3">
      <c r="A532" s="2" t="s">
        <v>1086</v>
      </c>
      <c r="B532" s="2" t="s">
        <v>1087</v>
      </c>
      <c r="C532" s="2" t="s">
        <v>1088</v>
      </c>
      <c r="D532" s="2" t="s">
        <v>30</v>
      </c>
      <c r="E532" s="2" t="s">
        <v>58</v>
      </c>
      <c r="F532" s="2" t="s">
        <v>25</v>
      </c>
      <c r="G532" s="2" t="s">
        <v>40</v>
      </c>
      <c r="H532" s="2" t="s">
        <v>44</v>
      </c>
      <c r="I532" s="2">
        <v>3</v>
      </c>
      <c r="J532" s="2">
        <v>719</v>
      </c>
      <c r="K532" s="2">
        <v>17</v>
      </c>
      <c r="L532" s="2">
        <v>1790.31</v>
      </c>
    </row>
    <row r="533" spans="1:12" x14ac:dyDescent="0.3">
      <c r="A533" s="2" t="s">
        <v>1089</v>
      </c>
      <c r="B533" s="2" t="s">
        <v>1090</v>
      </c>
      <c r="C533" s="2" t="s">
        <v>635</v>
      </c>
      <c r="D533" s="2" t="s">
        <v>88</v>
      </c>
      <c r="E533" s="2" t="s">
        <v>16</v>
      </c>
      <c r="F533" s="2" t="s">
        <v>17</v>
      </c>
      <c r="G533" s="2" t="s">
        <v>54</v>
      </c>
      <c r="H533" s="2" t="s">
        <v>19</v>
      </c>
      <c r="I533" s="2">
        <v>2</v>
      </c>
      <c r="J533" s="2">
        <v>839</v>
      </c>
      <c r="K533" s="2">
        <v>5</v>
      </c>
      <c r="L533" s="2">
        <v>1594.1</v>
      </c>
    </row>
    <row r="534" spans="1:12" x14ac:dyDescent="0.3">
      <c r="A534" s="2" t="s">
        <v>1091</v>
      </c>
      <c r="B534" s="2" t="s">
        <v>1083</v>
      </c>
      <c r="C534" s="2" t="s">
        <v>71</v>
      </c>
      <c r="D534" s="2" t="s">
        <v>15</v>
      </c>
      <c r="E534" s="2" t="s">
        <v>16</v>
      </c>
      <c r="F534" s="2" t="s">
        <v>40</v>
      </c>
      <c r="G534" s="2" t="s">
        <v>40</v>
      </c>
      <c r="H534" s="2" t="s">
        <v>75</v>
      </c>
      <c r="I534" s="2">
        <v>3</v>
      </c>
      <c r="J534" s="2">
        <v>2211</v>
      </c>
      <c r="K534" s="2">
        <v>20</v>
      </c>
      <c r="L534" s="2">
        <v>5306.4</v>
      </c>
    </row>
    <row r="535" spans="1:12" x14ac:dyDescent="0.3">
      <c r="A535" s="2" t="s">
        <v>1092</v>
      </c>
      <c r="B535" s="2" t="s">
        <v>501</v>
      </c>
      <c r="C535" s="2" t="s">
        <v>284</v>
      </c>
      <c r="D535" s="2" t="s">
        <v>30</v>
      </c>
      <c r="E535" s="2" t="s">
        <v>48</v>
      </c>
      <c r="F535" s="2" t="s">
        <v>49</v>
      </c>
      <c r="G535" s="2" t="s">
        <v>26</v>
      </c>
      <c r="H535" s="2" t="s">
        <v>44</v>
      </c>
      <c r="I535" s="2">
        <v>1</v>
      </c>
      <c r="J535" s="2">
        <v>1267</v>
      </c>
      <c r="K535" s="2">
        <v>14</v>
      </c>
      <c r="L535" s="2">
        <v>1089.6199999999999</v>
      </c>
    </row>
    <row r="536" spans="1:12" x14ac:dyDescent="0.3">
      <c r="A536" s="2" t="s">
        <v>1093</v>
      </c>
      <c r="B536" s="2" t="s">
        <v>304</v>
      </c>
      <c r="C536" s="2" t="s">
        <v>157</v>
      </c>
      <c r="D536" s="2" t="s">
        <v>30</v>
      </c>
      <c r="E536" s="2" t="s">
        <v>48</v>
      </c>
      <c r="F536" s="2" t="s">
        <v>49</v>
      </c>
      <c r="G536" s="2" t="s">
        <v>18</v>
      </c>
      <c r="H536" s="2" t="s">
        <v>33</v>
      </c>
      <c r="I536" s="2">
        <v>4</v>
      </c>
      <c r="J536" s="2">
        <v>2879</v>
      </c>
      <c r="K536" s="2">
        <v>20</v>
      </c>
      <c r="L536" s="2">
        <v>9212.7999999999993</v>
      </c>
    </row>
    <row r="537" spans="1:12" x14ac:dyDescent="0.3">
      <c r="A537" s="2" t="s">
        <v>1094</v>
      </c>
      <c r="B537" s="2" t="s">
        <v>70</v>
      </c>
      <c r="C537" s="2" t="s">
        <v>655</v>
      </c>
      <c r="D537" s="2" t="s">
        <v>53</v>
      </c>
      <c r="E537" s="2" t="s">
        <v>24</v>
      </c>
      <c r="F537" s="2" t="s">
        <v>25</v>
      </c>
      <c r="G537" s="2" t="s">
        <v>26</v>
      </c>
      <c r="H537" s="2" t="s">
        <v>75</v>
      </c>
      <c r="I537" s="2">
        <v>1</v>
      </c>
      <c r="J537" s="2">
        <v>2672</v>
      </c>
      <c r="K537" s="2">
        <v>1</v>
      </c>
      <c r="L537" s="2">
        <v>2645.28</v>
      </c>
    </row>
    <row r="538" spans="1:12" x14ac:dyDescent="0.3">
      <c r="A538" s="2" t="s">
        <v>1095</v>
      </c>
      <c r="B538" s="2" t="s">
        <v>159</v>
      </c>
      <c r="C538" s="2" t="s">
        <v>945</v>
      </c>
      <c r="D538" s="2" t="s">
        <v>88</v>
      </c>
      <c r="E538" s="2" t="s">
        <v>68</v>
      </c>
      <c r="F538" s="2" t="s">
        <v>17</v>
      </c>
      <c r="G538" s="2" t="s">
        <v>54</v>
      </c>
      <c r="H538" s="2" t="s">
        <v>19</v>
      </c>
      <c r="I538" s="2">
        <v>4</v>
      </c>
      <c r="J538" s="2">
        <v>1156</v>
      </c>
      <c r="K538" s="2">
        <v>1</v>
      </c>
      <c r="L538" s="2">
        <v>4577.76</v>
      </c>
    </row>
    <row r="539" spans="1:12" x14ac:dyDescent="0.3">
      <c r="A539" s="2" t="s">
        <v>1096</v>
      </c>
      <c r="B539" s="2" t="s">
        <v>463</v>
      </c>
      <c r="C539" s="2" t="s">
        <v>832</v>
      </c>
      <c r="D539" s="2" t="s">
        <v>88</v>
      </c>
      <c r="E539" s="2" t="s">
        <v>31</v>
      </c>
      <c r="F539" s="2" t="s">
        <v>40</v>
      </c>
      <c r="G539" s="2" t="s">
        <v>26</v>
      </c>
      <c r="H539" s="2" t="s">
        <v>44</v>
      </c>
      <c r="I539" s="2">
        <v>1</v>
      </c>
      <c r="J539" s="2">
        <v>2462</v>
      </c>
      <c r="K539" s="2">
        <v>25</v>
      </c>
      <c r="L539" s="2">
        <v>1846.5</v>
      </c>
    </row>
    <row r="540" spans="1:12" x14ac:dyDescent="0.3">
      <c r="A540" s="2" t="s">
        <v>1097</v>
      </c>
      <c r="B540" s="2" t="s">
        <v>1098</v>
      </c>
      <c r="C540" s="2" t="s">
        <v>475</v>
      </c>
      <c r="D540" s="2" t="s">
        <v>53</v>
      </c>
      <c r="E540" s="2" t="s">
        <v>79</v>
      </c>
      <c r="F540" s="2" t="s">
        <v>40</v>
      </c>
      <c r="G540" s="2" t="s">
        <v>26</v>
      </c>
      <c r="H540" s="2" t="s">
        <v>19</v>
      </c>
      <c r="I540" s="2">
        <v>2</v>
      </c>
      <c r="J540" s="2">
        <v>3315</v>
      </c>
      <c r="K540" s="2">
        <v>4</v>
      </c>
      <c r="L540" s="2">
        <v>6364.8</v>
      </c>
    </row>
    <row r="541" spans="1:12" x14ac:dyDescent="0.3">
      <c r="A541" s="2" t="s">
        <v>1099</v>
      </c>
      <c r="B541" s="2" t="s">
        <v>723</v>
      </c>
      <c r="C541" s="2" t="s">
        <v>117</v>
      </c>
      <c r="D541" s="2" t="s">
        <v>30</v>
      </c>
      <c r="E541" s="2" t="s">
        <v>48</v>
      </c>
      <c r="F541" s="2" t="s">
        <v>17</v>
      </c>
      <c r="G541" s="2" t="s">
        <v>26</v>
      </c>
      <c r="H541" s="2" t="s">
        <v>19</v>
      </c>
      <c r="I541" s="2">
        <v>5</v>
      </c>
      <c r="J541" s="2">
        <v>3412</v>
      </c>
      <c r="K541" s="2">
        <v>19</v>
      </c>
      <c r="L541" s="2">
        <v>13818.6</v>
      </c>
    </row>
    <row r="542" spans="1:12" x14ac:dyDescent="0.3">
      <c r="A542" s="2" t="s">
        <v>1100</v>
      </c>
      <c r="B542" s="2" t="s">
        <v>240</v>
      </c>
      <c r="C542" s="2" t="s">
        <v>370</v>
      </c>
      <c r="D542" s="2" t="s">
        <v>15</v>
      </c>
      <c r="E542" s="2" t="s">
        <v>58</v>
      </c>
      <c r="F542" s="2" t="s">
        <v>40</v>
      </c>
      <c r="G542" s="2" t="s">
        <v>40</v>
      </c>
      <c r="H542" s="2" t="s">
        <v>19</v>
      </c>
      <c r="I542" s="2">
        <v>2</v>
      </c>
      <c r="J542" s="2">
        <v>1716</v>
      </c>
      <c r="K542" s="2">
        <v>0</v>
      </c>
      <c r="L542" s="2">
        <v>3432</v>
      </c>
    </row>
    <row r="543" spans="1:12" x14ac:dyDescent="0.3">
      <c r="A543" s="2" t="s">
        <v>1101</v>
      </c>
      <c r="B543" s="2" t="s">
        <v>987</v>
      </c>
      <c r="C543" s="2" t="s">
        <v>924</v>
      </c>
      <c r="D543" s="2" t="s">
        <v>88</v>
      </c>
      <c r="E543" s="2" t="s">
        <v>48</v>
      </c>
      <c r="F543" s="2" t="s">
        <v>40</v>
      </c>
      <c r="G543" s="2" t="s">
        <v>54</v>
      </c>
      <c r="H543" s="2" t="s">
        <v>75</v>
      </c>
      <c r="I543" s="2">
        <v>2</v>
      </c>
      <c r="J543" s="2">
        <v>2315</v>
      </c>
      <c r="K543" s="2">
        <v>23</v>
      </c>
      <c r="L543" s="2">
        <v>3565.1</v>
      </c>
    </row>
    <row r="544" spans="1:12" x14ac:dyDescent="0.3">
      <c r="A544" s="2" t="s">
        <v>1102</v>
      </c>
      <c r="B544" s="2" t="s">
        <v>119</v>
      </c>
      <c r="C544" s="2" t="s">
        <v>983</v>
      </c>
      <c r="D544" s="2" t="s">
        <v>53</v>
      </c>
      <c r="E544" s="2" t="s">
        <v>24</v>
      </c>
      <c r="F544" s="2" t="s">
        <v>17</v>
      </c>
      <c r="G544" s="2" t="s">
        <v>18</v>
      </c>
      <c r="H544" s="2" t="s">
        <v>75</v>
      </c>
      <c r="I544" s="2">
        <v>4</v>
      </c>
      <c r="J544" s="2">
        <v>3009</v>
      </c>
      <c r="K544" s="2">
        <v>25</v>
      </c>
      <c r="L544" s="2">
        <v>9027</v>
      </c>
    </row>
    <row r="545" spans="1:12" x14ac:dyDescent="0.3">
      <c r="A545" s="2" t="s">
        <v>1103</v>
      </c>
      <c r="B545" s="2" t="s">
        <v>107</v>
      </c>
      <c r="C545" s="2" t="s">
        <v>284</v>
      </c>
      <c r="D545" s="2" t="s">
        <v>30</v>
      </c>
      <c r="E545" s="2" t="s">
        <v>24</v>
      </c>
      <c r="F545" s="2" t="s">
        <v>40</v>
      </c>
      <c r="G545" s="2" t="s">
        <v>26</v>
      </c>
      <c r="H545" s="2" t="s">
        <v>33</v>
      </c>
      <c r="I545" s="2">
        <v>3</v>
      </c>
      <c r="J545" s="2">
        <v>3689</v>
      </c>
      <c r="K545" s="2">
        <v>27</v>
      </c>
      <c r="L545" s="2">
        <v>8078.91</v>
      </c>
    </row>
    <row r="546" spans="1:12" x14ac:dyDescent="0.3">
      <c r="A546" s="2" t="s">
        <v>1104</v>
      </c>
      <c r="B546" s="2" t="s">
        <v>840</v>
      </c>
      <c r="C546" s="2" t="s">
        <v>247</v>
      </c>
      <c r="D546" s="2" t="s">
        <v>15</v>
      </c>
      <c r="E546" s="2" t="s">
        <v>31</v>
      </c>
      <c r="F546" s="2" t="s">
        <v>40</v>
      </c>
      <c r="G546" s="2" t="s">
        <v>62</v>
      </c>
      <c r="H546" s="2" t="s">
        <v>33</v>
      </c>
      <c r="I546" s="2">
        <v>4</v>
      </c>
      <c r="J546" s="2">
        <v>3953</v>
      </c>
      <c r="K546" s="2">
        <v>3</v>
      </c>
      <c r="L546" s="2">
        <v>15337.64</v>
      </c>
    </row>
    <row r="547" spans="1:12" x14ac:dyDescent="0.3">
      <c r="A547" s="2" t="s">
        <v>1105</v>
      </c>
      <c r="B547" s="2" t="s">
        <v>1106</v>
      </c>
      <c r="C547" s="2" t="s">
        <v>407</v>
      </c>
      <c r="D547" s="2" t="s">
        <v>53</v>
      </c>
      <c r="E547" s="2" t="s">
        <v>58</v>
      </c>
      <c r="F547" s="2" t="s">
        <v>40</v>
      </c>
      <c r="G547" s="2" t="s">
        <v>54</v>
      </c>
      <c r="H547" s="2" t="s">
        <v>33</v>
      </c>
      <c r="I547" s="2">
        <v>2</v>
      </c>
      <c r="J547" s="2">
        <v>3867</v>
      </c>
      <c r="K547" s="2">
        <v>28</v>
      </c>
      <c r="L547" s="2">
        <v>5568.48</v>
      </c>
    </row>
    <row r="548" spans="1:12" x14ac:dyDescent="0.3">
      <c r="A548" s="2" t="s">
        <v>1107</v>
      </c>
      <c r="B548" s="2" t="s">
        <v>696</v>
      </c>
      <c r="C548" s="2" t="s">
        <v>166</v>
      </c>
      <c r="D548" s="2" t="s">
        <v>53</v>
      </c>
      <c r="E548" s="2" t="s">
        <v>48</v>
      </c>
      <c r="F548" s="2" t="s">
        <v>32</v>
      </c>
      <c r="G548" s="2" t="s">
        <v>40</v>
      </c>
      <c r="H548" s="2" t="s">
        <v>33</v>
      </c>
      <c r="I548" s="2">
        <v>5</v>
      </c>
      <c r="J548" s="2">
        <v>4071</v>
      </c>
      <c r="K548" s="2">
        <v>9</v>
      </c>
      <c r="L548" s="2">
        <v>18523.05</v>
      </c>
    </row>
    <row r="549" spans="1:12" x14ac:dyDescent="0.3">
      <c r="A549" s="2" t="s">
        <v>1108</v>
      </c>
      <c r="B549" s="2" t="s">
        <v>1109</v>
      </c>
      <c r="C549" s="2" t="s">
        <v>206</v>
      </c>
      <c r="D549" s="2" t="s">
        <v>88</v>
      </c>
      <c r="E549" s="2" t="s">
        <v>48</v>
      </c>
      <c r="F549" s="2" t="s">
        <v>40</v>
      </c>
      <c r="G549" s="2" t="s">
        <v>54</v>
      </c>
      <c r="H549" s="2" t="s">
        <v>33</v>
      </c>
      <c r="I549" s="2">
        <v>5</v>
      </c>
      <c r="J549" s="2">
        <v>995</v>
      </c>
      <c r="K549" s="2">
        <v>18</v>
      </c>
      <c r="L549" s="2">
        <v>4079.5</v>
      </c>
    </row>
    <row r="550" spans="1:12" x14ac:dyDescent="0.3">
      <c r="A550" s="2" t="s">
        <v>1110</v>
      </c>
      <c r="B550" s="2" t="s">
        <v>1018</v>
      </c>
      <c r="C550" s="2" t="s">
        <v>983</v>
      </c>
      <c r="D550" s="2" t="s">
        <v>23</v>
      </c>
      <c r="E550" s="2" t="s">
        <v>16</v>
      </c>
      <c r="F550" s="2" t="s">
        <v>17</v>
      </c>
      <c r="G550" s="2" t="s">
        <v>62</v>
      </c>
      <c r="H550" s="2" t="s">
        <v>75</v>
      </c>
      <c r="I550" s="2">
        <v>2</v>
      </c>
      <c r="J550" s="2">
        <v>4155</v>
      </c>
      <c r="K550" s="2">
        <v>0</v>
      </c>
      <c r="L550" s="2">
        <v>8310</v>
      </c>
    </row>
    <row r="551" spans="1:12" x14ac:dyDescent="0.3">
      <c r="A551" s="2" t="s">
        <v>1111</v>
      </c>
      <c r="B551" s="2" t="s">
        <v>825</v>
      </c>
      <c r="C551" s="2" t="s">
        <v>538</v>
      </c>
      <c r="D551" s="2" t="s">
        <v>88</v>
      </c>
      <c r="E551" s="2" t="s">
        <v>68</v>
      </c>
      <c r="F551" s="2" t="s">
        <v>40</v>
      </c>
      <c r="G551" s="2" t="s">
        <v>62</v>
      </c>
      <c r="H551" s="2" t="s">
        <v>19</v>
      </c>
      <c r="I551" s="2">
        <v>2</v>
      </c>
      <c r="J551" s="2">
        <v>861</v>
      </c>
      <c r="K551" s="2">
        <v>3</v>
      </c>
      <c r="L551" s="2">
        <v>1670.34</v>
      </c>
    </row>
    <row r="552" spans="1:12" x14ac:dyDescent="0.3">
      <c r="A552" s="2" t="s">
        <v>1112</v>
      </c>
      <c r="B552" s="2" t="s">
        <v>1014</v>
      </c>
      <c r="C552" s="2" t="s">
        <v>475</v>
      </c>
      <c r="D552" s="2" t="s">
        <v>23</v>
      </c>
      <c r="E552" s="2" t="s">
        <v>16</v>
      </c>
      <c r="F552" s="2" t="s">
        <v>40</v>
      </c>
      <c r="G552" s="2" t="s">
        <v>40</v>
      </c>
      <c r="H552" s="2" t="s">
        <v>44</v>
      </c>
      <c r="I552" s="2">
        <v>3</v>
      </c>
      <c r="J552" s="2">
        <v>2766</v>
      </c>
      <c r="K552" s="2">
        <v>26</v>
      </c>
      <c r="L552" s="2">
        <v>6140.52</v>
      </c>
    </row>
    <row r="553" spans="1:12" x14ac:dyDescent="0.3">
      <c r="A553" s="2" t="s">
        <v>1113</v>
      </c>
      <c r="B553" s="2" t="s">
        <v>1114</v>
      </c>
      <c r="C553" s="2" t="s">
        <v>1004</v>
      </c>
      <c r="D553" s="2" t="s">
        <v>15</v>
      </c>
      <c r="E553" s="2" t="s">
        <v>24</v>
      </c>
      <c r="F553" s="2" t="s">
        <v>49</v>
      </c>
      <c r="G553" s="2" t="s">
        <v>62</v>
      </c>
      <c r="H553" s="2" t="s">
        <v>33</v>
      </c>
      <c r="I553" s="2">
        <v>4</v>
      </c>
      <c r="J553" s="2">
        <v>3225</v>
      </c>
      <c r="K553" s="2">
        <v>29</v>
      </c>
      <c r="L553" s="2">
        <v>9159</v>
      </c>
    </row>
    <row r="554" spans="1:12" x14ac:dyDescent="0.3">
      <c r="A554" s="2" t="s">
        <v>1115</v>
      </c>
      <c r="B554" s="2" t="s">
        <v>369</v>
      </c>
      <c r="C554" s="2" t="s">
        <v>1047</v>
      </c>
      <c r="D554" s="2" t="s">
        <v>15</v>
      </c>
      <c r="E554" s="2" t="s">
        <v>48</v>
      </c>
      <c r="F554" s="2" t="s">
        <v>17</v>
      </c>
      <c r="G554" s="2" t="s">
        <v>62</v>
      </c>
      <c r="H554" s="2" t="s">
        <v>19</v>
      </c>
      <c r="I554" s="2">
        <v>1</v>
      </c>
      <c r="J554" s="2">
        <v>808</v>
      </c>
      <c r="K554" s="2">
        <v>19</v>
      </c>
      <c r="L554" s="2">
        <v>654.48</v>
      </c>
    </row>
    <row r="555" spans="1:12" x14ac:dyDescent="0.3">
      <c r="A555" s="2" t="s">
        <v>1116</v>
      </c>
      <c r="B555" s="2" t="s">
        <v>165</v>
      </c>
      <c r="C555" s="2" t="s">
        <v>880</v>
      </c>
      <c r="D555" s="2" t="s">
        <v>88</v>
      </c>
      <c r="E555" s="2" t="s">
        <v>16</v>
      </c>
      <c r="F555" s="2" t="s">
        <v>49</v>
      </c>
      <c r="G555" s="2" t="s">
        <v>26</v>
      </c>
      <c r="H555" s="2" t="s">
        <v>19</v>
      </c>
      <c r="I555" s="2">
        <v>5</v>
      </c>
      <c r="J555" s="2">
        <v>2391</v>
      </c>
      <c r="K555" s="2">
        <v>28</v>
      </c>
      <c r="L555" s="2">
        <v>8607.6</v>
      </c>
    </row>
    <row r="556" spans="1:12" x14ac:dyDescent="0.3">
      <c r="A556" s="2" t="s">
        <v>1117</v>
      </c>
      <c r="B556" s="2" t="s">
        <v>631</v>
      </c>
      <c r="C556" s="2" t="s">
        <v>111</v>
      </c>
      <c r="D556" s="2" t="s">
        <v>53</v>
      </c>
      <c r="E556" s="2" t="s">
        <v>79</v>
      </c>
      <c r="F556" s="2" t="s">
        <v>49</v>
      </c>
      <c r="G556" s="2" t="s">
        <v>40</v>
      </c>
      <c r="H556" s="2" t="s">
        <v>19</v>
      </c>
      <c r="I556" s="2">
        <v>3</v>
      </c>
      <c r="J556" s="2">
        <v>1441</v>
      </c>
      <c r="K556" s="2">
        <v>0</v>
      </c>
      <c r="L556" s="2">
        <v>4323</v>
      </c>
    </row>
    <row r="557" spans="1:12" x14ac:dyDescent="0.3">
      <c r="A557" s="2" t="s">
        <v>1118</v>
      </c>
      <c r="B557" s="2" t="s">
        <v>509</v>
      </c>
      <c r="C557" s="2" t="s">
        <v>436</v>
      </c>
      <c r="D557" s="2" t="s">
        <v>53</v>
      </c>
      <c r="E557" s="2" t="s">
        <v>58</v>
      </c>
      <c r="F557" s="2" t="s">
        <v>32</v>
      </c>
      <c r="G557" s="2" t="s">
        <v>54</v>
      </c>
      <c r="H557" s="2" t="s">
        <v>19</v>
      </c>
      <c r="I557" s="2">
        <v>3</v>
      </c>
      <c r="J557" s="2">
        <v>2074</v>
      </c>
      <c r="K557" s="2">
        <v>22</v>
      </c>
      <c r="L557" s="2">
        <v>4853.16</v>
      </c>
    </row>
    <row r="558" spans="1:12" x14ac:dyDescent="0.3">
      <c r="A558" s="2" t="s">
        <v>1119</v>
      </c>
      <c r="B558" s="2" t="s">
        <v>1120</v>
      </c>
      <c r="C558" s="2" t="s">
        <v>711</v>
      </c>
      <c r="D558" s="2" t="s">
        <v>88</v>
      </c>
      <c r="E558" s="2" t="s">
        <v>68</v>
      </c>
      <c r="F558" s="2" t="s">
        <v>25</v>
      </c>
      <c r="G558" s="2" t="s">
        <v>62</v>
      </c>
      <c r="H558" s="2" t="s">
        <v>44</v>
      </c>
      <c r="I558" s="2">
        <v>5</v>
      </c>
      <c r="J558" s="2">
        <v>2304</v>
      </c>
      <c r="K558" s="2">
        <v>23</v>
      </c>
      <c r="L558" s="2">
        <v>8870.4</v>
      </c>
    </row>
    <row r="559" spans="1:12" x14ac:dyDescent="0.3">
      <c r="A559" s="2" t="s">
        <v>1121</v>
      </c>
      <c r="B559" s="2" t="s">
        <v>1122</v>
      </c>
      <c r="C559" s="2" t="s">
        <v>413</v>
      </c>
      <c r="D559" s="2" t="s">
        <v>23</v>
      </c>
      <c r="E559" s="2" t="s">
        <v>48</v>
      </c>
      <c r="F559" s="2" t="s">
        <v>17</v>
      </c>
      <c r="G559" s="2" t="s">
        <v>40</v>
      </c>
      <c r="H559" s="2" t="s">
        <v>75</v>
      </c>
      <c r="I559" s="2">
        <v>3</v>
      </c>
      <c r="J559" s="2">
        <v>2016</v>
      </c>
      <c r="K559" s="2">
        <v>21</v>
      </c>
      <c r="L559" s="2">
        <v>4777.92</v>
      </c>
    </row>
    <row r="560" spans="1:12" x14ac:dyDescent="0.3">
      <c r="A560" s="2" t="s">
        <v>1123</v>
      </c>
      <c r="B560" s="2" t="s">
        <v>243</v>
      </c>
      <c r="C560" s="2" t="s">
        <v>1124</v>
      </c>
      <c r="D560" s="2" t="s">
        <v>30</v>
      </c>
      <c r="E560" s="2" t="s">
        <v>58</v>
      </c>
      <c r="F560" s="2" t="s">
        <v>40</v>
      </c>
      <c r="G560" s="2" t="s">
        <v>26</v>
      </c>
      <c r="H560" s="2" t="s">
        <v>33</v>
      </c>
      <c r="I560" s="2">
        <v>5</v>
      </c>
      <c r="J560" s="2">
        <v>3587</v>
      </c>
      <c r="K560" s="2">
        <v>20</v>
      </c>
      <c r="L560" s="2">
        <v>14348</v>
      </c>
    </row>
    <row r="561" spans="1:12" x14ac:dyDescent="0.3">
      <c r="A561" s="2" t="s">
        <v>1125</v>
      </c>
      <c r="B561" s="2" t="s">
        <v>854</v>
      </c>
      <c r="C561" s="2" t="s">
        <v>1126</v>
      </c>
      <c r="D561" s="2" t="s">
        <v>15</v>
      </c>
      <c r="E561" s="2" t="s">
        <v>58</v>
      </c>
      <c r="F561" s="2" t="s">
        <v>49</v>
      </c>
      <c r="G561" s="2" t="s">
        <v>40</v>
      </c>
      <c r="H561" s="2" t="s">
        <v>44</v>
      </c>
      <c r="I561" s="2">
        <v>2</v>
      </c>
      <c r="J561" s="2">
        <v>1075</v>
      </c>
      <c r="K561" s="2">
        <v>15</v>
      </c>
      <c r="L561" s="2">
        <v>1827.5</v>
      </c>
    </row>
    <row r="562" spans="1:12" x14ac:dyDescent="0.3">
      <c r="A562" s="2" t="s">
        <v>1127</v>
      </c>
      <c r="B562" s="2" t="s">
        <v>177</v>
      </c>
      <c r="C562" s="2" t="s">
        <v>133</v>
      </c>
      <c r="D562" s="2" t="s">
        <v>30</v>
      </c>
      <c r="E562" s="2" t="s">
        <v>58</v>
      </c>
      <c r="F562" s="2" t="s">
        <v>17</v>
      </c>
      <c r="G562" s="2" t="s">
        <v>54</v>
      </c>
      <c r="H562" s="2" t="s">
        <v>33</v>
      </c>
      <c r="I562" s="2">
        <v>5</v>
      </c>
      <c r="J562" s="2">
        <v>988</v>
      </c>
      <c r="K562" s="2">
        <v>15</v>
      </c>
      <c r="L562" s="2">
        <v>4199</v>
      </c>
    </row>
    <row r="563" spans="1:12" x14ac:dyDescent="0.3">
      <c r="A563" s="2" t="s">
        <v>1128</v>
      </c>
      <c r="B563" s="2" t="s">
        <v>1129</v>
      </c>
      <c r="C563" s="2" t="s">
        <v>1130</v>
      </c>
      <c r="D563" s="2" t="s">
        <v>23</v>
      </c>
      <c r="E563" s="2" t="s">
        <v>68</v>
      </c>
      <c r="F563" s="2" t="s">
        <v>49</v>
      </c>
      <c r="G563" s="2" t="s">
        <v>54</v>
      </c>
      <c r="H563" s="2" t="s">
        <v>75</v>
      </c>
      <c r="I563" s="2">
        <v>4</v>
      </c>
      <c r="J563" s="2">
        <v>301</v>
      </c>
      <c r="K563" s="2">
        <v>15</v>
      </c>
      <c r="L563" s="2">
        <v>1023.4</v>
      </c>
    </row>
    <row r="564" spans="1:12" x14ac:dyDescent="0.3">
      <c r="A564" s="2" t="s">
        <v>1131</v>
      </c>
      <c r="B564" s="2" t="s">
        <v>182</v>
      </c>
      <c r="C564" s="2" t="s">
        <v>814</v>
      </c>
      <c r="D564" s="2" t="s">
        <v>23</v>
      </c>
      <c r="E564" s="2" t="s">
        <v>68</v>
      </c>
      <c r="F564" s="2" t="s">
        <v>40</v>
      </c>
      <c r="G564" s="2" t="s">
        <v>26</v>
      </c>
      <c r="H564" s="2" t="s">
        <v>33</v>
      </c>
      <c r="I564" s="2">
        <v>1</v>
      </c>
      <c r="J564" s="2">
        <v>852</v>
      </c>
      <c r="K564" s="2">
        <v>9</v>
      </c>
      <c r="L564" s="2">
        <v>775.32</v>
      </c>
    </row>
    <row r="565" spans="1:12" x14ac:dyDescent="0.3">
      <c r="A565" s="2" t="s">
        <v>1132</v>
      </c>
      <c r="B565" s="2" t="s">
        <v>392</v>
      </c>
      <c r="C565" s="2" t="s">
        <v>1133</v>
      </c>
      <c r="D565" s="2" t="s">
        <v>53</v>
      </c>
      <c r="E565" s="2" t="s">
        <v>16</v>
      </c>
      <c r="F565" s="2" t="s">
        <v>25</v>
      </c>
      <c r="G565" s="2" t="s">
        <v>26</v>
      </c>
      <c r="H565" s="2" t="s">
        <v>75</v>
      </c>
      <c r="I565" s="2">
        <v>5</v>
      </c>
      <c r="J565" s="2">
        <v>1341</v>
      </c>
      <c r="K565" s="2">
        <v>21</v>
      </c>
      <c r="L565" s="2">
        <v>5296.95</v>
      </c>
    </row>
    <row r="566" spans="1:12" x14ac:dyDescent="0.3">
      <c r="A566" s="2" t="s">
        <v>1134</v>
      </c>
      <c r="B566" s="2" t="s">
        <v>73</v>
      </c>
      <c r="C566" s="2" t="s">
        <v>267</v>
      </c>
      <c r="D566" s="2" t="s">
        <v>53</v>
      </c>
      <c r="E566" s="2" t="s">
        <v>31</v>
      </c>
      <c r="F566" s="2" t="s">
        <v>25</v>
      </c>
      <c r="G566" s="2" t="s">
        <v>18</v>
      </c>
      <c r="H566" s="2" t="s">
        <v>19</v>
      </c>
      <c r="I566" s="2">
        <v>3</v>
      </c>
      <c r="J566" s="2">
        <v>3249</v>
      </c>
      <c r="K566" s="2">
        <v>16</v>
      </c>
      <c r="L566" s="2">
        <v>8187.48</v>
      </c>
    </row>
    <row r="567" spans="1:12" x14ac:dyDescent="0.3">
      <c r="A567" s="2" t="s">
        <v>1135</v>
      </c>
      <c r="B567" s="2" t="s">
        <v>51</v>
      </c>
      <c r="C567" s="2" t="s">
        <v>130</v>
      </c>
      <c r="D567" s="2" t="s">
        <v>15</v>
      </c>
      <c r="E567" s="2" t="s">
        <v>48</v>
      </c>
      <c r="F567" s="2" t="s">
        <v>49</v>
      </c>
      <c r="G567" s="2" t="s">
        <v>40</v>
      </c>
      <c r="H567" s="2" t="s">
        <v>44</v>
      </c>
      <c r="I567" s="2">
        <v>1</v>
      </c>
      <c r="J567" s="2">
        <v>2520</v>
      </c>
      <c r="K567" s="2">
        <v>5</v>
      </c>
      <c r="L567" s="2">
        <v>2394</v>
      </c>
    </row>
    <row r="568" spans="1:12" x14ac:dyDescent="0.3">
      <c r="A568" s="2" t="s">
        <v>1136</v>
      </c>
      <c r="B568" s="2" t="s">
        <v>1137</v>
      </c>
      <c r="C568" s="2" t="s">
        <v>535</v>
      </c>
      <c r="D568" s="2" t="s">
        <v>30</v>
      </c>
      <c r="E568" s="2" t="s">
        <v>16</v>
      </c>
      <c r="F568" s="2" t="s">
        <v>40</v>
      </c>
      <c r="G568" s="2" t="s">
        <v>18</v>
      </c>
      <c r="H568" s="2" t="s">
        <v>33</v>
      </c>
      <c r="I568" s="2">
        <v>2</v>
      </c>
      <c r="J568" s="2">
        <v>587</v>
      </c>
      <c r="K568" s="2">
        <v>5</v>
      </c>
      <c r="L568" s="2">
        <v>1115.3</v>
      </c>
    </row>
    <row r="569" spans="1:12" x14ac:dyDescent="0.3">
      <c r="A569" s="2" t="s">
        <v>1138</v>
      </c>
      <c r="B569" s="2" t="s">
        <v>295</v>
      </c>
      <c r="C569" s="2" t="s">
        <v>87</v>
      </c>
      <c r="D569" s="2" t="s">
        <v>53</v>
      </c>
      <c r="E569" s="2" t="s">
        <v>79</v>
      </c>
      <c r="F569" s="2" t="s">
        <v>25</v>
      </c>
      <c r="G569" s="2" t="s">
        <v>18</v>
      </c>
      <c r="H569" s="2" t="s">
        <v>44</v>
      </c>
      <c r="I569" s="2">
        <v>1</v>
      </c>
      <c r="J569" s="2">
        <v>311</v>
      </c>
      <c r="K569" s="2">
        <v>9</v>
      </c>
      <c r="L569" s="2">
        <v>283.01</v>
      </c>
    </row>
    <row r="570" spans="1:12" x14ac:dyDescent="0.3">
      <c r="A570" s="2" t="s">
        <v>1139</v>
      </c>
      <c r="B570" s="2" t="s">
        <v>205</v>
      </c>
      <c r="C570" s="2" t="s">
        <v>191</v>
      </c>
      <c r="D570" s="2" t="s">
        <v>88</v>
      </c>
      <c r="E570" s="2" t="s">
        <v>48</v>
      </c>
      <c r="F570" s="2" t="s">
        <v>40</v>
      </c>
      <c r="G570" s="2" t="s">
        <v>26</v>
      </c>
      <c r="H570" s="2" t="s">
        <v>19</v>
      </c>
      <c r="I570" s="2">
        <v>5</v>
      </c>
      <c r="J570" s="2">
        <v>3701</v>
      </c>
      <c r="K570" s="2">
        <v>25</v>
      </c>
      <c r="L570" s="2">
        <v>13878.75</v>
      </c>
    </row>
    <row r="571" spans="1:12" x14ac:dyDescent="0.3">
      <c r="A571" s="2" t="s">
        <v>1140</v>
      </c>
      <c r="B571" s="2" t="s">
        <v>662</v>
      </c>
      <c r="C571" s="2" t="s">
        <v>931</v>
      </c>
      <c r="D571" s="2" t="s">
        <v>15</v>
      </c>
      <c r="E571" s="2" t="s">
        <v>16</v>
      </c>
      <c r="F571" s="2" t="s">
        <v>49</v>
      </c>
      <c r="G571" s="2" t="s">
        <v>54</v>
      </c>
      <c r="H571" s="2" t="s">
        <v>33</v>
      </c>
      <c r="I571" s="2">
        <v>5</v>
      </c>
      <c r="J571" s="2">
        <v>2160</v>
      </c>
      <c r="K571" s="2">
        <v>27</v>
      </c>
      <c r="L571" s="2">
        <v>7884</v>
      </c>
    </row>
    <row r="572" spans="1:12" x14ac:dyDescent="0.3">
      <c r="A572" s="2" t="s">
        <v>1141</v>
      </c>
      <c r="B572" s="2" t="s">
        <v>467</v>
      </c>
      <c r="C572" s="2" t="s">
        <v>590</v>
      </c>
      <c r="D572" s="2" t="s">
        <v>15</v>
      </c>
      <c r="E572" s="2" t="s">
        <v>16</v>
      </c>
      <c r="F572" s="2" t="s">
        <v>49</v>
      </c>
      <c r="G572" s="2" t="s">
        <v>54</v>
      </c>
      <c r="H572" s="2" t="s">
        <v>19</v>
      </c>
      <c r="I572" s="2">
        <v>4</v>
      </c>
      <c r="J572" s="2">
        <v>3733</v>
      </c>
      <c r="K572" s="2">
        <v>10</v>
      </c>
      <c r="L572" s="2">
        <v>13438.8</v>
      </c>
    </row>
    <row r="573" spans="1:12" x14ac:dyDescent="0.3">
      <c r="A573" s="2" t="s">
        <v>1142</v>
      </c>
      <c r="B573" s="2" t="s">
        <v>221</v>
      </c>
      <c r="C573" s="2" t="s">
        <v>858</v>
      </c>
      <c r="D573" s="2" t="s">
        <v>15</v>
      </c>
      <c r="E573" s="2" t="s">
        <v>58</v>
      </c>
      <c r="F573" s="2" t="s">
        <v>32</v>
      </c>
      <c r="G573" s="2" t="s">
        <v>18</v>
      </c>
      <c r="H573" s="2" t="s">
        <v>19</v>
      </c>
      <c r="I573" s="2">
        <v>1</v>
      </c>
      <c r="J573" s="2">
        <v>706</v>
      </c>
      <c r="K573" s="2">
        <v>26</v>
      </c>
      <c r="L573" s="2">
        <v>522.44000000000005</v>
      </c>
    </row>
    <row r="574" spans="1:12" x14ac:dyDescent="0.3">
      <c r="A574" s="2" t="s">
        <v>1143</v>
      </c>
      <c r="B574" s="2" t="s">
        <v>1144</v>
      </c>
      <c r="C574" s="2" t="s">
        <v>1133</v>
      </c>
      <c r="D574" s="2" t="s">
        <v>15</v>
      </c>
      <c r="E574" s="2" t="s">
        <v>58</v>
      </c>
      <c r="F574" s="2" t="s">
        <v>49</v>
      </c>
      <c r="G574" s="2" t="s">
        <v>26</v>
      </c>
      <c r="H574" s="2" t="s">
        <v>19</v>
      </c>
      <c r="I574" s="2">
        <v>2</v>
      </c>
      <c r="J574" s="2">
        <v>2811</v>
      </c>
      <c r="K574" s="2">
        <v>14</v>
      </c>
      <c r="L574" s="2">
        <v>4834.92</v>
      </c>
    </row>
    <row r="575" spans="1:12" x14ac:dyDescent="0.3">
      <c r="A575" s="2" t="s">
        <v>1145</v>
      </c>
      <c r="B575" s="2" t="s">
        <v>1146</v>
      </c>
      <c r="C575" s="2" t="s">
        <v>1041</v>
      </c>
      <c r="D575" s="2" t="s">
        <v>30</v>
      </c>
      <c r="E575" s="2" t="s">
        <v>31</v>
      </c>
      <c r="F575" s="2" t="s">
        <v>49</v>
      </c>
      <c r="G575" s="2" t="s">
        <v>62</v>
      </c>
      <c r="H575" s="2" t="s">
        <v>33</v>
      </c>
      <c r="I575" s="2">
        <v>1</v>
      </c>
      <c r="J575" s="2">
        <v>952</v>
      </c>
      <c r="K575" s="2">
        <v>30</v>
      </c>
      <c r="L575" s="2">
        <v>666.4</v>
      </c>
    </row>
    <row r="576" spans="1:12" x14ac:dyDescent="0.3">
      <c r="A576" s="2" t="s">
        <v>1147</v>
      </c>
      <c r="B576" s="2" t="s">
        <v>769</v>
      </c>
      <c r="C576" s="2" t="s">
        <v>451</v>
      </c>
      <c r="D576" s="2" t="s">
        <v>30</v>
      </c>
      <c r="E576" s="2" t="s">
        <v>16</v>
      </c>
      <c r="F576" s="2" t="s">
        <v>49</v>
      </c>
      <c r="G576" s="2" t="s">
        <v>40</v>
      </c>
      <c r="H576" s="2" t="s">
        <v>33</v>
      </c>
      <c r="I576" s="2">
        <v>5</v>
      </c>
      <c r="J576" s="2">
        <v>3427</v>
      </c>
      <c r="K576" s="2">
        <v>22</v>
      </c>
      <c r="L576" s="2">
        <v>13365.3</v>
      </c>
    </row>
    <row r="577" spans="1:12" x14ac:dyDescent="0.3">
      <c r="A577" s="2" t="s">
        <v>1148</v>
      </c>
      <c r="B577" s="2" t="s">
        <v>406</v>
      </c>
      <c r="C577" s="2" t="s">
        <v>78</v>
      </c>
      <c r="D577" s="2" t="s">
        <v>53</v>
      </c>
      <c r="E577" s="2" t="s">
        <v>79</v>
      </c>
      <c r="F577" s="2" t="s">
        <v>32</v>
      </c>
      <c r="G577" s="2" t="s">
        <v>40</v>
      </c>
      <c r="H577" s="2" t="s">
        <v>44</v>
      </c>
      <c r="I577" s="2">
        <v>4</v>
      </c>
      <c r="J577" s="2">
        <v>269</v>
      </c>
      <c r="K577" s="2">
        <v>16</v>
      </c>
      <c r="L577" s="2">
        <v>903.84</v>
      </c>
    </row>
    <row r="578" spans="1:12" x14ac:dyDescent="0.3">
      <c r="A578" s="2" t="s">
        <v>1149</v>
      </c>
      <c r="B578" s="2" t="s">
        <v>514</v>
      </c>
      <c r="C578" s="2" t="s">
        <v>535</v>
      </c>
      <c r="D578" s="2" t="s">
        <v>88</v>
      </c>
      <c r="E578" s="2" t="s">
        <v>68</v>
      </c>
      <c r="F578" s="2" t="s">
        <v>49</v>
      </c>
      <c r="G578" s="2" t="s">
        <v>40</v>
      </c>
      <c r="H578" s="2" t="s">
        <v>33</v>
      </c>
      <c r="I578" s="2">
        <v>5</v>
      </c>
      <c r="J578" s="2">
        <v>3847</v>
      </c>
      <c r="K578" s="2">
        <v>23</v>
      </c>
      <c r="L578" s="2">
        <v>14810.95</v>
      </c>
    </row>
    <row r="579" spans="1:12" x14ac:dyDescent="0.3">
      <c r="A579" s="2" t="s">
        <v>1150</v>
      </c>
      <c r="B579" s="2" t="s">
        <v>1151</v>
      </c>
      <c r="C579" s="2" t="s">
        <v>780</v>
      </c>
      <c r="D579" s="2" t="s">
        <v>15</v>
      </c>
      <c r="E579" s="2" t="s">
        <v>48</v>
      </c>
      <c r="F579" s="2" t="s">
        <v>40</v>
      </c>
      <c r="G579" s="2" t="s">
        <v>18</v>
      </c>
      <c r="H579" s="2" t="s">
        <v>19</v>
      </c>
      <c r="I579" s="2">
        <v>4</v>
      </c>
      <c r="J579" s="2">
        <v>1558</v>
      </c>
      <c r="K579" s="2">
        <v>26</v>
      </c>
      <c r="L579" s="2">
        <v>4611.68</v>
      </c>
    </row>
    <row r="580" spans="1:12" x14ac:dyDescent="0.3">
      <c r="A580" s="2" t="s">
        <v>1152</v>
      </c>
      <c r="B580" s="2" t="s">
        <v>1153</v>
      </c>
      <c r="C580" s="2" t="s">
        <v>317</v>
      </c>
      <c r="D580" s="2" t="s">
        <v>88</v>
      </c>
      <c r="E580" s="2" t="s">
        <v>79</v>
      </c>
      <c r="F580" s="2" t="s">
        <v>40</v>
      </c>
      <c r="G580" s="2" t="s">
        <v>54</v>
      </c>
      <c r="H580" s="2" t="s">
        <v>44</v>
      </c>
      <c r="I580" s="2">
        <v>5</v>
      </c>
      <c r="J580" s="2">
        <v>1488</v>
      </c>
      <c r="K580" s="2">
        <v>13</v>
      </c>
      <c r="L580" s="2">
        <v>6472.8</v>
      </c>
    </row>
    <row r="581" spans="1:12" x14ac:dyDescent="0.3">
      <c r="A581" s="2" t="s">
        <v>1154</v>
      </c>
      <c r="B581" s="2" t="s">
        <v>369</v>
      </c>
      <c r="C581" s="2" t="s">
        <v>1057</v>
      </c>
      <c r="D581" s="2" t="s">
        <v>15</v>
      </c>
      <c r="E581" s="2" t="s">
        <v>48</v>
      </c>
      <c r="F581" s="2" t="s">
        <v>40</v>
      </c>
      <c r="G581" s="2" t="s">
        <v>18</v>
      </c>
      <c r="H581" s="2" t="s">
        <v>33</v>
      </c>
      <c r="I581" s="2">
        <v>3</v>
      </c>
      <c r="J581" s="2">
        <v>3242</v>
      </c>
      <c r="K581" s="2">
        <v>24</v>
      </c>
      <c r="L581" s="2">
        <v>7391.76</v>
      </c>
    </row>
    <row r="582" spans="1:12" x14ac:dyDescent="0.3">
      <c r="A582" s="2" t="s">
        <v>1155</v>
      </c>
      <c r="B582" s="2" t="s">
        <v>51</v>
      </c>
      <c r="C582" s="2" t="s">
        <v>334</v>
      </c>
      <c r="D582" s="2" t="s">
        <v>88</v>
      </c>
      <c r="E582" s="2" t="s">
        <v>48</v>
      </c>
      <c r="F582" s="2" t="s">
        <v>49</v>
      </c>
      <c r="G582" s="2" t="s">
        <v>18</v>
      </c>
      <c r="H582" s="2" t="s">
        <v>75</v>
      </c>
      <c r="I582" s="2">
        <v>3</v>
      </c>
      <c r="J582" s="2">
        <v>3101</v>
      </c>
      <c r="K582" s="2">
        <v>18</v>
      </c>
      <c r="L582" s="2">
        <v>7628.46</v>
      </c>
    </row>
    <row r="583" spans="1:12" x14ac:dyDescent="0.3">
      <c r="A583" s="2" t="s">
        <v>1156</v>
      </c>
      <c r="B583" s="2" t="s">
        <v>116</v>
      </c>
      <c r="C583" s="2" t="s">
        <v>247</v>
      </c>
      <c r="D583" s="2" t="s">
        <v>53</v>
      </c>
      <c r="E583" s="2" t="s">
        <v>31</v>
      </c>
      <c r="F583" s="2" t="s">
        <v>25</v>
      </c>
      <c r="G583" s="2" t="s">
        <v>62</v>
      </c>
      <c r="H583" s="2" t="s">
        <v>44</v>
      </c>
      <c r="I583" s="2">
        <v>2</v>
      </c>
      <c r="J583" s="2">
        <v>1932</v>
      </c>
      <c r="K583" s="2">
        <v>12</v>
      </c>
      <c r="L583" s="2">
        <v>3400.32</v>
      </c>
    </row>
    <row r="584" spans="1:12" x14ac:dyDescent="0.3">
      <c r="A584" s="2" t="s">
        <v>1157</v>
      </c>
      <c r="B584" s="2" t="s">
        <v>403</v>
      </c>
      <c r="C584" s="2" t="s">
        <v>960</v>
      </c>
      <c r="D584" s="2" t="s">
        <v>23</v>
      </c>
      <c r="E584" s="2" t="s">
        <v>31</v>
      </c>
      <c r="F584" s="2" t="s">
        <v>32</v>
      </c>
      <c r="G584" s="2" t="s">
        <v>54</v>
      </c>
      <c r="H584" s="2" t="s">
        <v>19</v>
      </c>
      <c r="I584" s="2">
        <v>4</v>
      </c>
      <c r="J584" s="2">
        <v>2070</v>
      </c>
      <c r="K584" s="2">
        <v>1</v>
      </c>
      <c r="L584" s="2">
        <v>8197.2000000000007</v>
      </c>
    </row>
    <row r="585" spans="1:12" x14ac:dyDescent="0.3">
      <c r="A585" s="2" t="s">
        <v>1158</v>
      </c>
      <c r="B585" s="2" t="s">
        <v>395</v>
      </c>
      <c r="C585" s="2" t="s">
        <v>78</v>
      </c>
      <c r="D585" s="2" t="s">
        <v>30</v>
      </c>
      <c r="E585" s="2" t="s">
        <v>31</v>
      </c>
      <c r="F585" s="2" t="s">
        <v>17</v>
      </c>
      <c r="G585" s="2" t="s">
        <v>26</v>
      </c>
      <c r="H585" s="2" t="s">
        <v>75</v>
      </c>
      <c r="I585" s="2">
        <v>5</v>
      </c>
      <c r="J585" s="2">
        <v>1040</v>
      </c>
      <c r="K585" s="2">
        <v>11</v>
      </c>
      <c r="L585" s="2">
        <v>4628</v>
      </c>
    </row>
    <row r="586" spans="1:12" x14ac:dyDescent="0.3">
      <c r="A586" s="2" t="s">
        <v>1159</v>
      </c>
      <c r="B586" s="2" t="s">
        <v>504</v>
      </c>
      <c r="C586" s="2" t="s">
        <v>729</v>
      </c>
      <c r="D586" s="2" t="s">
        <v>53</v>
      </c>
      <c r="E586" s="2" t="s">
        <v>16</v>
      </c>
      <c r="F586" s="2" t="s">
        <v>40</v>
      </c>
      <c r="G586" s="2" t="s">
        <v>54</v>
      </c>
      <c r="H586" s="2" t="s">
        <v>19</v>
      </c>
      <c r="I586" s="2">
        <v>4</v>
      </c>
      <c r="J586" s="2">
        <v>4839</v>
      </c>
      <c r="K586" s="2">
        <v>29</v>
      </c>
      <c r="L586" s="2">
        <v>13742.76</v>
      </c>
    </row>
    <row r="587" spans="1:12" x14ac:dyDescent="0.3">
      <c r="A587" s="2" t="s">
        <v>1160</v>
      </c>
      <c r="B587" s="2" t="s">
        <v>578</v>
      </c>
      <c r="C587" s="2" t="s">
        <v>1161</v>
      </c>
      <c r="D587" s="2" t="s">
        <v>53</v>
      </c>
      <c r="E587" s="2" t="s">
        <v>31</v>
      </c>
      <c r="F587" s="2" t="s">
        <v>49</v>
      </c>
      <c r="G587" s="2" t="s">
        <v>54</v>
      </c>
      <c r="H587" s="2" t="s">
        <v>33</v>
      </c>
      <c r="I587" s="2">
        <v>2</v>
      </c>
      <c r="J587" s="2">
        <v>1022</v>
      </c>
      <c r="K587" s="2">
        <v>10</v>
      </c>
      <c r="L587" s="2">
        <v>1839.6</v>
      </c>
    </row>
    <row r="588" spans="1:12" x14ac:dyDescent="0.3">
      <c r="A588" s="2" t="s">
        <v>1162</v>
      </c>
      <c r="B588" s="2" t="s">
        <v>1163</v>
      </c>
      <c r="C588" s="2" t="s">
        <v>748</v>
      </c>
      <c r="D588" s="2" t="s">
        <v>15</v>
      </c>
      <c r="E588" s="2" t="s">
        <v>58</v>
      </c>
      <c r="F588" s="2" t="s">
        <v>32</v>
      </c>
      <c r="G588" s="2" t="s">
        <v>18</v>
      </c>
      <c r="H588" s="2" t="s">
        <v>33</v>
      </c>
      <c r="I588" s="2">
        <v>1</v>
      </c>
      <c r="J588" s="2">
        <v>1159</v>
      </c>
      <c r="K588" s="2">
        <v>21</v>
      </c>
      <c r="L588" s="2">
        <v>915.61</v>
      </c>
    </row>
    <row r="589" spans="1:12" x14ac:dyDescent="0.3">
      <c r="A589" s="2" t="s">
        <v>1164</v>
      </c>
      <c r="B589" s="2" t="s">
        <v>278</v>
      </c>
      <c r="C589" s="2" t="s">
        <v>732</v>
      </c>
      <c r="D589" s="2" t="s">
        <v>15</v>
      </c>
      <c r="E589" s="2" t="s">
        <v>79</v>
      </c>
      <c r="F589" s="2" t="s">
        <v>32</v>
      </c>
      <c r="G589" s="2" t="s">
        <v>62</v>
      </c>
      <c r="H589" s="2" t="s">
        <v>75</v>
      </c>
      <c r="I589" s="2">
        <v>1</v>
      </c>
      <c r="J589" s="2">
        <v>1639</v>
      </c>
      <c r="K589" s="2">
        <v>3</v>
      </c>
      <c r="L589" s="2">
        <v>1589.83</v>
      </c>
    </row>
    <row r="590" spans="1:12" x14ac:dyDescent="0.3">
      <c r="A590" s="2" t="s">
        <v>1165</v>
      </c>
      <c r="B590" s="2" t="s">
        <v>70</v>
      </c>
      <c r="C590" s="2" t="s">
        <v>1041</v>
      </c>
      <c r="D590" s="2" t="s">
        <v>23</v>
      </c>
      <c r="E590" s="2" t="s">
        <v>48</v>
      </c>
      <c r="F590" s="2" t="s">
        <v>32</v>
      </c>
      <c r="G590" s="2" t="s">
        <v>54</v>
      </c>
      <c r="H590" s="2" t="s">
        <v>33</v>
      </c>
      <c r="I590" s="2">
        <v>4</v>
      </c>
      <c r="J590" s="2">
        <v>1617</v>
      </c>
      <c r="K590" s="2">
        <v>6</v>
      </c>
      <c r="L590" s="2">
        <v>6079.92</v>
      </c>
    </row>
    <row r="591" spans="1:12" x14ac:dyDescent="0.3">
      <c r="A591" s="2" t="s">
        <v>1166</v>
      </c>
      <c r="B591" s="2" t="s">
        <v>681</v>
      </c>
      <c r="C591" s="2" t="s">
        <v>416</v>
      </c>
      <c r="D591" s="2" t="s">
        <v>88</v>
      </c>
      <c r="E591" s="2" t="s">
        <v>31</v>
      </c>
      <c r="F591" s="2" t="s">
        <v>25</v>
      </c>
      <c r="G591" s="2" t="s">
        <v>26</v>
      </c>
      <c r="H591" s="2" t="s">
        <v>75</v>
      </c>
      <c r="I591" s="2">
        <v>3</v>
      </c>
      <c r="J591" s="2">
        <v>4418</v>
      </c>
      <c r="K591" s="2">
        <v>0</v>
      </c>
      <c r="L591" s="2">
        <v>13254</v>
      </c>
    </row>
    <row r="592" spans="1:12" x14ac:dyDescent="0.3">
      <c r="A592" s="2" t="s">
        <v>1167</v>
      </c>
      <c r="B592" s="2" t="s">
        <v>249</v>
      </c>
      <c r="C592" s="2" t="s">
        <v>325</v>
      </c>
      <c r="D592" s="2" t="s">
        <v>23</v>
      </c>
      <c r="E592" s="2" t="s">
        <v>16</v>
      </c>
      <c r="F592" s="2" t="s">
        <v>49</v>
      </c>
      <c r="G592" s="2" t="s">
        <v>54</v>
      </c>
      <c r="H592" s="2" t="s">
        <v>75</v>
      </c>
      <c r="I592" s="2">
        <v>2</v>
      </c>
      <c r="J592" s="2">
        <v>307</v>
      </c>
      <c r="K592" s="2">
        <v>10</v>
      </c>
      <c r="L592" s="2">
        <v>552.6</v>
      </c>
    </row>
    <row r="593" spans="1:12" x14ac:dyDescent="0.3">
      <c r="A593" s="2" t="s">
        <v>1168</v>
      </c>
      <c r="B593" s="2" t="s">
        <v>1169</v>
      </c>
      <c r="C593" s="2" t="s">
        <v>419</v>
      </c>
      <c r="D593" s="2" t="s">
        <v>53</v>
      </c>
      <c r="E593" s="2" t="s">
        <v>24</v>
      </c>
      <c r="F593" s="2" t="s">
        <v>32</v>
      </c>
      <c r="G593" s="2" t="s">
        <v>62</v>
      </c>
      <c r="H593" s="2" t="s">
        <v>19</v>
      </c>
      <c r="I593" s="2">
        <v>1</v>
      </c>
      <c r="J593" s="2">
        <v>2672</v>
      </c>
      <c r="K593" s="2">
        <v>11</v>
      </c>
      <c r="L593" s="2">
        <v>2378.08</v>
      </c>
    </row>
    <row r="594" spans="1:12" x14ac:dyDescent="0.3">
      <c r="A594" s="2" t="s">
        <v>1170</v>
      </c>
      <c r="B594" s="2" t="s">
        <v>168</v>
      </c>
      <c r="C594" s="2" t="s">
        <v>197</v>
      </c>
      <c r="D594" s="2" t="s">
        <v>23</v>
      </c>
      <c r="E594" s="2" t="s">
        <v>68</v>
      </c>
      <c r="F594" s="2" t="s">
        <v>32</v>
      </c>
      <c r="G594" s="2" t="s">
        <v>54</v>
      </c>
      <c r="H594" s="2" t="s">
        <v>75</v>
      </c>
      <c r="I594" s="2">
        <v>2</v>
      </c>
      <c r="J594" s="2">
        <v>2957</v>
      </c>
      <c r="K594" s="2">
        <v>23</v>
      </c>
      <c r="L594" s="2">
        <v>4553.78</v>
      </c>
    </row>
    <row r="595" spans="1:12" x14ac:dyDescent="0.3">
      <c r="A595" s="2" t="s">
        <v>1171</v>
      </c>
      <c r="B595" s="2" t="s">
        <v>906</v>
      </c>
      <c r="C595" s="2" t="s">
        <v>522</v>
      </c>
      <c r="D595" s="2" t="s">
        <v>23</v>
      </c>
      <c r="E595" s="2" t="s">
        <v>68</v>
      </c>
      <c r="F595" s="2" t="s">
        <v>25</v>
      </c>
      <c r="G595" s="2" t="s">
        <v>62</v>
      </c>
      <c r="H595" s="2" t="s">
        <v>33</v>
      </c>
      <c r="I595" s="2">
        <v>5</v>
      </c>
      <c r="J595" s="2">
        <v>3936</v>
      </c>
      <c r="K595" s="2">
        <v>25</v>
      </c>
      <c r="L595" s="2">
        <v>14760</v>
      </c>
    </row>
    <row r="596" spans="1:12" x14ac:dyDescent="0.3">
      <c r="A596" s="2" t="s">
        <v>1172</v>
      </c>
      <c r="B596" s="2" t="s">
        <v>479</v>
      </c>
      <c r="C596" s="2" t="s">
        <v>241</v>
      </c>
      <c r="D596" s="2" t="s">
        <v>15</v>
      </c>
      <c r="E596" s="2" t="s">
        <v>16</v>
      </c>
      <c r="F596" s="2" t="s">
        <v>49</v>
      </c>
      <c r="G596" s="2" t="s">
        <v>54</v>
      </c>
      <c r="H596" s="2" t="s">
        <v>75</v>
      </c>
      <c r="I596" s="2">
        <v>4</v>
      </c>
      <c r="J596" s="2">
        <v>1400</v>
      </c>
      <c r="K596" s="2">
        <v>4</v>
      </c>
      <c r="L596" s="2">
        <v>5376</v>
      </c>
    </row>
    <row r="597" spans="1:12" x14ac:dyDescent="0.3">
      <c r="A597" s="2" t="s">
        <v>1173</v>
      </c>
      <c r="B597" s="2" t="s">
        <v>252</v>
      </c>
      <c r="C597" s="2" t="s">
        <v>562</v>
      </c>
      <c r="D597" s="2" t="s">
        <v>15</v>
      </c>
      <c r="E597" s="2" t="s">
        <v>48</v>
      </c>
      <c r="F597" s="2" t="s">
        <v>25</v>
      </c>
      <c r="G597" s="2" t="s">
        <v>40</v>
      </c>
      <c r="H597" s="2" t="s">
        <v>33</v>
      </c>
      <c r="I597" s="2">
        <v>1</v>
      </c>
      <c r="J597" s="2">
        <v>1636</v>
      </c>
      <c r="K597" s="2">
        <v>15</v>
      </c>
      <c r="L597" s="2">
        <v>1390.6</v>
      </c>
    </row>
    <row r="598" spans="1:12" x14ac:dyDescent="0.3">
      <c r="A598" s="2" t="s">
        <v>1174</v>
      </c>
      <c r="B598" s="2" t="s">
        <v>696</v>
      </c>
      <c r="C598" s="2" t="s">
        <v>882</v>
      </c>
      <c r="D598" s="2" t="s">
        <v>53</v>
      </c>
      <c r="E598" s="2" t="s">
        <v>79</v>
      </c>
      <c r="F598" s="2" t="s">
        <v>17</v>
      </c>
      <c r="G598" s="2" t="s">
        <v>54</v>
      </c>
      <c r="H598" s="2" t="s">
        <v>44</v>
      </c>
      <c r="I598" s="2">
        <v>2</v>
      </c>
      <c r="J598" s="2">
        <v>2778</v>
      </c>
      <c r="K598" s="2">
        <v>20</v>
      </c>
      <c r="L598" s="2">
        <v>4444.8</v>
      </c>
    </row>
    <row r="599" spans="1:12" x14ac:dyDescent="0.3">
      <c r="A599" s="2" t="s">
        <v>1175</v>
      </c>
      <c r="B599" s="2" t="s">
        <v>1176</v>
      </c>
      <c r="C599" s="2" t="s">
        <v>267</v>
      </c>
      <c r="D599" s="2" t="s">
        <v>23</v>
      </c>
      <c r="E599" s="2" t="s">
        <v>24</v>
      </c>
      <c r="F599" s="2" t="s">
        <v>32</v>
      </c>
      <c r="G599" s="2" t="s">
        <v>18</v>
      </c>
      <c r="H599" s="2" t="s">
        <v>33</v>
      </c>
      <c r="I599" s="2">
        <v>3</v>
      </c>
      <c r="J599" s="2">
        <v>4297</v>
      </c>
      <c r="K599" s="2">
        <v>4</v>
      </c>
      <c r="L599" s="2">
        <v>12375.36</v>
      </c>
    </row>
    <row r="600" spans="1:12" x14ac:dyDescent="0.3">
      <c r="A600" s="2" t="s">
        <v>1177</v>
      </c>
      <c r="B600" s="2" t="s">
        <v>300</v>
      </c>
      <c r="C600" s="2" t="s">
        <v>454</v>
      </c>
      <c r="D600" s="2" t="s">
        <v>88</v>
      </c>
      <c r="E600" s="2" t="s">
        <v>48</v>
      </c>
      <c r="F600" s="2" t="s">
        <v>40</v>
      </c>
      <c r="G600" s="2" t="s">
        <v>26</v>
      </c>
      <c r="H600" s="2" t="s">
        <v>75</v>
      </c>
      <c r="I600" s="2">
        <v>2</v>
      </c>
      <c r="J600" s="2">
        <v>820</v>
      </c>
      <c r="K600" s="2">
        <v>0</v>
      </c>
      <c r="L600" s="2">
        <v>1640</v>
      </c>
    </row>
    <row r="601" spans="1:12" x14ac:dyDescent="0.3">
      <c r="A601" s="2" t="s">
        <v>1178</v>
      </c>
      <c r="B601" s="2" t="s">
        <v>440</v>
      </c>
      <c r="C601" s="2" t="s">
        <v>1179</v>
      </c>
      <c r="D601" s="2" t="s">
        <v>23</v>
      </c>
      <c r="E601" s="2" t="s">
        <v>48</v>
      </c>
      <c r="F601" s="2" t="s">
        <v>49</v>
      </c>
      <c r="G601" s="2" t="s">
        <v>18</v>
      </c>
      <c r="H601" s="2" t="s">
        <v>44</v>
      </c>
      <c r="I601" s="2">
        <v>3</v>
      </c>
      <c r="J601" s="2">
        <v>1487</v>
      </c>
      <c r="K601" s="2">
        <v>20</v>
      </c>
      <c r="L601" s="2">
        <v>3568.8</v>
      </c>
    </row>
    <row r="602" spans="1:12" x14ac:dyDescent="0.3">
      <c r="A602" s="2" t="s">
        <v>1180</v>
      </c>
      <c r="B602" s="2" t="s">
        <v>165</v>
      </c>
      <c r="C602" s="2" t="s">
        <v>1181</v>
      </c>
      <c r="D602" s="2" t="s">
        <v>23</v>
      </c>
      <c r="E602" s="2" t="s">
        <v>24</v>
      </c>
      <c r="F602" s="2" t="s">
        <v>49</v>
      </c>
      <c r="G602" s="2" t="s">
        <v>26</v>
      </c>
      <c r="H602" s="2" t="s">
        <v>44</v>
      </c>
      <c r="I602" s="2">
        <v>4</v>
      </c>
      <c r="J602" s="2">
        <v>4722</v>
      </c>
      <c r="K602" s="2">
        <v>19</v>
      </c>
      <c r="L602" s="2">
        <v>15299.28</v>
      </c>
    </row>
    <row r="603" spans="1:12" x14ac:dyDescent="0.3">
      <c r="A603" s="2" t="s">
        <v>1182</v>
      </c>
      <c r="B603" s="2" t="s">
        <v>1183</v>
      </c>
      <c r="C603" s="2" t="s">
        <v>826</v>
      </c>
      <c r="D603" s="2" t="s">
        <v>23</v>
      </c>
      <c r="E603" s="2" t="s">
        <v>24</v>
      </c>
      <c r="F603" s="2" t="s">
        <v>49</v>
      </c>
      <c r="G603" s="2" t="s">
        <v>54</v>
      </c>
      <c r="H603" s="2" t="s">
        <v>19</v>
      </c>
      <c r="I603" s="2">
        <v>4</v>
      </c>
      <c r="J603" s="2">
        <v>1104</v>
      </c>
      <c r="K603" s="2">
        <v>11</v>
      </c>
      <c r="L603" s="2">
        <v>3930.24</v>
      </c>
    </row>
    <row r="604" spans="1:12" x14ac:dyDescent="0.3">
      <c r="A604" s="2" t="s">
        <v>1184</v>
      </c>
      <c r="B604" s="2" t="s">
        <v>687</v>
      </c>
      <c r="C604" s="2" t="s">
        <v>632</v>
      </c>
      <c r="D604" s="2" t="s">
        <v>53</v>
      </c>
      <c r="E604" s="2" t="s">
        <v>48</v>
      </c>
      <c r="F604" s="2" t="s">
        <v>49</v>
      </c>
      <c r="G604" s="2" t="s">
        <v>62</v>
      </c>
      <c r="H604" s="2" t="s">
        <v>19</v>
      </c>
      <c r="I604" s="2">
        <v>4</v>
      </c>
      <c r="J604" s="2">
        <v>3477</v>
      </c>
      <c r="K604" s="2">
        <v>3</v>
      </c>
      <c r="L604" s="2">
        <v>13490.76</v>
      </c>
    </row>
    <row r="605" spans="1:12" x14ac:dyDescent="0.3">
      <c r="A605" s="2" t="s">
        <v>1185</v>
      </c>
      <c r="B605" s="2" t="s">
        <v>330</v>
      </c>
      <c r="C605" s="2" t="s">
        <v>39</v>
      </c>
      <c r="D605" s="2" t="s">
        <v>15</v>
      </c>
      <c r="E605" s="2" t="s">
        <v>79</v>
      </c>
      <c r="F605" s="2" t="s">
        <v>32</v>
      </c>
      <c r="G605" s="2" t="s">
        <v>18</v>
      </c>
      <c r="H605" s="2" t="s">
        <v>75</v>
      </c>
      <c r="I605" s="2">
        <v>2</v>
      </c>
      <c r="J605" s="2">
        <v>2034</v>
      </c>
      <c r="K605" s="2">
        <v>17</v>
      </c>
      <c r="L605" s="2">
        <v>3376.44</v>
      </c>
    </row>
    <row r="606" spans="1:12" x14ac:dyDescent="0.3">
      <c r="A606" s="2" t="s">
        <v>1186</v>
      </c>
      <c r="B606" s="2" t="s">
        <v>760</v>
      </c>
      <c r="C606" s="2" t="s">
        <v>305</v>
      </c>
      <c r="D606" s="2" t="s">
        <v>88</v>
      </c>
      <c r="E606" s="2" t="s">
        <v>58</v>
      </c>
      <c r="F606" s="2" t="s">
        <v>17</v>
      </c>
      <c r="G606" s="2" t="s">
        <v>62</v>
      </c>
      <c r="H606" s="2" t="s">
        <v>44</v>
      </c>
      <c r="I606" s="2">
        <v>1</v>
      </c>
      <c r="J606" s="2">
        <v>4208</v>
      </c>
      <c r="K606" s="2">
        <v>9</v>
      </c>
      <c r="L606" s="2">
        <v>3829.28</v>
      </c>
    </row>
    <row r="607" spans="1:12" x14ac:dyDescent="0.3">
      <c r="A607" s="2" t="s">
        <v>1187</v>
      </c>
      <c r="B607" s="2" t="s">
        <v>582</v>
      </c>
      <c r="C607" s="2" t="s">
        <v>97</v>
      </c>
      <c r="D607" s="2" t="s">
        <v>88</v>
      </c>
      <c r="E607" s="2" t="s">
        <v>68</v>
      </c>
      <c r="F607" s="2" t="s">
        <v>25</v>
      </c>
      <c r="G607" s="2" t="s">
        <v>62</v>
      </c>
      <c r="H607" s="2" t="s">
        <v>44</v>
      </c>
      <c r="I607" s="2">
        <v>5</v>
      </c>
      <c r="J607" s="2">
        <v>848</v>
      </c>
      <c r="K607" s="2">
        <v>16</v>
      </c>
      <c r="L607" s="2">
        <v>3561.6</v>
      </c>
    </row>
    <row r="608" spans="1:12" x14ac:dyDescent="0.3">
      <c r="A608" s="2" t="s">
        <v>1188</v>
      </c>
      <c r="B608" s="2" t="s">
        <v>895</v>
      </c>
      <c r="C608" s="2" t="s">
        <v>619</v>
      </c>
      <c r="D608" s="2" t="s">
        <v>30</v>
      </c>
      <c r="E608" s="2" t="s">
        <v>31</v>
      </c>
      <c r="F608" s="2" t="s">
        <v>40</v>
      </c>
      <c r="G608" s="2" t="s">
        <v>54</v>
      </c>
      <c r="H608" s="2" t="s">
        <v>33</v>
      </c>
      <c r="I608" s="2">
        <v>5</v>
      </c>
      <c r="J608" s="2">
        <v>1773</v>
      </c>
      <c r="K608" s="2">
        <v>29</v>
      </c>
      <c r="L608" s="2">
        <v>6294.15</v>
      </c>
    </row>
    <row r="609" spans="1:12" x14ac:dyDescent="0.3">
      <c r="A609" s="2" t="s">
        <v>1189</v>
      </c>
      <c r="B609" s="2" t="s">
        <v>592</v>
      </c>
      <c r="C609" s="2" t="s">
        <v>1190</v>
      </c>
      <c r="D609" s="2" t="s">
        <v>23</v>
      </c>
      <c r="E609" s="2" t="s">
        <v>24</v>
      </c>
      <c r="F609" s="2" t="s">
        <v>49</v>
      </c>
      <c r="G609" s="2" t="s">
        <v>40</v>
      </c>
      <c r="H609" s="2" t="s">
        <v>19</v>
      </c>
      <c r="I609" s="2">
        <v>3</v>
      </c>
      <c r="J609" s="2">
        <v>1894</v>
      </c>
      <c r="K609" s="2">
        <v>15</v>
      </c>
      <c r="L609" s="2">
        <v>4829.7</v>
      </c>
    </row>
    <row r="610" spans="1:12" x14ac:dyDescent="0.3">
      <c r="A610" s="2" t="s">
        <v>1191</v>
      </c>
      <c r="B610" s="2" t="s">
        <v>637</v>
      </c>
      <c r="C610" s="2" t="s">
        <v>163</v>
      </c>
      <c r="D610" s="2" t="s">
        <v>23</v>
      </c>
      <c r="E610" s="2" t="s">
        <v>31</v>
      </c>
      <c r="F610" s="2" t="s">
        <v>49</v>
      </c>
      <c r="G610" s="2" t="s">
        <v>40</v>
      </c>
      <c r="H610" s="2" t="s">
        <v>75</v>
      </c>
      <c r="I610" s="2">
        <v>2</v>
      </c>
      <c r="J610" s="2">
        <v>4813</v>
      </c>
      <c r="K610" s="2">
        <v>22</v>
      </c>
      <c r="L610" s="2">
        <v>7508.28</v>
      </c>
    </row>
    <row r="611" spans="1:12" x14ac:dyDescent="0.3">
      <c r="A611" s="2" t="s">
        <v>1192</v>
      </c>
      <c r="B611" s="2" t="s">
        <v>456</v>
      </c>
      <c r="C611" s="2" t="s">
        <v>794</v>
      </c>
      <c r="D611" s="2" t="s">
        <v>88</v>
      </c>
      <c r="E611" s="2" t="s">
        <v>24</v>
      </c>
      <c r="F611" s="2" t="s">
        <v>40</v>
      </c>
      <c r="G611" s="2" t="s">
        <v>18</v>
      </c>
      <c r="H611" s="2" t="s">
        <v>75</v>
      </c>
      <c r="I611" s="2">
        <v>4</v>
      </c>
      <c r="J611" s="2">
        <v>2804</v>
      </c>
      <c r="K611" s="2">
        <v>1</v>
      </c>
      <c r="L611" s="2">
        <v>11103.84</v>
      </c>
    </row>
    <row r="612" spans="1:12" x14ac:dyDescent="0.3">
      <c r="A612" s="2" t="s">
        <v>1193</v>
      </c>
      <c r="B612" s="2" t="s">
        <v>1194</v>
      </c>
      <c r="C612" s="2" t="s">
        <v>983</v>
      </c>
      <c r="D612" s="2" t="s">
        <v>88</v>
      </c>
      <c r="E612" s="2" t="s">
        <v>31</v>
      </c>
      <c r="F612" s="2" t="s">
        <v>25</v>
      </c>
      <c r="G612" s="2" t="s">
        <v>40</v>
      </c>
      <c r="H612" s="2" t="s">
        <v>75</v>
      </c>
      <c r="I612" s="2">
        <v>2</v>
      </c>
      <c r="J612" s="2">
        <v>2233</v>
      </c>
      <c r="K612" s="2">
        <v>9</v>
      </c>
      <c r="L612" s="2">
        <v>4064.06</v>
      </c>
    </row>
    <row r="613" spans="1:12" x14ac:dyDescent="0.3">
      <c r="A613" s="2" t="s">
        <v>1195</v>
      </c>
      <c r="B613" s="2" t="s">
        <v>275</v>
      </c>
      <c r="C613" s="2" t="s">
        <v>1075</v>
      </c>
      <c r="D613" s="2" t="s">
        <v>53</v>
      </c>
      <c r="E613" s="2" t="s">
        <v>16</v>
      </c>
      <c r="F613" s="2" t="s">
        <v>49</v>
      </c>
      <c r="G613" s="2" t="s">
        <v>18</v>
      </c>
      <c r="H613" s="2" t="s">
        <v>75</v>
      </c>
      <c r="I613" s="2">
        <v>3</v>
      </c>
      <c r="J613" s="2">
        <v>3917</v>
      </c>
      <c r="K613" s="2">
        <v>1</v>
      </c>
      <c r="L613" s="2">
        <v>11633.49</v>
      </c>
    </row>
    <row r="614" spans="1:12" x14ac:dyDescent="0.3">
      <c r="A614" s="2" t="s">
        <v>1196</v>
      </c>
      <c r="B614" s="2" t="s">
        <v>746</v>
      </c>
      <c r="C614" s="2" t="s">
        <v>758</v>
      </c>
      <c r="D614" s="2" t="s">
        <v>30</v>
      </c>
      <c r="E614" s="2" t="s">
        <v>24</v>
      </c>
      <c r="F614" s="2" t="s">
        <v>32</v>
      </c>
      <c r="G614" s="2" t="s">
        <v>62</v>
      </c>
      <c r="H614" s="2" t="s">
        <v>75</v>
      </c>
      <c r="I614" s="2">
        <v>3</v>
      </c>
      <c r="J614" s="2">
        <v>2365</v>
      </c>
      <c r="K614" s="2">
        <v>30</v>
      </c>
      <c r="L614" s="2">
        <v>4966.5</v>
      </c>
    </row>
    <row r="615" spans="1:12" x14ac:dyDescent="0.3">
      <c r="A615" s="2" t="s">
        <v>1197</v>
      </c>
      <c r="B615" s="2" t="s">
        <v>1068</v>
      </c>
      <c r="C615" s="2" t="s">
        <v>390</v>
      </c>
      <c r="D615" s="2" t="s">
        <v>30</v>
      </c>
      <c r="E615" s="2" t="s">
        <v>16</v>
      </c>
      <c r="F615" s="2" t="s">
        <v>49</v>
      </c>
      <c r="G615" s="2" t="s">
        <v>26</v>
      </c>
      <c r="H615" s="2" t="s">
        <v>75</v>
      </c>
      <c r="I615" s="2">
        <v>5</v>
      </c>
      <c r="J615" s="2">
        <v>3911</v>
      </c>
      <c r="K615" s="2">
        <v>26</v>
      </c>
      <c r="L615" s="2">
        <v>14470.7</v>
      </c>
    </row>
    <row r="616" spans="1:12" x14ac:dyDescent="0.3">
      <c r="A616" s="2" t="s">
        <v>1198</v>
      </c>
      <c r="B616" s="2" t="s">
        <v>1199</v>
      </c>
      <c r="C616" s="2" t="s">
        <v>396</v>
      </c>
      <c r="D616" s="2" t="s">
        <v>53</v>
      </c>
      <c r="E616" s="2" t="s">
        <v>68</v>
      </c>
      <c r="F616" s="2" t="s">
        <v>40</v>
      </c>
      <c r="G616" s="2" t="s">
        <v>18</v>
      </c>
      <c r="H616" s="2" t="s">
        <v>44</v>
      </c>
      <c r="I616" s="2">
        <v>4</v>
      </c>
      <c r="J616" s="2">
        <v>2433</v>
      </c>
      <c r="K616" s="2">
        <v>2</v>
      </c>
      <c r="L616" s="2">
        <v>9537.36</v>
      </c>
    </row>
    <row r="617" spans="1:12" x14ac:dyDescent="0.3">
      <c r="A617" s="2" t="s">
        <v>1200</v>
      </c>
      <c r="B617" s="2" t="s">
        <v>1201</v>
      </c>
      <c r="C617" s="2" t="s">
        <v>512</v>
      </c>
      <c r="D617" s="2" t="s">
        <v>23</v>
      </c>
      <c r="E617" s="2" t="s">
        <v>24</v>
      </c>
      <c r="F617" s="2" t="s">
        <v>32</v>
      </c>
      <c r="G617" s="2" t="s">
        <v>18</v>
      </c>
      <c r="H617" s="2" t="s">
        <v>75</v>
      </c>
      <c r="I617" s="2">
        <v>4</v>
      </c>
      <c r="J617" s="2">
        <v>3749</v>
      </c>
      <c r="K617" s="2">
        <v>2</v>
      </c>
      <c r="L617" s="2">
        <v>14696.08</v>
      </c>
    </row>
    <row r="618" spans="1:12" x14ac:dyDescent="0.3">
      <c r="A618" s="2" t="s">
        <v>1202</v>
      </c>
      <c r="B618" s="2" t="s">
        <v>1068</v>
      </c>
      <c r="C618" s="2" t="s">
        <v>1203</v>
      </c>
      <c r="D618" s="2" t="s">
        <v>88</v>
      </c>
      <c r="E618" s="2" t="s">
        <v>24</v>
      </c>
      <c r="F618" s="2" t="s">
        <v>40</v>
      </c>
      <c r="G618" s="2" t="s">
        <v>62</v>
      </c>
      <c r="H618" s="2" t="s">
        <v>19</v>
      </c>
      <c r="I618" s="2">
        <v>1</v>
      </c>
      <c r="J618" s="2">
        <v>4023</v>
      </c>
      <c r="K618" s="2">
        <v>5</v>
      </c>
      <c r="L618" s="2">
        <v>3821.85</v>
      </c>
    </row>
    <row r="619" spans="1:12" x14ac:dyDescent="0.3">
      <c r="A619" s="2" t="s">
        <v>1204</v>
      </c>
      <c r="B619" s="2" t="s">
        <v>287</v>
      </c>
      <c r="C619" s="2" t="s">
        <v>423</v>
      </c>
      <c r="D619" s="2" t="s">
        <v>30</v>
      </c>
      <c r="E619" s="2" t="s">
        <v>48</v>
      </c>
      <c r="F619" s="2" t="s">
        <v>40</v>
      </c>
      <c r="G619" s="2" t="s">
        <v>40</v>
      </c>
      <c r="H619" s="2" t="s">
        <v>44</v>
      </c>
      <c r="I619" s="2">
        <v>2</v>
      </c>
      <c r="J619" s="2">
        <v>1830</v>
      </c>
      <c r="K619" s="2">
        <v>7</v>
      </c>
      <c r="L619" s="2">
        <v>3403.8</v>
      </c>
    </row>
    <row r="620" spans="1:12" x14ac:dyDescent="0.3">
      <c r="A620" s="2" t="s">
        <v>1205</v>
      </c>
      <c r="B620" s="2" t="s">
        <v>293</v>
      </c>
      <c r="C620" s="2" t="s">
        <v>968</v>
      </c>
      <c r="D620" s="2" t="s">
        <v>23</v>
      </c>
      <c r="E620" s="2" t="s">
        <v>24</v>
      </c>
      <c r="F620" s="2" t="s">
        <v>17</v>
      </c>
      <c r="G620" s="2" t="s">
        <v>54</v>
      </c>
      <c r="H620" s="2" t="s">
        <v>33</v>
      </c>
      <c r="I620" s="2">
        <v>5</v>
      </c>
      <c r="J620" s="2">
        <v>658</v>
      </c>
      <c r="K620" s="2">
        <v>21</v>
      </c>
      <c r="L620" s="2">
        <v>2599.1</v>
      </c>
    </row>
    <row r="621" spans="1:12" x14ac:dyDescent="0.3">
      <c r="A621" s="2" t="s">
        <v>1206</v>
      </c>
      <c r="B621" s="2" t="s">
        <v>224</v>
      </c>
      <c r="C621" s="2" t="s">
        <v>549</v>
      </c>
      <c r="D621" s="2" t="s">
        <v>53</v>
      </c>
      <c r="E621" s="2" t="s">
        <v>24</v>
      </c>
      <c r="F621" s="2" t="s">
        <v>25</v>
      </c>
      <c r="G621" s="2" t="s">
        <v>26</v>
      </c>
      <c r="H621" s="2" t="s">
        <v>44</v>
      </c>
      <c r="I621" s="2">
        <v>3</v>
      </c>
      <c r="J621" s="2">
        <v>722</v>
      </c>
      <c r="K621" s="2">
        <v>11</v>
      </c>
      <c r="L621" s="2">
        <v>1927.74</v>
      </c>
    </row>
    <row r="622" spans="1:12" x14ac:dyDescent="0.3">
      <c r="A622" s="2" t="s">
        <v>1207</v>
      </c>
      <c r="B622" s="2" t="s">
        <v>1151</v>
      </c>
      <c r="C622" s="2" t="s">
        <v>1208</v>
      </c>
      <c r="D622" s="2" t="s">
        <v>30</v>
      </c>
      <c r="E622" s="2" t="s">
        <v>68</v>
      </c>
      <c r="F622" s="2" t="s">
        <v>49</v>
      </c>
      <c r="G622" s="2" t="s">
        <v>26</v>
      </c>
      <c r="H622" s="2" t="s">
        <v>44</v>
      </c>
      <c r="I622" s="2">
        <v>1</v>
      </c>
      <c r="J622" s="2">
        <v>573</v>
      </c>
      <c r="K622" s="2">
        <v>0</v>
      </c>
      <c r="L622" s="2">
        <v>573</v>
      </c>
    </row>
    <row r="623" spans="1:12" x14ac:dyDescent="0.3">
      <c r="A623" s="2" t="s">
        <v>1209</v>
      </c>
      <c r="B623" s="2" t="s">
        <v>51</v>
      </c>
      <c r="C623" s="2" t="s">
        <v>225</v>
      </c>
      <c r="D623" s="2" t="s">
        <v>23</v>
      </c>
      <c r="E623" s="2" t="s">
        <v>16</v>
      </c>
      <c r="F623" s="2" t="s">
        <v>40</v>
      </c>
      <c r="G623" s="2" t="s">
        <v>18</v>
      </c>
      <c r="H623" s="2" t="s">
        <v>19</v>
      </c>
      <c r="I623" s="2">
        <v>3</v>
      </c>
      <c r="J623" s="2">
        <v>3545</v>
      </c>
      <c r="K623" s="2">
        <v>28</v>
      </c>
      <c r="L623" s="2">
        <v>7657.2</v>
      </c>
    </row>
    <row r="624" spans="1:12" x14ac:dyDescent="0.3">
      <c r="A624" s="2" t="s">
        <v>1210</v>
      </c>
      <c r="B624" s="2" t="s">
        <v>1211</v>
      </c>
      <c r="C624" s="2" t="s">
        <v>942</v>
      </c>
      <c r="D624" s="2" t="s">
        <v>15</v>
      </c>
      <c r="E624" s="2" t="s">
        <v>16</v>
      </c>
      <c r="F624" s="2" t="s">
        <v>49</v>
      </c>
      <c r="G624" s="2" t="s">
        <v>62</v>
      </c>
      <c r="H624" s="2" t="s">
        <v>44</v>
      </c>
      <c r="I624" s="2">
        <v>4</v>
      </c>
      <c r="J624" s="2">
        <v>3860</v>
      </c>
      <c r="K624" s="2">
        <v>13</v>
      </c>
      <c r="L624" s="2">
        <v>13432.8</v>
      </c>
    </row>
    <row r="625" spans="1:12" x14ac:dyDescent="0.3">
      <c r="A625" s="2" t="s">
        <v>1212</v>
      </c>
      <c r="B625" s="2" t="s">
        <v>202</v>
      </c>
      <c r="C625" s="2" t="s">
        <v>175</v>
      </c>
      <c r="D625" s="2" t="s">
        <v>53</v>
      </c>
      <c r="E625" s="2" t="s">
        <v>24</v>
      </c>
      <c r="F625" s="2" t="s">
        <v>40</v>
      </c>
      <c r="G625" s="2" t="s">
        <v>18</v>
      </c>
      <c r="H625" s="2" t="s">
        <v>33</v>
      </c>
      <c r="I625" s="2">
        <v>3</v>
      </c>
      <c r="J625" s="2">
        <v>1308</v>
      </c>
      <c r="K625" s="2">
        <v>3</v>
      </c>
      <c r="L625" s="2">
        <v>3806.28</v>
      </c>
    </row>
    <row r="626" spans="1:12" x14ac:dyDescent="0.3">
      <c r="A626" s="2" t="s">
        <v>1213</v>
      </c>
      <c r="B626" s="2" t="s">
        <v>1214</v>
      </c>
      <c r="C626" s="2" t="s">
        <v>663</v>
      </c>
      <c r="D626" s="2" t="s">
        <v>15</v>
      </c>
      <c r="E626" s="2" t="s">
        <v>58</v>
      </c>
      <c r="F626" s="2" t="s">
        <v>25</v>
      </c>
      <c r="G626" s="2" t="s">
        <v>54</v>
      </c>
      <c r="H626" s="2" t="s">
        <v>44</v>
      </c>
      <c r="I626" s="2">
        <v>2</v>
      </c>
      <c r="J626" s="2">
        <v>3901</v>
      </c>
      <c r="K626" s="2">
        <v>30</v>
      </c>
      <c r="L626" s="2">
        <v>5461.4</v>
      </c>
    </row>
    <row r="627" spans="1:12" x14ac:dyDescent="0.3">
      <c r="A627" s="2" t="s">
        <v>1215</v>
      </c>
      <c r="B627" s="2" t="s">
        <v>876</v>
      </c>
      <c r="C627" s="2" t="s">
        <v>491</v>
      </c>
      <c r="D627" s="2" t="s">
        <v>53</v>
      </c>
      <c r="E627" s="2" t="s">
        <v>16</v>
      </c>
      <c r="F627" s="2" t="s">
        <v>49</v>
      </c>
      <c r="G627" s="2" t="s">
        <v>26</v>
      </c>
      <c r="H627" s="2" t="s">
        <v>33</v>
      </c>
      <c r="I627" s="2">
        <v>2</v>
      </c>
      <c r="J627" s="2">
        <v>1855</v>
      </c>
      <c r="K627" s="2">
        <v>2</v>
      </c>
      <c r="L627" s="2">
        <v>3635.8</v>
      </c>
    </row>
    <row r="628" spans="1:12" x14ac:dyDescent="0.3">
      <c r="A628" s="2" t="s">
        <v>1216</v>
      </c>
      <c r="B628" s="2" t="s">
        <v>90</v>
      </c>
      <c r="C628" s="2" t="s">
        <v>253</v>
      </c>
      <c r="D628" s="2" t="s">
        <v>88</v>
      </c>
      <c r="E628" s="2" t="s">
        <v>48</v>
      </c>
      <c r="F628" s="2" t="s">
        <v>49</v>
      </c>
      <c r="G628" s="2" t="s">
        <v>18</v>
      </c>
      <c r="H628" s="2" t="s">
        <v>19</v>
      </c>
      <c r="I628" s="2">
        <v>5</v>
      </c>
      <c r="J628" s="2">
        <v>2215</v>
      </c>
      <c r="K628" s="2">
        <v>10</v>
      </c>
      <c r="L628" s="2">
        <v>9967.5</v>
      </c>
    </row>
    <row r="629" spans="1:12" x14ac:dyDescent="0.3">
      <c r="A629" s="2" t="s">
        <v>1217</v>
      </c>
      <c r="B629" s="2" t="s">
        <v>871</v>
      </c>
      <c r="C629" s="2" t="s">
        <v>1124</v>
      </c>
      <c r="D629" s="2" t="s">
        <v>23</v>
      </c>
      <c r="E629" s="2" t="s">
        <v>58</v>
      </c>
      <c r="F629" s="2" t="s">
        <v>40</v>
      </c>
      <c r="G629" s="2" t="s">
        <v>62</v>
      </c>
      <c r="H629" s="2" t="s">
        <v>44</v>
      </c>
      <c r="I629" s="2">
        <v>5</v>
      </c>
      <c r="J629" s="2">
        <v>4756</v>
      </c>
      <c r="K629" s="2">
        <v>26</v>
      </c>
      <c r="L629" s="2">
        <v>17597.2</v>
      </c>
    </row>
    <row r="630" spans="1:12" x14ac:dyDescent="0.3">
      <c r="A630" s="2" t="s">
        <v>1218</v>
      </c>
      <c r="B630" s="2" t="s">
        <v>696</v>
      </c>
      <c r="C630" s="2" t="s">
        <v>555</v>
      </c>
      <c r="D630" s="2" t="s">
        <v>23</v>
      </c>
      <c r="E630" s="2" t="s">
        <v>79</v>
      </c>
      <c r="F630" s="2" t="s">
        <v>25</v>
      </c>
      <c r="G630" s="2" t="s">
        <v>62</v>
      </c>
      <c r="H630" s="2" t="s">
        <v>75</v>
      </c>
      <c r="I630" s="2">
        <v>2</v>
      </c>
      <c r="J630" s="2">
        <v>1482</v>
      </c>
      <c r="K630" s="2">
        <v>26</v>
      </c>
      <c r="L630" s="2">
        <v>2193.36</v>
      </c>
    </row>
    <row r="631" spans="1:12" x14ac:dyDescent="0.3">
      <c r="A631" s="2" t="s">
        <v>1219</v>
      </c>
      <c r="B631" s="2" t="s">
        <v>1220</v>
      </c>
      <c r="C631" s="2" t="s">
        <v>160</v>
      </c>
      <c r="D631" s="2" t="s">
        <v>53</v>
      </c>
      <c r="E631" s="2" t="s">
        <v>31</v>
      </c>
      <c r="F631" s="2" t="s">
        <v>32</v>
      </c>
      <c r="G631" s="2" t="s">
        <v>18</v>
      </c>
      <c r="H631" s="2" t="s">
        <v>75</v>
      </c>
      <c r="I631" s="2">
        <v>5</v>
      </c>
      <c r="J631" s="2">
        <v>4292</v>
      </c>
      <c r="K631" s="2">
        <v>1</v>
      </c>
      <c r="L631" s="2">
        <v>21245.4</v>
      </c>
    </row>
    <row r="632" spans="1:12" x14ac:dyDescent="0.3">
      <c r="A632" s="2" t="s">
        <v>1221</v>
      </c>
      <c r="B632" s="2" t="s">
        <v>746</v>
      </c>
      <c r="C632" s="2" t="s">
        <v>370</v>
      </c>
      <c r="D632" s="2" t="s">
        <v>15</v>
      </c>
      <c r="E632" s="2" t="s">
        <v>68</v>
      </c>
      <c r="F632" s="2" t="s">
        <v>40</v>
      </c>
      <c r="G632" s="2" t="s">
        <v>18</v>
      </c>
      <c r="H632" s="2" t="s">
        <v>75</v>
      </c>
      <c r="I632" s="2">
        <v>4</v>
      </c>
      <c r="J632" s="2">
        <v>4512</v>
      </c>
      <c r="K632" s="2">
        <v>14</v>
      </c>
      <c r="L632" s="2">
        <v>15521.28</v>
      </c>
    </row>
    <row r="633" spans="1:12" x14ac:dyDescent="0.3">
      <c r="A633" s="2" t="s">
        <v>1222</v>
      </c>
      <c r="B633" s="2" t="s">
        <v>1223</v>
      </c>
      <c r="C633" s="2" t="s">
        <v>151</v>
      </c>
      <c r="D633" s="2" t="s">
        <v>15</v>
      </c>
      <c r="E633" s="2" t="s">
        <v>58</v>
      </c>
      <c r="F633" s="2" t="s">
        <v>17</v>
      </c>
      <c r="G633" s="2" t="s">
        <v>26</v>
      </c>
      <c r="H633" s="2" t="s">
        <v>44</v>
      </c>
      <c r="I633" s="2">
        <v>1</v>
      </c>
      <c r="J633" s="2">
        <v>2721</v>
      </c>
      <c r="K633" s="2">
        <v>14</v>
      </c>
      <c r="L633" s="2">
        <v>2340.06</v>
      </c>
    </row>
    <row r="634" spans="1:12" x14ac:dyDescent="0.3">
      <c r="A634" s="2" t="s">
        <v>1224</v>
      </c>
      <c r="B634" s="2" t="s">
        <v>897</v>
      </c>
      <c r="C634" s="2" t="s">
        <v>133</v>
      </c>
      <c r="D634" s="2" t="s">
        <v>53</v>
      </c>
      <c r="E634" s="2" t="s">
        <v>79</v>
      </c>
      <c r="F634" s="2" t="s">
        <v>17</v>
      </c>
      <c r="G634" s="2" t="s">
        <v>62</v>
      </c>
      <c r="H634" s="2" t="s">
        <v>19</v>
      </c>
      <c r="I634" s="2">
        <v>2</v>
      </c>
      <c r="J634" s="2">
        <v>486</v>
      </c>
      <c r="K634" s="2">
        <v>26</v>
      </c>
      <c r="L634" s="2">
        <v>719.28</v>
      </c>
    </row>
    <row r="635" spans="1:12" x14ac:dyDescent="0.3">
      <c r="A635" s="2" t="s">
        <v>1225</v>
      </c>
      <c r="B635" s="2" t="s">
        <v>392</v>
      </c>
      <c r="C635" s="2" t="s">
        <v>1190</v>
      </c>
      <c r="D635" s="2" t="s">
        <v>88</v>
      </c>
      <c r="E635" s="2" t="s">
        <v>48</v>
      </c>
      <c r="F635" s="2" t="s">
        <v>49</v>
      </c>
      <c r="G635" s="2" t="s">
        <v>54</v>
      </c>
      <c r="H635" s="2" t="s">
        <v>44</v>
      </c>
      <c r="I635" s="2">
        <v>4</v>
      </c>
      <c r="J635" s="2">
        <v>361</v>
      </c>
      <c r="K635" s="2">
        <v>28</v>
      </c>
      <c r="L635" s="2">
        <v>1039.68</v>
      </c>
    </row>
    <row r="636" spans="1:12" x14ac:dyDescent="0.3">
      <c r="A636" s="2" t="s">
        <v>1226</v>
      </c>
      <c r="B636" s="2" t="s">
        <v>615</v>
      </c>
      <c r="C636" s="2" t="s">
        <v>1227</v>
      </c>
      <c r="D636" s="2" t="s">
        <v>23</v>
      </c>
      <c r="E636" s="2" t="s">
        <v>24</v>
      </c>
      <c r="F636" s="2" t="s">
        <v>32</v>
      </c>
      <c r="G636" s="2" t="s">
        <v>18</v>
      </c>
      <c r="H636" s="2" t="s">
        <v>44</v>
      </c>
      <c r="I636" s="2">
        <v>3</v>
      </c>
      <c r="J636" s="2">
        <v>728</v>
      </c>
      <c r="K636" s="2">
        <v>26</v>
      </c>
      <c r="L636" s="2">
        <v>1616.16</v>
      </c>
    </row>
    <row r="637" spans="1:12" x14ac:dyDescent="0.3">
      <c r="A637" s="2" t="s">
        <v>1228</v>
      </c>
      <c r="B637" s="2" t="s">
        <v>73</v>
      </c>
      <c r="C637" s="2" t="s">
        <v>270</v>
      </c>
      <c r="D637" s="2" t="s">
        <v>30</v>
      </c>
      <c r="E637" s="2" t="s">
        <v>48</v>
      </c>
      <c r="F637" s="2" t="s">
        <v>49</v>
      </c>
      <c r="G637" s="2" t="s">
        <v>26</v>
      </c>
      <c r="H637" s="2" t="s">
        <v>44</v>
      </c>
      <c r="I637" s="2">
        <v>3</v>
      </c>
      <c r="J637" s="2">
        <v>4265</v>
      </c>
      <c r="K637" s="2">
        <v>10</v>
      </c>
      <c r="L637" s="2">
        <v>11515.5</v>
      </c>
    </row>
    <row r="638" spans="1:12" x14ac:dyDescent="0.3">
      <c r="A638" s="2" t="s">
        <v>1229</v>
      </c>
      <c r="B638" s="2" t="s">
        <v>1230</v>
      </c>
      <c r="C638" s="2" t="s">
        <v>22</v>
      </c>
      <c r="D638" s="2" t="s">
        <v>15</v>
      </c>
      <c r="E638" s="2" t="s">
        <v>48</v>
      </c>
      <c r="F638" s="2" t="s">
        <v>17</v>
      </c>
      <c r="G638" s="2" t="s">
        <v>26</v>
      </c>
      <c r="H638" s="2" t="s">
        <v>33</v>
      </c>
      <c r="I638" s="2">
        <v>1</v>
      </c>
      <c r="J638" s="2">
        <v>3188</v>
      </c>
      <c r="K638" s="2">
        <v>29</v>
      </c>
      <c r="L638" s="2">
        <v>2263.48</v>
      </c>
    </row>
    <row r="639" spans="1:12" x14ac:dyDescent="0.3">
      <c r="A639" s="2" t="s">
        <v>1231</v>
      </c>
      <c r="B639" s="2" t="s">
        <v>521</v>
      </c>
      <c r="C639" s="2" t="s">
        <v>1232</v>
      </c>
      <c r="D639" s="2" t="s">
        <v>30</v>
      </c>
      <c r="E639" s="2" t="s">
        <v>79</v>
      </c>
      <c r="F639" s="2" t="s">
        <v>49</v>
      </c>
      <c r="G639" s="2" t="s">
        <v>54</v>
      </c>
      <c r="H639" s="2" t="s">
        <v>33</v>
      </c>
      <c r="I639" s="2">
        <v>1</v>
      </c>
      <c r="J639" s="2">
        <v>560</v>
      </c>
      <c r="K639" s="2">
        <v>9</v>
      </c>
      <c r="L639" s="2">
        <v>509.6</v>
      </c>
    </row>
    <row r="640" spans="1:12" x14ac:dyDescent="0.3">
      <c r="A640" s="2" t="s">
        <v>1233</v>
      </c>
      <c r="B640" s="2" t="s">
        <v>196</v>
      </c>
      <c r="C640" s="2" t="s">
        <v>858</v>
      </c>
      <c r="D640" s="2" t="s">
        <v>88</v>
      </c>
      <c r="E640" s="2" t="s">
        <v>58</v>
      </c>
      <c r="F640" s="2" t="s">
        <v>17</v>
      </c>
      <c r="G640" s="2" t="s">
        <v>26</v>
      </c>
      <c r="H640" s="2" t="s">
        <v>33</v>
      </c>
      <c r="I640" s="2">
        <v>5</v>
      </c>
      <c r="J640" s="2">
        <v>1912</v>
      </c>
      <c r="K640" s="2">
        <v>6</v>
      </c>
      <c r="L640" s="2">
        <v>8986.4</v>
      </c>
    </row>
    <row r="641" spans="1:12" x14ac:dyDescent="0.3">
      <c r="A641" s="2" t="s">
        <v>1234</v>
      </c>
      <c r="B641" s="2" t="s">
        <v>60</v>
      </c>
      <c r="C641" s="2" t="s">
        <v>338</v>
      </c>
      <c r="D641" s="2" t="s">
        <v>53</v>
      </c>
      <c r="E641" s="2" t="s">
        <v>31</v>
      </c>
      <c r="F641" s="2" t="s">
        <v>49</v>
      </c>
      <c r="G641" s="2" t="s">
        <v>18</v>
      </c>
      <c r="H641" s="2" t="s">
        <v>44</v>
      </c>
      <c r="I641" s="2">
        <v>2</v>
      </c>
      <c r="J641" s="2">
        <v>1304</v>
      </c>
      <c r="K641" s="2">
        <v>13</v>
      </c>
      <c r="L641" s="2">
        <v>2268.96</v>
      </c>
    </row>
    <row r="642" spans="1:12" x14ac:dyDescent="0.3">
      <c r="A642" s="2" t="s">
        <v>1235</v>
      </c>
      <c r="B642" s="2" t="s">
        <v>121</v>
      </c>
      <c r="C642" s="2" t="s">
        <v>175</v>
      </c>
      <c r="D642" s="2" t="s">
        <v>53</v>
      </c>
      <c r="E642" s="2" t="s">
        <v>16</v>
      </c>
      <c r="F642" s="2" t="s">
        <v>32</v>
      </c>
      <c r="G642" s="2" t="s">
        <v>40</v>
      </c>
      <c r="H642" s="2" t="s">
        <v>75</v>
      </c>
      <c r="I642" s="2">
        <v>1</v>
      </c>
      <c r="J642" s="2">
        <v>2104</v>
      </c>
      <c r="K642" s="2">
        <v>8</v>
      </c>
      <c r="L642" s="2">
        <v>1935.68</v>
      </c>
    </row>
    <row r="643" spans="1:12" x14ac:dyDescent="0.3">
      <c r="A643" s="2" t="s">
        <v>1236</v>
      </c>
      <c r="B643" s="2" t="s">
        <v>252</v>
      </c>
      <c r="C643" s="2" t="s">
        <v>524</v>
      </c>
      <c r="D643" s="2" t="s">
        <v>53</v>
      </c>
      <c r="E643" s="2" t="s">
        <v>24</v>
      </c>
      <c r="F643" s="2" t="s">
        <v>32</v>
      </c>
      <c r="G643" s="2" t="s">
        <v>54</v>
      </c>
      <c r="H643" s="2" t="s">
        <v>44</v>
      </c>
      <c r="I643" s="2">
        <v>5</v>
      </c>
      <c r="J643" s="2">
        <v>2126</v>
      </c>
      <c r="K643" s="2">
        <v>8</v>
      </c>
      <c r="L643" s="2">
        <v>9779.6</v>
      </c>
    </row>
    <row r="644" spans="1:12" x14ac:dyDescent="0.3">
      <c r="A644" s="2" t="s">
        <v>1237</v>
      </c>
      <c r="B644" s="2" t="s">
        <v>1238</v>
      </c>
      <c r="C644" s="2" t="s">
        <v>206</v>
      </c>
      <c r="D644" s="2" t="s">
        <v>30</v>
      </c>
      <c r="E644" s="2" t="s">
        <v>68</v>
      </c>
      <c r="F644" s="2" t="s">
        <v>32</v>
      </c>
      <c r="G644" s="2" t="s">
        <v>18</v>
      </c>
      <c r="H644" s="2" t="s">
        <v>33</v>
      </c>
      <c r="I644" s="2">
        <v>4</v>
      </c>
      <c r="J644" s="2">
        <v>3482</v>
      </c>
      <c r="K644" s="2">
        <v>10</v>
      </c>
      <c r="L644" s="2">
        <v>12535.2</v>
      </c>
    </row>
    <row r="645" spans="1:12" x14ac:dyDescent="0.3">
      <c r="A645" s="2" t="s">
        <v>1239</v>
      </c>
      <c r="B645" s="2" t="s">
        <v>1240</v>
      </c>
      <c r="C645" s="2" t="s">
        <v>915</v>
      </c>
      <c r="D645" s="2" t="s">
        <v>30</v>
      </c>
      <c r="E645" s="2" t="s">
        <v>68</v>
      </c>
      <c r="F645" s="2" t="s">
        <v>17</v>
      </c>
      <c r="G645" s="2" t="s">
        <v>54</v>
      </c>
      <c r="H645" s="2" t="s">
        <v>33</v>
      </c>
      <c r="I645" s="2">
        <v>3</v>
      </c>
      <c r="J645" s="2">
        <v>2204</v>
      </c>
      <c r="K645" s="2">
        <v>5</v>
      </c>
      <c r="L645" s="2">
        <v>6281.4</v>
      </c>
    </row>
    <row r="646" spans="1:12" x14ac:dyDescent="0.3">
      <c r="A646" s="2" t="s">
        <v>1241</v>
      </c>
      <c r="B646" s="2" t="s">
        <v>1242</v>
      </c>
      <c r="C646" s="2" t="s">
        <v>1243</v>
      </c>
      <c r="D646" s="2" t="s">
        <v>53</v>
      </c>
      <c r="E646" s="2" t="s">
        <v>68</v>
      </c>
      <c r="F646" s="2" t="s">
        <v>32</v>
      </c>
      <c r="G646" s="2" t="s">
        <v>26</v>
      </c>
      <c r="H646" s="2" t="s">
        <v>33</v>
      </c>
      <c r="I646" s="2">
        <v>5</v>
      </c>
      <c r="J646" s="2">
        <v>2377</v>
      </c>
      <c r="K646" s="2">
        <v>15</v>
      </c>
      <c r="L646" s="2">
        <v>10102.25</v>
      </c>
    </row>
    <row r="647" spans="1:12" x14ac:dyDescent="0.3">
      <c r="A647" s="2" t="s">
        <v>1244</v>
      </c>
      <c r="B647" s="2" t="s">
        <v>392</v>
      </c>
      <c r="C647" s="2" t="s">
        <v>145</v>
      </c>
      <c r="D647" s="2" t="s">
        <v>30</v>
      </c>
      <c r="E647" s="2" t="s">
        <v>24</v>
      </c>
      <c r="F647" s="2" t="s">
        <v>40</v>
      </c>
      <c r="G647" s="2" t="s">
        <v>18</v>
      </c>
      <c r="H647" s="2" t="s">
        <v>75</v>
      </c>
      <c r="I647" s="2">
        <v>4</v>
      </c>
      <c r="J647" s="2">
        <v>729</v>
      </c>
      <c r="K647" s="2">
        <v>6</v>
      </c>
      <c r="L647" s="2">
        <v>2741.04</v>
      </c>
    </row>
    <row r="648" spans="1:12" x14ac:dyDescent="0.3">
      <c r="A648" s="2" t="s">
        <v>1245</v>
      </c>
      <c r="B648" s="2" t="s">
        <v>333</v>
      </c>
      <c r="C648" s="2" t="s">
        <v>826</v>
      </c>
      <c r="D648" s="2" t="s">
        <v>88</v>
      </c>
      <c r="E648" s="2" t="s">
        <v>16</v>
      </c>
      <c r="F648" s="2" t="s">
        <v>32</v>
      </c>
      <c r="G648" s="2" t="s">
        <v>40</v>
      </c>
      <c r="H648" s="2" t="s">
        <v>33</v>
      </c>
      <c r="I648" s="2">
        <v>1</v>
      </c>
      <c r="J648" s="2">
        <v>1691</v>
      </c>
      <c r="K648" s="2">
        <v>9</v>
      </c>
      <c r="L648" s="2">
        <v>1538.81</v>
      </c>
    </row>
    <row r="649" spans="1:12" x14ac:dyDescent="0.3">
      <c r="A649" s="2" t="s">
        <v>1246</v>
      </c>
      <c r="B649" s="2" t="s">
        <v>1146</v>
      </c>
      <c r="C649" s="2" t="s">
        <v>882</v>
      </c>
      <c r="D649" s="2" t="s">
        <v>15</v>
      </c>
      <c r="E649" s="2" t="s">
        <v>58</v>
      </c>
      <c r="F649" s="2" t="s">
        <v>49</v>
      </c>
      <c r="G649" s="2" t="s">
        <v>18</v>
      </c>
      <c r="H649" s="2" t="s">
        <v>33</v>
      </c>
      <c r="I649" s="2">
        <v>5</v>
      </c>
      <c r="J649" s="2">
        <v>372</v>
      </c>
      <c r="K649" s="2">
        <v>10</v>
      </c>
      <c r="L649" s="2">
        <v>1674</v>
      </c>
    </row>
    <row r="650" spans="1:12" x14ac:dyDescent="0.3">
      <c r="A650" s="2" t="s">
        <v>1247</v>
      </c>
      <c r="B650" s="2" t="s">
        <v>1194</v>
      </c>
      <c r="C650" s="2" t="s">
        <v>419</v>
      </c>
      <c r="D650" s="2" t="s">
        <v>30</v>
      </c>
      <c r="E650" s="2" t="s">
        <v>48</v>
      </c>
      <c r="F650" s="2" t="s">
        <v>49</v>
      </c>
      <c r="G650" s="2" t="s">
        <v>18</v>
      </c>
      <c r="H650" s="2" t="s">
        <v>75</v>
      </c>
      <c r="I650" s="2">
        <v>3</v>
      </c>
      <c r="J650" s="2">
        <v>3071</v>
      </c>
      <c r="K650" s="2">
        <v>1</v>
      </c>
      <c r="L650" s="2">
        <v>9120.8700000000008</v>
      </c>
    </row>
    <row r="651" spans="1:12" x14ac:dyDescent="0.3">
      <c r="A651" s="2" t="s">
        <v>1248</v>
      </c>
      <c r="B651" s="2" t="s">
        <v>734</v>
      </c>
      <c r="C651" s="2" t="s">
        <v>1249</v>
      </c>
      <c r="D651" s="2" t="s">
        <v>53</v>
      </c>
      <c r="E651" s="2" t="s">
        <v>58</v>
      </c>
      <c r="F651" s="2" t="s">
        <v>17</v>
      </c>
      <c r="G651" s="2" t="s">
        <v>62</v>
      </c>
      <c r="H651" s="2" t="s">
        <v>44</v>
      </c>
      <c r="I651" s="2">
        <v>2</v>
      </c>
      <c r="J651" s="2">
        <v>3657</v>
      </c>
      <c r="K651" s="2">
        <v>20</v>
      </c>
      <c r="L651" s="2">
        <v>5851.2</v>
      </c>
    </row>
    <row r="652" spans="1:12" x14ac:dyDescent="0.3">
      <c r="A652" s="2" t="s">
        <v>1250</v>
      </c>
      <c r="B652" s="2" t="s">
        <v>104</v>
      </c>
      <c r="C652" s="2" t="s">
        <v>84</v>
      </c>
      <c r="D652" s="2" t="s">
        <v>23</v>
      </c>
      <c r="E652" s="2" t="s">
        <v>24</v>
      </c>
      <c r="F652" s="2" t="s">
        <v>17</v>
      </c>
      <c r="G652" s="2" t="s">
        <v>26</v>
      </c>
      <c r="H652" s="2" t="s">
        <v>75</v>
      </c>
      <c r="I652" s="2">
        <v>3</v>
      </c>
      <c r="J652" s="2">
        <v>3823</v>
      </c>
      <c r="K652" s="2">
        <v>20</v>
      </c>
      <c r="L652" s="2">
        <v>9175.2000000000007</v>
      </c>
    </row>
    <row r="653" spans="1:12" x14ac:dyDescent="0.3">
      <c r="A653" s="2" t="s">
        <v>1251</v>
      </c>
      <c r="B653" s="2" t="s">
        <v>893</v>
      </c>
      <c r="C653" s="2" t="s">
        <v>1130</v>
      </c>
      <c r="D653" s="2" t="s">
        <v>88</v>
      </c>
      <c r="E653" s="2" t="s">
        <v>79</v>
      </c>
      <c r="F653" s="2" t="s">
        <v>49</v>
      </c>
      <c r="G653" s="2" t="s">
        <v>40</v>
      </c>
      <c r="H653" s="2" t="s">
        <v>75</v>
      </c>
      <c r="I653" s="2">
        <v>3</v>
      </c>
      <c r="J653" s="2">
        <v>4842</v>
      </c>
      <c r="K653" s="2">
        <v>21</v>
      </c>
      <c r="L653" s="2">
        <v>11475.54</v>
      </c>
    </row>
    <row r="654" spans="1:12" x14ac:dyDescent="0.3">
      <c r="A654" s="2" t="s">
        <v>1252</v>
      </c>
      <c r="B654" s="2" t="s">
        <v>667</v>
      </c>
      <c r="C654" s="2" t="s">
        <v>729</v>
      </c>
      <c r="D654" s="2" t="s">
        <v>88</v>
      </c>
      <c r="E654" s="2" t="s">
        <v>79</v>
      </c>
      <c r="F654" s="2" t="s">
        <v>32</v>
      </c>
      <c r="G654" s="2" t="s">
        <v>26</v>
      </c>
      <c r="H654" s="2" t="s">
        <v>44</v>
      </c>
      <c r="I654" s="2">
        <v>1</v>
      </c>
      <c r="J654" s="2">
        <v>4044</v>
      </c>
      <c r="K654" s="2">
        <v>21</v>
      </c>
      <c r="L654" s="2">
        <v>3194.76</v>
      </c>
    </row>
    <row r="655" spans="1:12" x14ac:dyDescent="0.3">
      <c r="A655" s="2" t="s">
        <v>1253</v>
      </c>
      <c r="B655" s="2" t="s">
        <v>1254</v>
      </c>
      <c r="C655" s="2" t="s">
        <v>172</v>
      </c>
      <c r="D655" s="2" t="s">
        <v>23</v>
      </c>
      <c r="E655" s="2" t="s">
        <v>48</v>
      </c>
      <c r="F655" s="2" t="s">
        <v>25</v>
      </c>
      <c r="G655" s="2" t="s">
        <v>40</v>
      </c>
      <c r="H655" s="2" t="s">
        <v>33</v>
      </c>
      <c r="I655" s="2">
        <v>3</v>
      </c>
      <c r="J655" s="2">
        <v>4184</v>
      </c>
      <c r="K655" s="2">
        <v>15</v>
      </c>
      <c r="L655" s="2">
        <v>10669.2</v>
      </c>
    </row>
    <row r="656" spans="1:12" x14ac:dyDescent="0.3">
      <c r="A656" s="2" t="s">
        <v>1255</v>
      </c>
      <c r="B656" s="2" t="s">
        <v>843</v>
      </c>
      <c r="C656" s="2" t="s">
        <v>1133</v>
      </c>
      <c r="D656" s="2" t="s">
        <v>53</v>
      </c>
      <c r="E656" s="2" t="s">
        <v>16</v>
      </c>
      <c r="F656" s="2" t="s">
        <v>40</v>
      </c>
      <c r="G656" s="2" t="s">
        <v>62</v>
      </c>
      <c r="H656" s="2" t="s">
        <v>75</v>
      </c>
      <c r="I656" s="2">
        <v>2</v>
      </c>
      <c r="J656" s="2">
        <v>1782</v>
      </c>
      <c r="K656" s="2">
        <v>12</v>
      </c>
      <c r="L656" s="2">
        <v>3136.32</v>
      </c>
    </row>
    <row r="657" spans="1:12" x14ac:dyDescent="0.3">
      <c r="A657" s="2" t="s">
        <v>1256</v>
      </c>
      <c r="B657" s="2" t="s">
        <v>866</v>
      </c>
      <c r="C657" s="2" t="s">
        <v>477</v>
      </c>
      <c r="D657" s="2" t="s">
        <v>30</v>
      </c>
      <c r="E657" s="2" t="s">
        <v>79</v>
      </c>
      <c r="F657" s="2" t="s">
        <v>49</v>
      </c>
      <c r="G657" s="2" t="s">
        <v>18</v>
      </c>
      <c r="H657" s="2" t="s">
        <v>19</v>
      </c>
      <c r="I657" s="2">
        <v>4</v>
      </c>
      <c r="J657" s="2">
        <v>3561</v>
      </c>
      <c r="K657" s="2">
        <v>30</v>
      </c>
      <c r="L657" s="2">
        <v>9970.7999999999993</v>
      </c>
    </row>
    <row r="658" spans="1:12" x14ac:dyDescent="0.3">
      <c r="A658" s="2" t="s">
        <v>1257</v>
      </c>
      <c r="B658" s="2" t="s">
        <v>830</v>
      </c>
      <c r="C658" s="2" t="s">
        <v>858</v>
      </c>
      <c r="D658" s="2" t="s">
        <v>53</v>
      </c>
      <c r="E658" s="2" t="s">
        <v>24</v>
      </c>
      <c r="F658" s="2" t="s">
        <v>25</v>
      </c>
      <c r="G658" s="2" t="s">
        <v>62</v>
      </c>
      <c r="H658" s="2" t="s">
        <v>44</v>
      </c>
      <c r="I658" s="2">
        <v>1</v>
      </c>
      <c r="J658" s="2">
        <v>769</v>
      </c>
      <c r="K658" s="2">
        <v>12</v>
      </c>
      <c r="L658" s="2">
        <v>676.72</v>
      </c>
    </row>
    <row r="659" spans="1:12" x14ac:dyDescent="0.3">
      <c r="A659" s="2" t="s">
        <v>1258</v>
      </c>
      <c r="B659" s="2" t="s">
        <v>324</v>
      </c>
      <c r="C659" s="2" t="s">
        <v>409</v>
      </c>
      <c r="D659" s="2" t="s">
        <v>23</v>
      </c>
      <c r="E659" s="2" t="s">
        <v>16</v>
      </c>
      <c r="F659" s="2" t="s">
        <v>32</v>
      </c>
      <c r="G659" s="2" t="s">
        <v>18</v>
      </c>
      <c r="H659" s="2" t="s">
        <v>33</v>
      </c>
      <c r="I659" s="2">
        <v>1</v>
      </c>
      <c r="J659" s="2">
        <v>3020</v>
      </c>
      <c r="K659" s="2">
        <v>13</v>
      </c>
      <c r="L659" s="2">
        <v>2627.4</v>
      </c>
    </row>
    <row r="660" spans="1:12" x14ac:dyDescent="0.3">
      <c r="A660" s="2" t="s">
        <v>1259</v>
      </c>
      <c r="B660" s="2" t="s">
        <v>487</v>
      </c>
      <c r="C660" s="2" t="s">
        <v>47</v>
      </c>
      <c r="D660" s="2" t="s">
        <v>53</v>
      </c>
      <c r="E660" s="2" t="s">
        <v>31</v>
      </c>
      <c r="F660" s="2" t="s">
        <v>32</v>
      </c>
      <c r="G660" s="2" t="s">
        <v>62</v>
      </c>
      <c r="H660" s="2" t="s">
        <v>44</v>
      </c>
      <c r="I660" s="2">
        <v>3</v>
      </c>
      <c r="J660" s="2">
        <v>4791</v>
      </c>
      <c r="K660" s="2">
        <v>15</v>
      </c>
      <c r="L660" s="2">
        <v>12217.05</v>
      </c>
    </row>
    <row r="661" spans="1:12" x14ac:dyDescent="0.3">
      <c r="A661" s="2" t="s">
        <v>1260</v>
      </c>
      <c r="B661" s="2" t="s">
        <v>1025</v>
      </c>
      <c r="C661" s="2" t="s">
        <v>678</v>
      </c>
      <c r="D661" s="2" t="s">
        <v>23</v>
      </c>
      <c r="E661" s="2" t="s">
        <v>31</v>
      </c>
      <c r="F661" s="2" t="s">
        <v>40</v>
      </c>
      <c r="G661" s="2" t="s">
        <v>18</v>
      </c>
      <c r="H661" s="2" t="s">
        <v>33</v>
      </c>
      <c r="I661" s="2">
        <v>1</v>
      </c>
      <c r="J661" s="2">
        <v>2366</v>
      </c>
      <c r="K661" s="2">
        <v>20</v>
      </c>
      <c r="L661" s="2">
        <v>1892.8</v>
      </c>
    </row>
    <row r="662" spans="1:12" x14ac:dyDescent="0.3">
      <c r="A662" s="2" t="s">
        <v>1261</v>
      </c>
      <c r="B662" s="2" t="s">
        <v>129</v>
      </c>
      <c r="C662" s="2" t="s">
        <v>1243</v>
      </c>
      <c r="D662" s="2" t="s">
        <v>23</v>
      </c>
      <c r="E662" s="2" t="s">
        <v>58</v>
      </c>
      <c r="F662" s="2" t="s">
        <v>32</v>
      </c>
      <c r="G662" s="2" t="s">
        <v>26</v>
      </c>
      <c r="H662" s="2" t="s">
        <v>44</v>
      </c>
      <c r="I662" s="2">
        <v>1</v>
      </c>
      <c r="J662" s="2">
        <v>2805</v>
      </c>
      <c r="K662" s="2">
        <v>8</v>
      </c>
      <c r="L662" s="2">
        <v>2580.6</v>
      </c>
    </row>
    <row r="663" spans="1:12" x14ac:dyDescent="0.3">
      <c r="A663" s="2" t="s">
        <v>1262</v>
      </c>
      <c r="B663" s="2" t="s">
        <v>779</v>
      </c>
      <c r="C663" s="2" t="s">
        <v>692</v>
      </c>
      <c r="D663" s="2" t="s">
        <v>15</v>
      </c>
      <c r="E663" s="2" t="s">
        <v>31</v>
      </c>
      <c r="F663" s="2" t="s">
        <v>32</v>
      </c>
      <c r="G663" s="2" t="s">
        <v>40</v>
      </c>
      <c r="H663" s="2" t="s">
        <v>19</v>
      </c>
      <c r="I663" s="2">
        <v>2</v>
      </c>
      <c r="J663" s="2">
        <v>3188</v>
      </c>
      <c r="K663" s="2">
        <v>28</v>
      </c>
      <c r="L663" s="2">
        <v>4590.72</v>
      </c>
    </row>
    <row r="664" spans="1:12" x14ac:dyDescent="0.3">
      <c r="A664" s="2" t="s">
        <v>1263</v>
      </c>
      <c r="B664" s="2" t="s">
        <v>734</v>
      </c>
      <c r="C664" s="2" t="s">
        <v>148</v>
      </c>
      <c r="D664" s="2" t="s">
        <v>30</v>
      </c>
      <c r="E664" s="2" t="s">
        <v>24</v>
      </c>
      <c r="F664" s="2" t="s">
        <v>32</v>
      </c>
      <c r="G664" s="2" t="s">
        <v>40</v>
      </c>
      <c r="H664" s="2" t="s">
        <v>19</v>
      </c>
      <c r="I664" s="2">
        <v>2</v>
      </c>
      <c r="J664" s="2">
        <v>2073</v>
      </c>
      <c r="K664" s="2">
        <v>18</v>
      </c>
      <c r="L664" s="2">
        <v>3399.72</v>
      </c>
    </row>
    <row r="665" spans="1:12" x14ac:dyDescent="0.3">
      <c r="A665" s="2" t="s">
        <v>1264</v>
      </c>
      <c r="B665" s="2" t="s">
        <v>1265</v>
      </c>
      <c r="C665" s="2" t="s">
        <v>1266</v>
      </c>
      <c r="D665" s="2" t="s">
        <v>88</v>
      </c>
      <c r="E665" s="2" t="s">
        <v>31</v>
      </c>
      <c r="F665" s="2" t="s">
        <v>40</v>
      </c>
      <c r="G665" s="2" t="s">
        <v>26</v>
      </c>
      <c r="H665" s="2" t="s">
        <v>44</v>
      </c>
      <c r="I665" s="2">
        <v>2</v>
      </c>
      <c r="J665" s="2">
        <v>655</v>
      </c>
      <c r="K665" s="2">
        <v>25</v>
      </c>
      <c r="L665" s="2">
        <v>982.5</v>
      </c>
    </row>
    <row r="666" spans="1:12" x14ac:dyDescent="0.3">
      <c r="A666" s="2" t="s">
        <v>1267</v>
      </c>
      <c r="B666" s="2" t="s">
        <v>1268</v>
      </c>
      <c r="C666" s="2" t="s">
        <v>499</v>
      </c>
      <c r="D666" s="2" t="s">
        <v>30</v>
      </c>
      <c r="E666" s="2" t="s">
        <v>48</v>
      </c>
      <c r="F666" s="2" t="s">
        <v>32</v>
      </c>
      <c r="G666" s="2" t="s">
        <v>18</v>
      </c>
      <c r="H666" s="2" t="s">
        <v>75</v>
      </c>
      <c r="I666" s="2">
        <v>2</v>
      </c>
      <c r="J666" s="2">
        <v>292</v>
      </c>
      <c r="K666" s="2">
        <v>24</v>
      </c>
      <c r="L666" s="2">
        <v>443.84</v>
      </c>
    </row>
    <row r="667" spans="1:12" x14ac:dyDescent="0.3">
      <c r="A667" s="2" t="s">
        <v>1269</v>
      </c>
      <c r="B667" s="2" t="s">
        <v>1270</v>
      </c>
      <c r="C667" s="2" t="s">
        <v>211</v>
      </c>
      <c r="D667" s="2" t="s">
        <v>53</v>
      </c>
      <c r="E667" s="2" t="s">
        <v>58</v>
      </c>
      <c r="F667" s="2" t="s">
        <v>32</v>
      </c>
      <c r="G667" s="2" t="s">
        <v>18</v>
      </c>
      <c r="H667" s="2" t="s">
        <v>75</v>
      </c>
      <c r="I667" s="2">
        <v>1</v>
      </c>
      <c r="J667" s="2">
        <v>3629</v>
      </c>
      <c r="K667" s="2">
        <v>23</v>
      </c>
      <c r="L667" s="2">
        <v>2794.33</v>
      </c>
    </row>
    <row r="668" spans="1:12" x14ac:dyDescent="0.3">
      <c r="A668" s="2" t="s">
        <v>1271</v>
      </c>
      <c r="B668" s="2" t="s">
        <v>147</v>
      </c>
      <c r="C668" s="2" t="s">
        <v>276</v>
      </c>
      <c r="D668" s="2" t="s">
        <v>88</v>
      </c>
      <c r="E668" s="2" t="s">
        <v>24</v>
      </c>
      <c r="F668" s="2" t="s">
        <v>49</v>
      </c>
      <c r="G668" s="2" t="s">
        <v>26</v>
      </c>
      <c r="H668" s="2" t="s">
        <v>75</v>
      </c>
      <c r="I668" s="2">
        <v>5</v>
      </c>
      <c r="J668" s="2">
        <v>3597</v>
      </c>
      <c r="K668" s="2">
        <v>24</v>
      </c>
      <c r="L668" s="2">
        <v>13668.6</v>
      </c>
    </row>
    <row r="669" spans="1:12" x14ac:dyDescent="0.3">
      <c r="A669" s="2" t="s">
        <v>1272</v>
      </c>
      <c r="B669" s="2" t="s">
        <v>1273</v>
      </c>
      <c r="C669" s="2" t="s">
        <v>194</v>
      </c>
      <c r="D669" s="2" t="s">
        <v>23</v>
      </c>
      <c r="E669" s="2" t="s">
        <v>31</v>
      </c>
      <c r="F669" s="2" t="s">
        <v>17</v>
      </c>
      <c r="G669" s="2" t="s">
        <v>54</v>
      </c>
      <c r="H669" s="2" t="s">
        <v>19</v>
      </c>
      <c r="I669" s="2">
        <v>1</v>
      </c>
      <c r="J669" s="2">
        <v>1362</v>
      </c>
      <c r="K669" s="2">
        <v>13</v>
      </c>
      <c r="L669" s="2">
        <v>1184.94</v>
      </c>
    </row>
    <row r="670" spans="1:12" x14ac:dyDescent="0.3">
      <c r="A670" s="2" t="s">
        <v>1274</v>
      </c>
      <c r="B670" s="2" t="s">
        <v>300</v>
      </c>
      <c r="C670" s="2" t="s">
        <v>136</v>
      </c>
      <c r="D670" s="2" t="s">
        <v>53</v>
      </c>
      <c r="E670" s="2" t="s">
        <v>79</v>
      </c>
      <c r="F670" s="2" t="s">
        <v>17</v>
      </c>
      <c r="G670" s="2" t="s">
        <v>26</v>
      </c>
      <c r="H670" s="2" t="s">
        <v>75</v>
      </c>
      <c r="I670" s="2">
        <v>4</v>
      </c>
      <c r="J670" s="2">
        <v>1599</v>
      </c>
      <c r="K670" s="2">
        <v>29</v>
      </c>
      <c r="L670" s="2">
        <v>4541.16</v>
      </c>
    </row>
    <row r="671" spans="1:12" x14ac:dyDescent="0.3">
      <c r="A671" s="2" t="s">
        <v>1275</v>
      </c>
      <c r="B671" s="2" t="s">
        <v>372</v>
      </c>
      <c r="C671" s="2" t="s">
        <v>1276</v>
      </c>
      <c r="D671" s="2" t="s">
        <v>53</v>
      </c>
      <c r="E671" s="2" t="s">
        <v>79</v>
      </c>
      <c r="F671" s="2" t="s">
        <v>32</v>
      </c>
      <c r="G671" s="2" t="s">
        <v>40</v>
      </c>
      <c r="H671" s="2" t="s">
        <v>19</v>
      </c>
      <c r="I671" s="2">
        <v>3</v>
      </c>
      <c r="J671" s="2">
        <v>1027</v>
      </c>
      <c r="K671" s="2">
        <v>10</v>
      </c>
      <c r="L671" s="2">
        <v>2772.9</v>
      </c>
    </row>
    <row r="672" spans="1:12" x14ac:dyDescent="0.3">
      <c r="A672" s="2" t="s">
        <v>1277</v>
      </c>
      <c r="B672" s="2" t="s">
        <v>110</v>
      </c>
      <c r="C672" s="2" t="s">
        <v>1278</v>
      </c>
      <c r="D672" s="2" t="s">
        <v>15</v>
      </c>
      <c r="E672" s="2" t="s">
        <v>58</v>
      </c>
      <c r="F672" s="2" t="s">
        <v>32</v>
      </c>
      <c r="G672" s="2" t="s">
        <v>54</v>
      </c>
      <c r="H672" s="2" t="s">
        <v>19</v>
      </c>
      <c r="I672" s="2">
        <v>4</v>
      </c>
      <c r="J672" s="2">
        <v>3029</v>
      </c>
      <c r="K672" s="2">
        <v>9</v>
      </c>
      <c r="L672" s="2">
        <v>11025.56</v>
      </c>
    </row>
    <row r="673" spans="1:12" x14ac:dyDescent="0.3">
      <c r="A673" s="2" t="s">
        <v>1279</v>
      </c>
      <c r="B673" s="2" t="s">
        <v>1270</v>
      </c>
      <c r="C673" s="2" t="s">
        <v>1280</v>
      </c>
      <c r="D673" s="2" t="s">
        <v>30</v>
      </c>
      <c r="E673" s="2" t="s">
        <v>31</v>
      </c>
      <c r="F673" s="2" t="s">
        <v>17</v>
      </c>
      <c r="G673" s="2" t="s">
        <v>54</v>
      </c>
      <c r="H673" s="2" t="s">
        <v>75</v>
      </c>
      <c r="I673" s="2">
        <v>5</v>
      </c>
      <c r="J673" s="2">
        <v>1994</v>
      </c>
      <c r="K673" s="2">
        <v>29</v>
      </c>
      <c r="L673" s="2">
        <v>7078.7</v>
      </c>
    </row>
    <row r="674" spans="1:12" x14ac:dyDescent="0.3">
      <c r="A674" s="2" t="s">
        <v>1281</v>
      </c>
      <c r="B674" s="2" t="s">
        <v>443</v>
      </c>
      <c r="C674" s="2" t="s">
        <v>705</v>
      </c>
      <c r="D674" s="2" t="s">
        <v>23</v>
      </c>
      <c r="E674" s="2" t="s">
        <v>16</v>
      </c>
      <c r="F674" s="2" t="s">
        <v>25</v>
      </c>
      <c r="G674" s="2" t="s">
        <v>26</v>
      </c>
      <c r="H674" s="2" t="s">
        <v>19</v>
      </c>
      <c r="I674" s="2">
        <v>2</v>
      </c>
      <c r="J674" s="2">
        <v>1613</v>
      </c>
      <c r="K674" s="2">
        <v>15</v>
      </c>
      <c r="L674" s="2">
        <v>2742.1</v>
      </c>
    </row>
    <row r="675" spans="1:12" x14ac:dyDescent="0.3">
      <c r="A675" s="2" t="s">
        <v>1282</v>
      </c>
      <c r="B675" s="2" t="s">
        <v>940</v>
      </c>
      <c r="C675" s="2" t="s">
        <v>317</v>
      </c>
      <c r="D675" s="2" t="s">
        <v>88</v>
      </c>
      <c r="E675" s="2" t="s">
        <v>31</v>
      </c>
      <c r="F675" s="2" t="s">
        <v>40</v>
      </c>
      <c r="G675" s="2" t="s">
        <v>26</v>
      </c>
      <c r="H675" s="2" t="s">
        <v>19</v>
      </c>
      <c r="I675" s="2">
        <v>4</v>
      </c>
      <c r="J675" s="2">
        <v>4845</v>
      </c>
      <c r="K675" s="2">
        <v>8</v>
      </c>
      <c r="L675" s="2">
        <v>17829.599999999999</v>
      </c>
    </row>
    <row r="676" spans="1:12" x14ac:dyDescent="0.3">
      <c r="A676" s="2" t="s">
        <v>1283</v>
      </c>
      <c r="B676" s="2" t="s">
        <v>132</v>
      </c>
      <c r="C676" s="2" t="s">
        <v>183</v>
      </c>
      <c r="D676" s="2" t="s">
        <v>23</v>
      </c>
      <c r="E676" s="2" t="s">
        <v>16</v>
      </c>
      <c r="F676" s="2" t="s">
        <v>17</v>
      </c>
      <c r="G676" s="2" t="s">
        <v>26</v>
      </c>
      <c r="H676" s="2" t="s">
        <v>33</v>
      </c>
      <c r="I676" s="2">
        <v>3</v>
      </c>
      <c r="J676" s="2">
        <v>854</v>
      </c>
      <c r="K676" s="2">
        <v>27</v>
      </c>
      <c r="L676" s="2">
        <v>1870.26</v>
      </c>
    </row>
    <row r="677" spans="1:12" x14ac:dyDescent="0.3">
      <c r="A677" s="2" t="s">
        <v>1284</v>
      </c>
      <c r="B677" s="2" t="s">
        <v>73</v>
      </c>
      <c r="C677" s="2" t="s">
        <v>918</v>
      </c>
      <c r="D677" s="2" t="s">
        <v>88</v>
      </c>
      <c r="E677" s="2" t="s">
        <v>48</v>
      </c>
      <c r="F677" s="2" t="s">
        <v>17</v>
      </c>
      <c r="G677" s="2" t="s">
        <v>62</v>
      </c>
      <c r="H677" s="2" t="s">
        <v>33</v>
      </c>
      <c r="I677" s="2">
        <v>5</v>
      </c>
      <c r="J677" s="2">
        <v>3656</v>
      </c>
      <c r="K677" s="2">
        <v>3</v>
      </c>
      <c r="L677" s="2">
        <v>17731.599999999999</v>
      </c>
    </row>
    <row r="678" spans="1:12" x14ac:dyDescent="0.3">
      <c r="A678" s="2" t="s">
        <v>1285</v>
      </c>
      <c r="B678" s="2" t="s">
        <v>321</v>
      </c>
      <c r="C678" s="2" t="s">
        <v>512</v>
      </c>
      <c r="D678" s="2" t="s">
        <v>23</v>
      </c>
      <c r="E678" s="2" t="s">
        <v>79</v>
      </c>
      <c r="F678" s="2" t="s">
        <v>17</v>
      </c>
      <c r="G678" s="2" t="s">
        <v>54</v>
      </c>
      <c r="H678" s="2" t="s">
        <v>44</v>
      </c>
      <c r="I678" s="2">
        <v>5</v>
      </c>
      <c r="J678" s="2">
        <v>1451</v>
      </c>
      <c r="K678" s="2">
        <v>3</v>
      </c>
      <c r="L678" s="2">
        <v>7037.35</v>
      </c>
    </row>
    <row r="679" spans="1:12" x14ac:dyDescent="0.3">
      <c r="A679" s="2" t="s">
        <v>1286</v>
      </c>
      <c r="B679" s="2" t="s">
        <v>366</v>
      </c>
      <c r="C679" s="2" t="s">
        <v>404</v>
      </c>
      <c r="D679" s="2" t="s">
        <v>30</v>
      </c>
      <c r="E679" s="2" t="s">
        <v>68</v>
      </c>
      <c r="F679" s="2" t="s">
        <v>49</v>
      </c>
      <c r="G679" s="2" t="s">
        <v>26</v>
      </c>
      <c r="H679" s="2" t="s">
        <v>33</v>
      </c>
      <c r="I679" s="2">
        <v>3</v>
      </c>
      <c r="J679" s="2">
        <v>2331</v>
      </c>
      <c r="K679" s="2">
        <v>26</v>
      </c>
      <c r="L679" s="2">
        <v>5174.82</v>
      </c>
    </row>
    <row r="680" spans="1:12" x14ac:dyDescent="0.3">
      <c r="A680" s="2" t="s">
        <v>1287</v>
      </c>
      <c r="B680" s="2" t="s">
        <v>449</v>
      </c>
      <c r="C680" s="2" t="s">
        <v>451</v>
      </c>
      <c r="D680" s="2" t="s">
        <v>88</v>
      </c>
      <c r="E680" s="2" t="s">
        <v>31</v>
      </c>
      <c r="F680" s="2" t="s">
        <v>25</v>
      </c>
      <c r="G680" s="2" t="s">
        <v>18</v>
      </c>
      <c r="H680" s="2" t="s">
        <v>19</v>
      </c>
      <c r="I680" s="2">
        <v>2</v>
      </c>
      <c r="J680" s="2">
        <v>1606</v>
      </c>
      <c r="K680" s="2">
        <v>2</v>
      </c>
      <c r="L680" s="2">
        <v>3147.76</v>
      </c>
    </row>
    <row r="681" spans="1:12" x14ac:dyDescent="0.3">
      <c r="A681" s="2" t="s">
        <v>1288</v>
      </c>
      <c r="B681" s="2" t="s">
        <v>647</v>
      </c>
      <c r="C681" s="2" t="s">
        <v>977</v>
      </c>
      <c r="D681" s="2" t="s">
        <v>15</v>
      </c>
      <c r="E681" s="2" t="s">
        <v>68</v>
      </c>
      <c r="F681" s="2" t="s">
        <v>32</v>
      </c>
      <c r="G681" s="2" t="s">
        <v>26</v>
      </c>
      <c r="H681" s="2" t="s">
        <v>19</v>
      </c>
      <c r="I681" s="2">
        <v>3</v>
      </c>
      <c r="J681" s="2">
        <v>1879</v>
      </c>
      <c r="K681" s="2">
        <v>16</v>
      </c>
      <c r="L681" s="2">
        <v>4735.08</v>
      </c>
    </row>
    <row r="682" spans="1:12" x14ac:dyDescent="0.3">
      <c r="A682" s="2" t="s">
        <v>1289</v>
      </c>
      <c r="B682" s="2" t="s">
        <v>667</v>
      </c>
      <c r="C682" s="2" t="s">
        <v>942</v>
      </c>
      <c r="D682" s="2" t="s">
        <v>23</v>
      </c>
      <c r="E682" s="2" t="s">
        <v>16</v>
      </c>
      <c r="F682" s="2" t="s">
        <v>32</v>
      </c>
      <c r="G682" s="2" t="s">
        <v>62</v>
      </c>
      <c r="H682" s="2" t="s">
        <v>44</v>
      </c>
      <c r="I682" s="2">
        <v>3</v>
      </c>
      <c r="J682" s="2">
        <v>3171</v>
      </c>
      <c r="K682" s="2">
        <v>16</v>
      </c>
      <c r="L682" s="2">
        <v>7990.92</v>
      </c>
    </row>
    <row r="683" spans="1:12" x14ac:dyDescent="0.3">
      <c r="A683" s="2" t="s">
        <v>1290</v>
      </c>
      <c r="B683" s="2" t="s">
        <v>1137</v>
      </c>
      <c r="C683" s="2" t="s">
        <v>441</v>
      </c>
      <c r="D683" s="2" t="s">
        <v>88</v>
      </c>
      <c r="E683" s="2" t="s">
        <v>79</v>
      </c>
      <c r="F683" s="2" t="s">
        <v>49</v>
      </c>
      <c r="G683" s="2" t="s">
        <v>18</v>
      </c>
      <c r="H683" s="2" t="s">
        <v>33</v>
      </c>
      <c r="I683" s="2">
        <v>5</v>
      </c>
      <c r="J683" s="2">
        <v>2036</v>
      </c>
      <c r="K683" s="2">
        <v>12</v>
      </c>
      <c r="L683" s="2">
        <v>8958.4</v>
      </c>
    </row>
    <row r="684" spans="1:12" x14ac:dyDescent="0.3">
      <c r="A684" s="2" t="s">
        <v>1291</v>
      </c>
      <c r="B684" s="2" t="s">
        <v>949</v>
      </c>
      <c r="C684" s="2" t="s">
        <v>977</v>
      </c>
      <c r="D684" s="2" t="s">
        <v>23</v>
      </c>
      <c r="E684" s="2" t="s">
        <v>24</v>
      </c>
      <c r="F684" s="2" t="s">
        <v>32</v>
      </c>
      <c r="G684" s="2" t="s">
        <v>62</v>
      </c>
      <c r="H684" s="2" t="s">
        <v>19</v>
      </c>
      <c r="I684" s="2">
        <v>3</v>
      </c>
      <c r="J684" s="2">
        <v>1111</v>
      </c>
      <c r="K684" s="2">
        <v>14</v>
      </c>
      <c r="L684" s="2">
        <v>2866.38</v>
      </c>
    </row>
    <row r="685" spans="1:12" x14ac:dyDescent="0.3">
      <c r="A685" s="2" t="s">
        <v>1292</v>
      </c>
      <c r="B685" s="2" t="s">
        <v>403</v>
      </c>
      <c r="C685" s="2" t="s">
        <v>1126</v>
      </c>
      <c r="D685" s="2" t="s">
        <v>30</v>
      </c>
      <c r="E685" s="2" t="s">
        <v>58</v>
      </c>
      <c r="F685" s="2" t="s">
        <v>49</v>
      </c>
      <c r="G685" s="2" t="s">
        <v>18</v>
      </c>
      <c r="H685" s="2" t="s">
        <v>19</v>
      </c>
      <c r="I685" s="2">
        <v>2</v>
      </c>
      <c r="J685" s="2">
        <v>3745</v>
      </c>
      <c r="K685" s="2">
        <v>20</v>
      </c>
      <c r="L685" s="2">
        <v>5992</v>
      </c>
    </row>
    <row r="686" spans="1:12" x14ac:dyDescent="0.3">
      <c r="A686" s="2" t="s">
        <v>1293</v>
      </c>
      <c r="B686" s="2" t="s">
        <v>474</v>
      </c>
      <c r="C686" s="2" t="s">
        <v>264</v>
      </c>
      <c r="D686" s="2" t="s">
        <v>30</v>
      </c>
      <c r="E686" s="2" t="s">
        <v>79</v>
      </c>
      <c r="F686" s="2" t="s">
        <v>49</v>
      </c>
      <c r="G686" s="2" t="s">
        <v>62</v>
      </c>
      <c r="H686" s="2" t="s">
        <v>33</v>
      </c>
      <c r="I686" s="2">
        <v>3</v>
      </c>
      <c r="J686" s="2">
        <v>2585</v>
      </c>
      <c r="K686" s="2">
        <v>16</v>
      </c>
      <c r="L686" s="2">
        <v>6514.2</v>
      </c>
    </row>
    <row r="687" spans="1:12" x14ac:dyDescent="0.3">
      <c r="A687" s="2" t="s">
        <v>1294</v>
      </c>
      <c r="B687" s="2" t="s">
        <v>843</v>
      </c>
      <c r="C687" s="2" t="s">
        <v>396</v>
      </c>
      <c r="D687" s="2" t="s">
        <v>23</v>
      </c>
      <c r="E687" s="2" t="s">
        <v>68</v>
      </c>
      <c r="F687" s="2" t="s">
        <v>17</v>
      </c>
      <c r="G687" s="2" t="s">
        <v>54</v>
      </c>
      <c r="H687" s="2" t="s">
        <v>33</v>
      </c>
      <c r="I687" s="2">
        <v>5</v>
      </c>
      <c r="J687" s="2">
        <v>4293</v>
      </c>
      <c r="K687" s="2">
        <v>16</v>
      </c>
      <c r="L687" s="2">
        <v>18030.599999999999</v>
      </c>
    </row>
    <row r="688" spans="1:12" x14ac:dyDescent="0.3">
      <c r="A688" s="2" t="s">
        <v>1295</v>
      </c>
      <c r="B688" s="2" t="s">
        <v>974</v>
      </c>
      <c r="C688" s="2" t="s">
        <v>1296</v>
      </c>
      <c r="D688" s="2" t="s">
        <v>23</v>
      </c>
      <c r="E688" s="2" t="s">
        <v>48</v>
      </c>
      <c r="F688" s="2" t="s">
        <v>49</v>
      </c>
      <c r="G688" s="2" t="s">
        <v>62</v>
      </c>
      <c r="H688" s="2" t="s">
        <v>44</v>
      </c>
      <c r="I688" s="2">
        <v>5</v>
      </c>
      <c r="J688" s="2">
        <v>4511</v>
      </c>
      <c r="K688" s="2">
        <v>16</v>
      </c>
      <c r="L688" s="2">
        <v>18946.2</v>
      </c>
    </row>
    <row r="689" spans="1:12" x14ac:dyDescent="0.3">
      <c r="A689" s="2" t="s">
        <v>1297</v>
      </c>
      <c r="B689" s="2" t="s">
        <v>962</v>
      </c>
      <c r="C689" s="2" t="s">
        <v>1298</v>
      </c>
      <c r="D689" s="2" t="s">
        <v>30</v>
      </c>
      <c r="E689" s="2" t="s">
        <v>24</v>
      </c>
      <c r="F689" s="2" t="s">
        <v>25</v>
      </c>
      <c r="G689" s="2" t="s">
        <v>18</v>
      </c>
      <c r="H689" s="2" t="s">
        <v>44</v>
      </c>
      <c r="I689" s="2">
        <v>1</v>
      </c>
      <c r="J689" s="2">
        <v>2034</v>
      </c>
      <c r="K689" s="2">
        <v>20</v>
      </c>
      <c r="L689" s="2">
        <v>1627.2</v>
      </c>
    </row>
    <row r="690" spans="1:12" x14ac:dyDescent="0.3">
      <c r="A690" s="2" t="s">
        <v>1299</v>
      </c>
      <c r="B690" s="2" t="s">
        <v>138</v>
      </c>
      <c r="C690" s="2" t="s">
        <v>465</v>
      </c>
      <c r="D690" s="2" t="s">
        <v>23</v>
      </c>
      <c r="E690" s="2" t="s">
        <v>24</v>
      </c>
      <c r="F690" s="2" t="s">
        <v>49</v>
      </c>
      <c r="G690" s="2" t="s">
        <v>62</v>
      </c>
      <c r="H690" s="2" t="s">
        <v>44</v>
      </c>
      <c r="I690" s="2">
        <v>5</v>
      </c>
      <c r="J690" s="2">
        <v>837</v>
      </c>
      <c r="K690" s="2">
        <v>25</v>
      </c>
      <c r="L690" s="2">
        <v>3138.75</v>
      </c>
    </row>
    <row r="691" spans="1:12" x14ac:dyDescent="0.3">
      <c r="A691" s="2" t="s">
        <v>1300</v>
      </c>
      <c r="B691" s="2" t="s">
        <v>561</v>
      </c>
      <c r="C691" s="2" t="s">
        <v>1301</v>
      </c>
      <c r="D691" s="2" t="s">
        <v>53</v>
      </c>
      <c r="E691" s="2" t="s">
        <v>68</v>
      </c>
      <c r="F691" s="2" t="s">
        <v>25</v>
      </c>
      <c r="G691" s="2" t="s">
        <v>18</v>
      </c>
      <c r="H691" s="2" t="s">
        <v>33</v>
      </c>
      <c r="I691" s="2">
        <v>3</v>
      </c>
      <c r="J691" s="2">
        <v>1557</v>
      </c>
      <c r="K691" s="2">
        <v>7</v>
      </c>
      <c r="L691" s="2">
        <v>4344.03</v>
      </c>
    </row>
    <row r="692" spans="1:12" x14ac:dyDescent="0.3">
      <c r="A692" s="2" t="s">
        <v>1302</v>
      </c>
      <c r="B692" s="2" t="s">
        <v>1303</v>
      </c>
      <c r="C692" s="2" t="s">
        <v>203</v>
      </c>
      <c r="D692" s="2" t="s">
        <v>30</v>
      </c>
      <c r="E692" s="2" t="s">
        <v>58</v>
      </c>
      <c r="F692" s="2" t="s">
        <v>25</v>
      </c>
      <c r="G692" s="2" t="s">
        <v>18</v>
      </c>
      <c r="H692" s="2" t="s">
        <v>19</v>
      </c>
      <c r="I692" s="2">
        <v>5</v>
      </c>
      <c r="J692" s="2">
        <v>1025</v>
      </c>
      <c r="K692" s="2">
        <v>12</v>
      </c>
      <c r="L692" s="2">
        <v>4510</v>
      </c>
    </row>
    <row r="693" spans="1:12" x14ac:dyDescent="0.3">
      <c r="A693" s="2" t="s">
        <v>1304</v>
      </c>
      <c r="B693" s="2" t="s">
        <v>463</v>
      </c>
      <c r="C693" s="2" t="s">
        <v>71</v>
      </c>
      <c r="D693" s="2" t="s">
        <v>88</v>
      </c>
      <c r="E693" s="2" t="s">
        <v>79</v>
      </c>
      <c r="F693" s="2" t="s">
        <v>32</v>
      </c>
      <c r="G693" s="2" t="s">
        <v>26</v>
      </c>
      <c r="H693" s="2" t="s">
        <v>44</v>
      </c>
      <c r="I693" s="2">
        <v>2</v>
      </c>
      <c r="J693" s="2">
        <v>2541</v>
      </c>
      <c r="K693" s="2">
        <v>1</v>
      </c>
      <c r="L693" s="2">
        <v>5031.18</v>
      </c>
    </row>
    <row r="694" spans="1:12" x14ac:dyDescent="0.3">
      <c r="A694" s="2" t="s">
        <v>1305</v>
      </c>
      <c r="B694" s="2" t="s">
        <v>810</v>
      </c>
      <c r="C694" s="2" t="s">
        <v>1301</v>
      </c>
      <c r="D694" s="2" t="s">
        <v>15</v>
      </c>
      <c r="E694" s="2" t="s">
        <v>68</v>
      </c>
      <c r="F694" s="2" t="s">
        <v>40</v>
      </c>
      <c r="G694" s="2" t="s">
        <v>54</v>
      </c>
      <c r="H694" s="2" t="s">
        <v>19</v>
      </c>
      <c r="I694" s="2">
        <v>1</v>
      </c>
      <c r="J694" s="2">
        <v>2403</v>
      </c>
      <c r="K694" s="2">
        <v>19</v>
      </c>
      <c r="L694" s="2">
        <v>1946.43</v>
      </c>
    </row>
    <row r="695" spans="1:12" x14ac:dyDescent="0.3">
      <c r="A695" s="2" t="s">
        <v>1306</v>
      </c>
      <c r="B695" s="2" t="s">
        <v>1307</v>
      </c>
      <c r="C695" s="2" t="s">
        <v>690</v>
      </c>
      <c r="D695" s="2" t="s">
        <v>88</v>
      </c>
      <c r="E695" s="2" t="s">
        <v>24</v>
      </c>
      <c r="F695" s="2" t="s">
        <v>40</v>
      </c>
      <c r="G695" s="2" t="s">
        <v>26</v>
      </c>
      <c r="H695" s="2" t="s">
        <v>44</v>
      </c>
      <c r="I695" s="2">
        <v>2</v>
      </c>
      <c r="J695" s="2">
        <v>2465</v>
      </c>
      <c r="K695" s="2">
        <v>7</v>
      </c>
      <c r="L695" s="2">
        <v>4584.8999999999996</v>
      </c>
    </row>
    <row r="696" spans="1:12" x14ac:dyDescent="0.3">
      <c r="A696" s="2" t="s">
        <v>1308</v>
      </c>
      <c r="B696" s="2" t="s">
        <v>1146</v>
      </c>
      <c r="C696" s="2" t="s">
        <v>675</v>
      </c>
      <c r="D696" s="2" t="s">
        <v>88</v>
      </c>
      <c r="E696" s="2" t="s">
        <v>58</v>
      </c>
      <c r="F696" s="2" t="s">
        <v>25</v>
      </c>
      <c r="G696" s="2" t="s">
        <v>54</v>
      </c>
      <c r="H696" s="2" t="s">
        <v>44</v>
      </c>
      <c r="I696" s="2">
        <v>1</v>
      </c>
      <c r="J696" s="2">
        <v>4716</v>
      </c>
      <c r="K696" s="2">
        <v>4</v>
      </c>
      <c r="L696" s="2">
        <v>4527.3599999999997</v>
      </c>
    </row>
    <row r="697" spans="1:12" x14ac:dyDescent="0.3">
      <c r="A697" s="2" t="s">
        <v>1309</v>
      </c>
      <c r="B697" s="2" t="s">
        <v>509</v>
      </c>
      <c r="C697" s="2" t="s">
        <v>649</v>
      </c>
      <c r="D697" s="2" t="s">
        <v>30</v>
      </c>
      <c r="E697" s="2" t="s">
        <v>68</v>
      </c>
      <c r="F697" s="2" t="s">
        <v>40</v>
      </c>
      <c r="G697" s="2" t="s">
        <v>40</v>
      </c>
      <c r="H697" s="2" t="s">
        <v>19</v>
      </c>
      <c r="I697" s="2">
        <v>3</v>
      </c>
      <c r="J697" s="2">
        <v>2275</v>
      </c>
      <c r="K697" s="2">
        <v>6</v>
      </c>
      <c r="L697" s="2">
        <v>6415.5</v>
      </c>
    </row>
    <row r="698" spans="1:12" x14ac:dyDescent="0.3">
      <c r="A698" s="2" t="s">
        <v>1310</v>
      </c>
      <c r="B698" s="2" t="s">
        <v>177</v>
      </c>
      <c r="C698" s="2" t="s">
        <v>264</v>
      </c>
      <c r="D698" s="2" t="s">
        <v>88</v>
      </c>
      <c r="E698" s="2" t="s">
        <v>31</v>
      </c>
      <c r="F698" s="2" t="s">
        <v>49</v>
      </c>
      <c r="G698" s="2" t="s">
        <v>54</v>
      </c>
      <c r="H698" s="2" t="s">
        <v>33</v>
      </c>
      <c r="I698" s="2">
        <v>2</v>
      </c>
      <c r="J698" s="2">
        <v>910</v>
      </c>
      <c r="K698" s="2">
        <v>1</v>
      </c>
      <c r="L698" s="2">
        <v>1801.8</v>
      </c>
    </row>
    <row r="699" spans="1:12" x14ac:dyDescent="0.3">
      <c r="A699" s="2" t="s">
        <v>1311</v>
      </c>
      <c r="B699" s="2" t="s">
        <v>1183</v>
      </c>
      <c r="C699" s="2" t="s">
        <v>499</v>
      </c>
      <c r="D699" s="2" t="s">
        <v>23</v>
      </c>
      <c r="E699" s="2" t="s">
        <v>16</v>
      </c>
      <c r="F699" s="2" t="s">
        <v>40</v>
      </c>
      <c r="G699" s="2" t="s">
        <v>40</v>
      </c>
      <c r="H699" s="2" t="s">
        <v>19</v>
      </c>
      <c r="I699" s="2">
        <v>5</v>
      </c>
      <c r="J699" s="2">
        <v>4069</v>
      </c>
      <c r="K699" s="2">
        <v>17</v>
      </c>
      <c r="L699" s="2">
        <v>16886.349999999999</v>
      </c>
    </row>
    <row r="700" spans="1:12" x14ac:dyDescent="0.3">
      <c r="A700" s="2" t="s">
        <v>1312</v>
      </c>
      <c r="B700" s="2" t="s">
        <v>295</v>
      </c>
      <c r="C700" s="2" t="s">
        <v>711</v>
      </c>
      <c r="D700" s="2" t="s">
        <v>88</v>
      </c>
      <c r="E700" s="2" t="s">
        <v>79</v>
      </c>
      <c r="F700" s="2" t="s">
        <v>49</v>
      </c>
      <c r="G700" s="2" t="s">
        <v>62</v>
      </c>
      <c r="H700" s="2" t="s">
        <v>19</v>
      </c>
      <c r="I700" s="2">
        <v>3</v>
      </c>
      <c r="J700" s="2">
        <v>2503</v>
      </c>
      <c r="K700" s="2">
        <v>30</v>
      </c>
      <c r="L700" s="2">
        <v>5256.3</v>
      </c>
    </row>
    <row r="701" spans="1:12" x14ac:dyDescent="0.3">
      <c r="A701" s="2" t="s">
        <v>1313</v>
      </c>
      <c r="B701" s="2" t="s">
        <v>1314</v>
      </c>
      <c r="C701" s="2" t="s">
        <v>1276</v>
      </c>
      <c r="D701" s="2" t="s">
        <v>88</v>
      </c>
      <c r="E701" s="2" t="s">
        <v>79</v>
      </c>
      <c r="F701" s="2" t="s">
        <v>49</v>
      </c>
      <c r="G701" s="2" t="s">
        <v>54</v>
      </c>
      <c r="H701" s="2" t="s">
        <v>33</v>
      </c>
      <c r="I701" s="2">
        <v>4</v>
      </c>
      <c r="J701" s="2">
        <v>2863</v>
      </c>
      <c r="K701" s="2">
        <v>10</v>
      </c>
      <c r="L701" s="2">
        <v>10306.799999999999</v>
      </c>
    </row>
    <row r="702" spans="1:12" x14ac:dyDescent="0.3">
      <c r="A702" s="2" t="s">
        <v>1315</v>
      </c>
      <c r="B702" s="2" t="s">
        <v>257</v>
      </c>
      <c r="C702" s="2" t="s">
        <v>836</v>
      </c>
      <c r="D702" s="2" t="s">
        <v>23</v>
      </c>
      <c r="E702" s="2" t="s">
        <v>68</v>
      </c>
      <c r="F702" s="2" t="s">
        <v>17</v>
      </c>
      <c r="G702" s="2" t="s">
        <v>40</v>
      </c>
      <c r="H702" s="2" t="s">
        <v>44</v>
      </c>
      <c r="I702" s="2">
        <v>2</v>
      </c>
      <c r="J702" s="2">
        <v>493</v>
      </c>
      <c r="K702" s="2">
        <v>6</v>
      </c>
      <c r="L702" s="2">
        <v>926.84</v>
      </c>
    </row>
    <row r="703" spans="1:12" x14ac:dyDescent="0.3">
      <c r="A703" s="2" t="s">
        <v>1316</v>
      </c>
      <c r="B703" s="2" t="s">
        <v>379</v>
      </c>
      <c r="C703" s="2" t="s">
        <v>151</v>
      </c>
      <c r="D703" s="2" t="s">
        <v>53</v>
      </c>
      <c r="E703" s="2" t="s">
        <v>79</v>
      </c>
      <c r="F703" s="2" t="s">
        <v>49</v>
      </c>
      <c r="G703" s="2" t="s">
        <v>18</v>
      </c>
      <c r="H703" s="2" t="s">
        <v>33</v>
      </c>
      <c r="I703" s="2">
        <v>3</v>
      </c>
      <c r="J703" s="2">
        <v>3282</v>
      </c>
      <c r="K703" s="2">
        <v>2</v>
      </c>
      <c r="L703" s="2">
        <v>9649.08</v>
      </c>
    </row>
    <row r="704" spans="1:12" x14ac:dyDescent="0.3">
      <c r="A704" s="2" t="s">
        <v>1317</v>
      </c>
      <c r="B704" s="2" t="s">
        <v>810</v>
      </c>
      <c r="C704" s="2" t="s">
        <v>194</v>
      </c>
      <c r="D704" s="2" t="s">
        <v>15</v>
      </c>
      <c r="E704" s="2" t="s">
        <v>68</v>
      </c>
      <c r="F704" s="2" t="s">
        <v>49</v>
      </c>
      <c r="G704" s="2" t="s">
        <v>40</v>
      </c>
      <c r="H704" s="2" t="s">
        <v>19</v>
      </c>
      <c r="I704" s="2">
        <v>3</v>
      </c>
      <c r="J704" s="2">
        <v>3290</v>
      </c>
      <c r="K704" s="2">
        <v>20</v>
      </c>
      <c r="L704" s="2">
        <v>7896</v>
      </c>
    </row>
    <row r="705" spans="1:12" x14ac:dyDescent="0.3">
      <c r="A705" s="2" t="s">
        <v>1318</v>
      </c>
      <c r="B705" s="2" t="s">
        <v>779</v>
      </c>
      <c r="C705" s="2" t="s">
        <v>567</v>
      </c>
      <c r="D705" s="2" t="s">
        <v>88</v>
      </c>
      <c r="E705" s="2" t="s">
        <v>24</v>
      </c>
      <c r="F705" s="2" t="s">
        <v>49</v>
      </c>
      <c r="G705" s="2" t="s">
        <v>54</v>
      </c>
      <c r="H705" s="2" t="s">
        <v>44</v>
      </c>
      <c r="I705" s="2">
        <v>2</v>
      </c>
      <c r="J705" s="2">
        <v>596</v>
      </c>
      <c r="K705" s="2">
        <v>1</v>
      </c>
      <c r="L705" s="2">
        <v>1180.08</v>
      </c>
    </row>
    <row r="706" spans="1:12" x14ac:dyDescent="0.3">
      <c r="A706" s="2" t="s">
        <v>1319</v>
      </c>
      <c r="B706" s="2" t="s">
        <v>613</v>
      </c>
      <c r="C706" s="2" t="s">
        <v>1280</v>
      </c>
      <c r="D706" s="2" t="s">
        <v>88</v>
      </c>
      <c r="E706" s="2" t="s">
        <v>79</v>
      </c>
      <c r="F706" s="2" t="s">
        <v>25</v>
      </c>
      <c r="G706" s="2" t="s">
        <v>40</v>
      </c>
      <c r="H706" s="2" t="s">
        <v>33</v>
      </c>
      <c r="I706" s="2">
        <v>1</v>
      </c>
      <c r="J706" s="2">
        <v>1730</v>
      </c>
      <c r="K706" s="2">
        <v>17</v>
      </c>
      <c r="L706" s="2">
        <v>1435.9</v>
      </c>
    </row>
    <row r="707" spans="1:12" x14ac:dyDescent="0.3">
      <c r="A707" s="2" t="s">
        <v>1320</v>
      </c>
      <c r="B707" s="2" t="s">
        <v>418</v>
      </c>
      <c r="C707" s="2" t="s">
        <v>755</v>
      </c>
      <c r="D707" s="2" t="s">
        <v>88</v>
      </c>
      <c r="E707" s="2" t="s">
        <v>24</v>
      </c>
      <c r="F707" s="2" t="s">
        <v>49</v>
      </c>
      <c r="G707" s="2" t="s">
        <v>18</v>
      </c>
      <c r="H707" s="2" t="s">
        <v>44</v>
      </c>
      <c r="I707" s="2">
        <v>2</v>
      </c>
      <c r="J707" s="2">
        <v>1743</v>
      </c>
      <c r="K707" s="2">
        <v>2</v>
      </c>
      <c r="L707" s="2">
        <v>3416.28</v>
      </c>
    </row>
    <row r="708" spans="1:12" x14ac:dyDescent="0.3">
      <c r="A708" s="2" t="s">
        <v>1321</v>
      </c>
      <c r="B708" s="2" t="s">
        <v>569</v>
      </c>
      <c r="C708" s="2" t="s">
        <v>253</v>
      </c>
      <c r="D708" s="2" t="s">
        <v>30</v>
      </c>
      <c r="E708" s="2" t="s">
        <v>31</v>
      </c>
      <c r="F708" s="2" t="s">
        <v>40</v>
      </c>
      <c r="G708" s="2" t="s">
        <v>62</v>
      </c>
      <c r="H708" s="2" t="s">
        <v>75</v>
      </c>
      <c r="I708" s="2">
        <v>4</v>
      </c>
      <c r="J708" s="2">
        <v>1814</v>
      </c>
      <c r="K708" s="2">
        <v>24</v>
      </c>
      <c r="L708" s="2">
        <v>5514.56</v>
      </c>
    </row>
    <row r="709" spans="1:12" x14ac:dyDescent="0.3">
      <c r="A709" s="2" t="s">
        <v>1322</v>
      </c>
      <c r="B709" s="2" t="s">
        <v>266</v>
      </c>
      <c r="C709" s="2" t="s">
        <v>915</v>
      </c>
      <c r="D709" s="2" t="s">
        <v>15</v>
      </c>
      <c r="E709" s="2" t="s">
        <v>48</v>
      </c>
      <c r="F709" s="2" t="s">
        <v>32</v>
      </c>
      <c r="G709" s="2" t="s">
        <v>54</v>
      </c>
      <c r="H709" s="2" t="s">
        <v>75</v>
      </c>
      <c r="I709" s="2">
        <v>5</v>
      </c>
      <c r="J709" s="2">
        <v>3971</v>
      </c>
      <c r="K709" s="2">
        <v>29</v>
      </c>
      <c r="L709" s="2">
        <v>14097.05</v>
      </c>
    </row>
    <row r="710" spans="1:12" x14ac:dyDescent="0.3">
      <c r="A710" s="2" t="s">
        <v>1323</v>
      </c>
      <c r="B710" s="2" t="s">
        <v>1324</v>
      </c>
      <c r="C710" s="2" t="s">
        <v>225</v>
      </c>
      <c r="D710" s="2" t="s">
        <v>88</v>
      </c>
      <c r="E710" s="2" t="s">
        <v>58</v>
      </c>
      <c r="F710" s="2" t="s">
        <v>40</v>
      </c>
      <c r="G710" s="2" t="s">
        <v>18</v>
      </c>
      <c r="H710" s="2" t="s">
        <v>75</v>
      </c>
      <c r="I710" s="2">
        <v>4</v>
      </c>
      <c r="J710" s="2">
        <v>3840</v>
      </c>
      <c r="K710" s="2">
        <v>7</v>
      </c>
      <c r="L710" s="2">
        <v>14284.8</v>
      </c>
    </row>
    <row r="711" spans="1:12" x14ac:dyDescent="0.3">
      <c r="A711" s="2" t="s">
        <v>1325</v>
      </c>
      <c r="B711" s="2" t="s">
        <v>662</v>
      </c>
      <c r="C711" s="2" t="s">
        <v>228</v>
      </c>
      <c r="D711" s="2" t="s">
        <v>88</v>
      </c>
      <c r="E711" s="2" t="s">
        <v>58</v>
      </c>
      <c r="F711" s="2" t="s">
        <v>40</v>
      </c>
      <c r="G711" s="2" t="s">
        <v>26</v>
      </c>
      <c r="H711" s="2" t="s">
        <v>44</v>
      </c>
      <c r="I711" s="2">
        <v>4</v>
      </c>
      <c r="J711" s="2">
        <v>3983</v>
      </c>
      <c r="K711" s="2">
        <v>29</v>
      </c>
      <c r="L711" s="2">
        <v>11311.72</v>
      </c>
    </row>
    <row r="712" spans="1:12" x14ac:dyDescent="0.3">
      <c r="A712" s="2" t="s">
        <v>1326</v>
      </c>
      <c r="B712" s="2" t="s">
        <v>81</v>
      </c>
      <c r="C712" s="2" t="s">
        <v>288</v>
      </c>
      <c r="D712" s="2" t="s">
        <v>88</v>
      </c>
      <c r="E712" s="2" t="s">
        <v>68</v>
      </c>
      <c r="F712" s="2" t="s">
        <v>49</v>
      </c>
      <c r="G712" s="2" t="s">
        <v>54</v>
      </c>
      <c r="H712" s="2" t="s">
        <v>75</v>
      </c>
      <c r="I712" s="2">
        <v>3</v>
      </c>
      <c r="J712" s="2">
        <v>3579</v>
      </c>
      <c r="K712" s="2">
        <v>5</v>
      </c>
      <c r="L712" s="2">
        <v>10200.15</v>
      </c>
    </row>
    <row r="713" spans="1:12" x14ac:dyDescent="0.3">
      <c r="A713" s="2" t="s">
        <v>1327</v>
      </c>
      <c r="B713" s="2" t="s">
        <v>83</v>
      </c>
      <c r="C713" s="2" t="s">
        <v>1249</v>
      </c>
      <c r="D713" s="2" t="s">
        <v>15</v>
      </c>
      <c r="E713" s="2" t="s">
        <v>79</v>
      </c>
      <c r="F713" s="2" t="s">
        <v>40</v>
      </c>
      <c r="G713" s="2" t="s">
        <v>26</v>
      </c>
      <c r="H713" s="2" t="s">
        <v>44</v>
      </c>
      <c r="I713" s="2">
        <v>4</v>
      </c>
      <c r="J713" s="2">
        <v>2372</v>
      </c>
      <c r="K713" s="2">
        <v>3</v>
      </c>
      <c r="L713" s="2">
        <v>9203.36</v>
      </c>
    </row>
    <row r="714" spans="1:12" x14ac:dyDescent="0.3">
      <c r="A714" s="2" t="s">
        <v>1328</v>
      </c>
      <c r="B714" s="2" t="s">
        <v>269</v>
      </c>
      <c r="C714" s="2" t="s">
        <v>311</v>
      </c>
      <c r="D714" s="2" t="s">
        <v>23</v>
      </c>
      <c r="E714" s="2" t="s">
        <v>58</v>
      </c>
      <c r="F714" s="2" t="s">
        <v>49</v>
      </c>
      <c r="G714" s="2" t="s">
        <v>26</v>
      </c>
      <c r="H714" s="2" t="s">
        <v>75</v>
      </c>
      <c r="I714" s="2">
        <v>4</v>
      </c>
      <c r="J714" s="2">
        <v>3088</v>
      </c>
      <c r="K714" s="2">
        <v>14</v>
      </c>
      <c r="L714" s="2">
        <v>10622.72</v>
      </c>
    </row>
    <row r="715" spans="1:12" x14ac:dyDescent="0.3">
      <c r="A715" s="2" t="s">
        <v>1329</v>
      </c>
      <c r="B715" s="2" t="s">
        <v>205</v>
      </c>
      <c r="C715" s="2" t="s">
        <v>163</v>
      </c>
      <c r="D715" s="2" t="s">
        <v>88</v>
      </c>
      <c r="E715" s="2" t="s">
        <v>58</v>
      </c>
      <c r="F715" s="2" t="s">
        <v>25</v>
      </c>
      <c r="G715" s="2" t="s">
        <v>54</v>
      </c>
      <c r="H715" s="2" t="s">
        <v>19</v>
      </c>
      <c r="I715" s="2">
        <v>3</v>
      </c>
      <c r="J715" s="2">
        <v>2982</v>
      </c>
      <c r="K715" s="2">
        <v>27</v>
      </c>
      <c r="L715" s="2">
        <v>6530.58</v>
      </c>
    </row>
    <row r="716" spans="1:12" x14ac:dyDescent="0.3">
      <c r="A716" s="2" t="s">
        <v>1330</v>
      </c>
      <c r="B716" s="2" t="s">
        <v>13</v>
      </c>
      <c r="C716" s="2" t="s">
        <v>1331</v>
      </c>
      <c r="D716" s="2" t="s">
        <v>23</v>
      </c>
      <c r="E716" s="2" t="s">
        <v>16</v>
      </c>
      <c r="F716" s="2" t="s">
        <v>32</v>
      </c>
      <c r="G716" s="2" t="s">
        <v>62</v>
      </c>
      <c r="H716" s="2" t="s">
        <v>75</v>
      </c>
      <c r="I716" s="2">
        <v>5</v>
      </c>
      <c r="J716" s="2">
        <v>4394</v>
      </c>
      <c r="K716" s="2">
        <v>24</v>
      </c>
      <c r="L716" s="2">
        <v>16697.2</v>
      </c>
    </row>
    <row r="717" spans="1:12" x14ac:dyDescent="0.3">
      <c r="A717" s="2" t="s">
        <v>1332</v>
      </c>
      <c r="B717" s="2" t="s">
        <v>1333</v>
      </c>
      <c r="C717" s="2" t="s">
        <v>1203</v>
      </c>
      <c r="D717" s="2" t="s">
        <v>23</v>
      </c>
      <c r="E717" s="2" t="s">
        <v>16</v>
      </c>
      <c r="F717" s="2" t="s">
        <v>49</v>
      </c>
      <c r="G717" s="2" t="s">
        <v>26</v>
      </c>
      <c r="H717" s="2" t="s">
        <v>75</v>
      </c>
      <c r="I717" s="2">
        <v>2</v>
      </c>
      <c r="J717" s="2">
        <v>4459</v>
      </c>
      <c r="K717" s="2">
        <v>1</v>
      </c>
      <c r="L717" s="2">
        <v>8828.82</v>
      </c>
    </row>
    <row r="718" spans="1:12" x14ac:dyDescent="0.3">
      <c r="A718" s="2" t="s">
        <v>1334</v>
      </c>
      <c r="B718" s="2" t="s">
        <v>93</v>
      </c>
      <c r="C718" s="2" t="s">
        <v>660</v>
      </c>
      <c r="D718" s="2" t="s">
        <v>53</v>
      </c>
      <c r="E718" s="2" t="s">
        <v>31</v>
      </c>
      <c r="F718" s="2" t="s">
        <v>25</v>
      </c>
      <c r="G718" s="2" t="s">
        <v>40</v>
      </c>
      <c r="H718" s="2" t="s">
        <v>44</v>
      </c>
      <c r="I718" s="2">
        <v>1</v>
      </c>
      <c r="J718" s="2">
        <v>2061</v>
      </c>
      <c r="K718" s="2">
        <v>14</v>
      </c>
      <c r="L718" s="2">
        <v>1772.46</v>
      </c>
    </row>
    <row r="719" spans="1:12" x14ac:dyDescent="0.3">
      <c r="A719" s="2" t="s">
        <v>1335</v>
      </c>
      <c r="B719" s="2" t="s">
        <v>144</v>
      </c>
      <c r="C719" s="2" t="s">
        <v>61</v>
      </c>
      <c r="D719" s="2" t="s">
        <v>30</v>
      </c>
      <c r="E719" s="2" t="s">
        <v>31</v>
      </c>
      <c r="F719" s="2" t="s">
        <v>49</v>
      </c>
      <c r="G719" s="2" t="s">
        <v>18</v>
      </c>
      <c r="H719" s="2" t="s">
        <v>75</v>
      </c>
      <c r="I719" s="2">
        <v>3</v>
      </c>
      <c r="J719" s="2">
        <v>3380</v>
      </c>
      <c r="K719" s="2">
        <v>27</v>
      </c>
      <c r="L719" s="2">
        <v>7402.2</v>
      </c>
    </row>
    <row r="720" spans="1:12" x14ac:dyDescent="0.3">
      <c r="A720" s="2" t="s">
        <v>1336</v>
      </c>
      <c r="B720" s="2" t="s">
        <v>101</v>
      </c>
      <c r="C720" s="2" t="s">
        <v>936</v>
      </c>
      <c r="D720" s="2" t="s">
        <v>30</v>
      </c>
      <c r="E720" s="2" t="s">
        <v>68</v>
      </c>
      <c r="F720" s="2" t="s">
        <v>32</v>
      </c>
      <c r="G720" s="2" t="s">
        <v>54</v>
      </c>
      <c r="H720" s="2" t="s">
        <v>75</v>
      </c>
      <c r="I720" s="2">
        <v>5</v>
      </c>
      <c r="J720" s="2">
        <v>201</v>
      </c>
      <c r="K720" s="2">
        <v>0</v>
      </c>
      <c r="L720" s="2">
        <v>1005</v>
      </c>
    </row>
    <row r="721" spans="1:12" x14ac:dyDescent="0.3">
      <c r="A721" s="2" t="s">
        <v>1337</v>
      </c>
      <c r="B721" s="2" t="s">
        <v>1338</v>
      </c>
      <c r="C721" s="2" t="s">
        <v>1203</v>
      </c>
      <c r="D721" s="2" t="s">
        <v>88</v>
      </c>
      <c r="E721" s="2" t="s">
        <v>31</v>
      </c>
      <c r="F721" s="2" t="s">
        <v>32</v>
      </c>
      <c r="G721" s="2" t="s">
        <v>18</v>
      </c>
      <c r="H721" s="2" t="s">
        <v>33</v>
      </c>
      <c r="I721" s="2">
        <v>1</v>
      </c>
      <c r="J721" s="2">
        <v>2032</v>
      </c>
      <c r="K721" s="2">
        <v>5</v>
      </c>
      <c r="L721" s="2">
        <v>1930.4</v>
      </c>
    </row>
    <row r="722" spans="1:12" x14ac:dyDescent="0.3">
      <c r="A722" s="2" t="s">
        <v>1339</v>
      </c>
      <c r="B722" s="2" t="s">
        <v>1338</v>
      </c>
      <c r="C722" s="2" t="s">
        <v>1340</v>
      </c>
      <c r="D722" s="2" t="s">
        <v>15</v>
      </c>
      <c r="E722" s="2" t="s">
        <v>79</v>
      </c>
      <c r="F722" s="2" t="s">
        <v>49</v>
      </c>
      <c r="G722" s="2" t="s">
        <v>40</v>
      </c>
      <c r="H722" s="2" t="s">
        <v>33</v>
      </c>
      <c r="I722" s="2">
        <v>2</v>
      </c>
      <c r="J722" s="2">
        <v>3671</v>
      </c>
      <c r="K722" s="2">
        <v>26</v>
      </c>
      <c r="L722" s="2">
        <v>5433.08</v>
      </c>
    </row>
    <row r="723" spans="1:12" x14ac:dyDescent="0.3">
      <c r="A723" s="2" t="s">
        <v>1341</v>
      </c>
      <c r="B723" s="2" t="s">
        <v>517</v>
      </c>
      <c r="C723" s="2" t="s">
        <v>1342</v>
      </c>
      <c r="D723" s="2" t="s">
        <v>88</v>
      </c>
      <c r="E723" s="2" t="s">
        <v>24</v>
      </c>
      <c r="F723" s="2" t="s">
        <v>32</v>
      </c>
      <c r="G723" s="2" t="s">
        <v>18</v>
      </c>
      <c r="H723" s="2" t="s">
        <v>44</v>
      </c>
      <c r="I723" s="2">
        <v>2</v>
      </c>
      <c r="J723" s="2">
        <v>3887</v>
      </c>
      <c r="K723" s="2">
        <v>24</v>
      </c>
      <c r="L723" s="2">
        <v>5908.24</v>
      </c>
    </row>
    <row r="724" spans="1:12" x14ac:dyDescent="0.3">
      <c r="A724" s="2" t="s">
        <v>1343</v>
      </c>
      <c r="B724" s="2" t="s">
        <v>1052</v>
      </c>
      <c r="C724" s="2" t="s">
        <v>1278</v>
      </c>
      <c r="D724" s="2" t="s">
        <v>53</v>
      </c>
      <c r="E724" s="2" t="s">
        <v>68</v>
      </c>
      <c r="F724" s="2" t="s">
        <v>17</v>
      </c>
      <c r="G724" s="2" t="s">
        <v>62</v>
      </c>
      <c r="H724" s="2" t="s">
        <v>44</v>
      </c>
      <c r="I724" s="2">
        <v>3</v>
      </c>
      <c r="J724" s="2">
        <v>4612</v>
      </c>
      <c r="K724" s="2">
        <v>20</v>
      </c>
      <c r="L724" s="2">
        <v>11068.8</v>
      </c>
    </row>
    <row r="725" spans="1:12" x14ac:dyDescent="0.3">
      <c r="A725" s="2" t="s">
        <v>1344</v>
      </c>
      <c r="B725" s="2" t="s">
        <v>991</v>
      </c>
      <c r="C725" s="2" t="s">
        <v>311</v>
      </c>
      <c r="D725" s="2" t="s">
        <v>88</v>
      </c>
      <c r="E725" s="2" t="s">
        <v>16</v>
      </c>
      <c r="F725" s="2" t="s">
        <v>25</v>
      </c>
      <c r="G725" s="2" t="s">
        <v>26</v>
      </c>
      <c r="H725" s="2" t="s">
        <v>75</v>
      </c>
      <c r="I725" s="2">
        <v>1</v>
      </c>
      <c r="J725" s="2">
        <v>3354</v>
      </c>
      <c r="K725" s="2">
        <v>26</v>
      </c>
      <c r="L725" s="2">
        <v>2481.96</v>
      </c>
    </row>
    <row r="726" spans="1:12" x14ac:dyDescent="0.3">
      <c r="A726" s="2" t="s">
        <v>1345</v>
      </c>
      <c r="B726" s="2" t="s">
        <v>594</v>
      </c>
      <c r="C726" s="2" t="s">
        <v>567</v>
      </c>
      <c r="D726" s="2" t="s">
        <v>23</v>
      </c>
      <c r="E726" s="2" t="s">
        <v>48</v>
      </c>
      <c r="F726" s="2" t="s">
        <v>17</v>
      </c>
      <c r="G726" s="2" t="s">
        <v>26</v>
      </c>
      <c r="H726" s="2" t="s">
        <v>44</v>
      </c>
      <c r="I726" s="2">
        <v>2</v>
      </c>
      <c r="J726" s="2">
        <v>3795</v>
      </c>
      <c r="K726" s="2">
        <v>3</v>
      </c>
      <c r="L726" s="2">
        <v>7362.3</v>
      </c>
    </row>
    <row r="727" spans="1:12" x14ac:dyDescent="0.3">
      <c r="A727" s="2" t="s">
        <v>1346</v>
      </c>
      <c r="B727" s="2" t="s">
        <v>987</v>
      </c>
      <c r="C727" s="2" t="s">
        <v>804</v>
      </c>
      <c r="D727" s="2" t="s">
        <v>15</v>
      </c>
      <c r="E727" s="2" t="s">
        <v>16</v>
      </c>
      <c r="F727" s="2" t="s">
        <v>25</v>
      </c>
      <c r="G727" s="2" t="s">
        <v>26</v>
      </c>
      <c r="H727" s="2" t="s">
        <v>33</v>
      </c>
      <c r="I727" s="2">
        <v>3</v>
      </c>
      <c r="J727" s="2">
        <v>4798</v>
      </c>
      <c r="K727" s="2">
        <v>15</v>
      </c>
      <c r="L727" s="2">
        <v>12234.9</v>
      </c>
    </row>
    <row r="728" spans="1:12" x14ac:dyDescent="0.3">
      <c r="A728" s="2" t="s">
        <v>1347</v>
      </c>
      <c r="B728" s="2" t="s">
        <v>177</v>
      </c>
      <c r="C728" s="2" t="s">
        <v>555</v>
      </c>
      <c r="D728" s="2" t="s">
        <v>15</v>
      </c>
      <c r="E728" s="2" t="s">
        <v>58</v>
      </c>
      <c r="F728" s="2" t="s">
        <v>17</v>
      </c>
      <c r="G728" s="2" t="s">
        <v>62</v>
      </c>
      <c r="H728" s="2" t="s">
        <v>19</v>
      </c>
      <c r="I728" s="2">
        <v>5</v>
      </c>
      <c r="J728" s="2">
        <v>1260</v>
      </c>
      <c r="K728" s="2">
        <v>19</v>
      </c>
      <c r="L728" s="2">
        <v>5103</v>
      </c>
    </row>
    <row r="729" spans="1:12" x14ac:dyDescent="0.3">
      <c r="A729" s="2" t="s">
        <v>1348</v>
      </c>
      <c r="B729" s="2" t="s">
        <v>1349</v>
      </c>
      <c r="C729" s="2" t="s">
        <v>477</v>
      </c>
      <c r="D729" s="2" t="s">
        <v>23</v>
      </c>
      <c r="E729" s="2" t="s">
        <v>16</v>
      </c>
      <c r="F729" s="2" t="s">
        <v>32</v>
      </c>
      <c r="G729" s="2" t="s">
        <v>26</v>
      </c>
      <c r="H729" s="2" t="s">
        <v>44</v>
      </c>
      <c r="I729" s="2">
        <v>2</v>
      </c>
      <c r="J729" s="2">
        <v>4561</v>
      </c>
      <c r="K729" s="2">
        <v>10</v>
      </c>
      <c r="L729" s="2">
        <v>8209.7999999999993</v>
      </c>
    </row>
    <row r="730" spans="1:12" x14ac:dyDescent="0.3">
      <c r="A730" s="2" t="s">
        <v>1350</v>
      </c>
      <c r="B730" s="2" t="s">
        <v>876</v>
      </c>
      <c r="C730" s="2" t="s">
        <v>558</v>
      </c>
      <c r="D730" s="2" t="s">
        <v>88</v>
      </c>
      <c r="E730" s="2" t="s">
        <v>24</v>
      </c>
      <c r="F730" s="2" t="s">
        <v>40</v>
      </c>
      <c r="G730" s="2" t="s">
        <v>62</v>
      </c>
      <c r="H730" s="2" t="s">
        <v>33</v>
      </c>
      <c r="I730" s="2">
        <v>3</v>
      </c>
      <c r="J730" s="2">
        <v>2370</v>
      </c>
      <c r="K730" s="2">
        <v>23</v>
      </c>
      <c r="L730" s="2">
        <v>5474.7</v>
      </c>
    </row>
    <row r="731" spans="1:12" x14ac:dyDescent="0.3">
      <c r="A731" s="2" t="s">
        <v>1351</v>
      </c>
      <c r="B731" s="2" t="s">
        <v>330</v>
      </c>
      <c r="C731" s="2" t="s">
        <v>197</v>
      </c>
      <c r="D731" s="2" t="s">
        <v>23</v>
      </c>
      <c r="E731" s="2" t="s">
        <v>68</v>
      </c>
      <c r="F731" s="2" t="s">
        <v>25</v>
      </c>
      <c r="G731" s="2" t="s">
        <v>18</v>
      </c>
      <c r="H731" s="2" t="s">
        <v>44</v>
      </c>
      <c r="I731" s="2">
        <v>2</v>
      </c>
      <c r="J731" s="2">
        <v>4776</v>
      </c>
      <c r="K731" s="2">
        <v>11</v>
      </c>
      <c r="L731" s="2">
        <v>8501.2800000000007</v>
      </c>
    </row>
    <row r="732" spans="1:12" x14ac:dyDescent="0.3">
      <c r="A732" s="2" t="s">
        <v>1352</v>
      </c>
      <c r="B732" s="2" t="s">
        <v>349</v>
      </c>
      <c r="C732" s="2" t="s">
        <v>573</v>
      </c>
      <c r="D732" s="2" t="s">
        <v>30</v>
      </c>
      <c r="E732" s="2" t="s">
        <v>31</v>
      </c>
      <c r="F732" s="2" t="s">
        <v>17</v>
      </c>
      <c r="G732" s="2" t="s">
        <v>26</v>
      </c>
      <c r="H732" s="2" t="s">
        <v>33</v>
      </c>
      <c r="I732" s="2">
        <v>3</v>
      </c>
      <c r="J732" s="2">
        <v>2657</v>
      </c>
      <c r="K732" s="2">
        <v>28</v>
      </c>
      <c r="L732" s="2">
        <v>5739.12</v>
      </c>
    </row>
    <row r="733" spans="1:12" x14ac:dyDescent="0.3">
      <c r="A733" s="2" t="s">
        <v>1353</v>
      </c>
      <c r="B733" s="2" t="s">
        <v>355</v>
      </c>
      <c r="C733" s="2" t="s">
        <v>558</v>
      </c>
      <c r="D733" s="2" t="s">
        <v>88</v>
      </c>
      <c r="E733" s="2" t="s">
        <v>79</v>
      </c>
      <c r="F733" s="2" t="s">
        <v>40</v>
      </c>
      <c r="G733" s="2" t="s">
        <v>26</v>
      </c>
      <c r="H733" s="2" t="s">
        <v>33</v>
      </c>
      <c r="I733" s="2">
        <v>2</v>
      </c>
      <c r="J733" s="2">
        <v>3521</v>
      </c>
      <c r="K733" s="2">
        <v>10</v>
      </c>
      <c r="L733" s="2">
        <v>6337.8</v>
      </c>
    </row>
    <row r="734" spans="1:12" x14ac:dyDescent="0.3">
      <c r="A734" s="2" t="s">
        <v>1354</v>
      </c>
      <c r="B734" s="2" t="s">
        <v>1355</v>
      </c>
      <c r="C734" s="2" t="s">
        <v>996</v>
      </c>
      <c r="D734" s="2" t="s">
        <v>23</v>
      </c>
      <c r="E734" s="2" t="s">
        <v>58</v>
      </c>
      <c r="F734" s="2" t="s">
        <v>49</v>
      </c>
      <c r="G734" s="2" t="s">
        <v>26</v>
      </c>
      <c r="H734" s="2" t="s">
        <v>44</v>
      </c>
      <c r="I734" s="2">
        <v>1</v>
      </c>
      <c r="J734" s="2">
        <v>935</v>
      </c>
      <c r="K734" s="2">
        <v>12</v>
      </c>
      <c r="L734" s="2">
        <v>822.8</v>
      </c>
    </row>
    <row r="735" spans="1:12" x14ac:dyDescent="0.3">
      <c r="A735" s="2" t="s">
        <v>1356</v>
      </c>
      <c r="B735" s="2" t="s">
        <v>138</v>
      </c>
      <c r="C735" s="2" t="s">
        <v>1266</v>
      </c>
      <c r="D735" s="2" t="s">
        <v>88</v>
      </c>
      <c r="E735" s="2" t="s">
        <v>31</v>
      </c>
      <c r="F735" s="2" t="s">
        <v>40</v>
      </c>
      <c r="G735" s="2" t="s">
        <v>26</v>
      </c>
      <c r="H735" s="2" t="s">
        <v>33</v>
      </c>
      <c r="I735" s="2">
        <v>4</v>
      </c>
      <c r="J735" s="2">
        <v>2803</v>
      </c>
      <c r="K735" s="2">
        <v>4</v>
      </c>
      <c r="L735" s="2">
        <v>10763.52</v>
      </c>
    </row>
    <row r="736" spans="1:12" x14ac:dyDescent="0.3">
      <c r="A736" s="2" t="s">
        <v>1357</v>
      </c>
      <c r="B736" s="2" t="s">
        <v>672</v>
      </c>
      <c r="C736" s="2" t="s">
        <v>845</v>
      </c>
      <c r="D736" s="2" t="s">
        <v>23</v>
      </c>
      <c r="E736" s="2" t="s">
        <v>48</v>
      </c>
      <c r="F736" s="2" t="s">
        <v>25</v>
      </c>
      <c r="G736" s="2" t="s">
        <v>18</v>
      </c>
      <c r="H736" s="2" t="s">
        <v>33</v>
      </c>
      <c r="I736" s="2">
        <v>2</v>
      </c>
      <c r="J736" s="2">
        <v>2613</v>
      </c>
      <c r="K736" s="2">
        <v>28</v>
      </c>
      <c r="L736" s="2">
        <v>3762.72</v>
      </c>
    </row>
    <row r="737" spans="1:12" x14ac:dyDescent="0.3">
      <c r="A737" s="2" t="s">
        <v>1358</v>
      </c>
      <c r="B737" s="2" t="s">
        <v>474</v>
      </c>
      <c r="C737" s="2" t="s">
        <v>496</v>
      </c>
      <c r="D737" s="2" t="s">
        <v>88</v>
      </c>
      <c r="E737" s="2" t="s">
        <v>58</v>
      </c>
      <c r="F737" s="2" t="s">
        <v>17</v>
      </c>
      <c r="G737" s="2" t="s">
        <v>26</v>
      </c>
      <c r="H737" s="2" t="s">
        <v>19</v>
      </c>
      <c r="I737" s="2">
        <v>4</v>
      </c>
      <c r="J737" s="2">
        <v>4642</v>
      </c>
      <c r="K737" s="2">
        <v>5</v>
      </c>
      <c r="L737" s="2">
        <v>17639.599999999999</v>
      </c>
    </row>
    <row r="738" spans="1:12" x14ac:dyDescent="0.3">
      <c r="A738" s="2" t="s">
        <v>1359</v>
      </c>
      <c r="B738" s="2" t="s">
        <v>210</v>
      </c>
      <c r="C738" s="2" t="s">
        <v>1266</v>
      </c>
      <c r="D738" s="2" t="s">
        <v>23</v>
      </c>
      <c r="E738" s="2" t="s">
        <v>16</v>
      </c>
      <c r="F738" s="2" t="s">
        <v>32</v>
      </c>
      <c r="G738" s="2" t="s">
        <v>18</v>
      </c>
      <c r="H738" s="2" t="s">
        <v>33</v>
      </c>
      <c r="I738" s="2">
        <v>3</v>
      </c>
      <c r="J738" s="2">
        <v>3133</v>
      </c>
      <c r="K738" s="2">
        <v>17</v>
      </c>
      <c r="L738" s="2">
        <v>7801.17</v>
      </c>
    </row>
    <row r="739" spans="1:12" x14ac:dyDescent="0.3">
      <c r="A739" s="2" t="s">
        <v>1360</v>
      </c>
      <c r="B739" s="2" t="s">
        <v>208</v>
      </c>
      <c r="C739" s="2" t="s">
        <v>284</v>
      </c>
      <c r="D739" s="2" t="s">
        <v>30</v>
      </c>
      <c r="E739" s="2" t="s">
        <v>16</v>
      </c>
      <c r="F739" s="2" t="s">
        <v>49</v>
      </c>
      <c r="G739" s="2" t="s">
        <v>40</v>
      </c>
      <c r="H739" s="2" t="s">
        <v>33</v>
      </c>
      <c r="I739" s="2">
        <v>5</v>
      </c>
      <c r="J739" s="2">
        <v>253</v>
      </c>
      <c r="K739" s="2">
        <v>30</v>
      </c>
      <c r="L739" s="2">
        <v>885.5</v>
      </c>
    </row>
    <row r="740" spans="1:12" x14ac:dyDescent="0.3">
      <c r="A740" s="2" t="s">
        <v>1361</v>
      </c>
      <c r="B740" s="2" t="s">
        <v>760</v>
      </c>
      <c r="C740" s="2" t="s">
        <v>1161</v>
      </c>
      <c r="D740" s="2" t="s">
        <v>23</v>
      </c>
      <c r="E740" s="2" t="s">
        <v>31</v>
      </c>
      <c r="F740" s="2" t="s">
        <v>25</v>
      </c>
      <c r="G740" s="2" t="s">
        <v>18</v>
      </c>
      <c r="H740" s="2" t="s">
        <v>44</v>
      </c>
      <c r="I740" s="2">
        <v>1</v>
      </c>
      <c r="J740" s="2">
        <v>2291</v>
      </c>
      <c r="K740" s="2">
        <v>17</v>
      </c>
      <c r="L740" s="2">
        <v>1901.53</v>
      </c>
    </row>
    <row r="741" spans="1:12" x14ac:dyDescent="0.3">
      <c r="A741" s="2" t="s">
        <v>1362</v>
      </c>
      <c r="B741" s="2" t="s">
        <v>487</v>
      </c>
      <c r="C741" s="2" t="s">
        <v>552</v>
      </c>
      <c r="D741" s="2" t="s">
        <v>88</v>
      </c>
      <c r="E741" s="2" t="s">
        <v>31</v>
      </c>
      <c r="F741" s="2" t="s">
        <v>25</v>
      </c>
      <c r="G741" s="2" t="s">
        <v>54</v>
      </c>
      <c r="H741" s="2" t="s">
        <v>33</v>
      </c>
      <c r="I741" s="2">
        <v>5</v>
      </c>
      <c r="J741" s="2">
        <v>1566</v>
      </c>
      <c r="K741" s="2">
        <v>11</v>
      </c>
      <c r="L741" s="2">
        <v>6968.7</v>
      </c>
    </row>
    <row r="742" spans="1:12" x14ac:dyDescent="0.3">
      <c r="A742" s="2" t="s">
        <v>1363</v>
      </c>
      <c r="B742" s="2" t="s">
        <v>153</v>
      </c>
      <c r="C742" s="2" t="s">
        <v>968</v>
      </c>
      <c r="D742" s="2" t="s">
        <v>30</v>
      </c>
      <c r="E742" s="2" t="s">
        <v>48</v>
      </c>
      <c r="F742" s="2" t="s">
        <v>49</v>
      </c>
      <c r="G742" s="2" t="s">
        <v>54</v>
      </c>
      <c r="H742" s="2" t="s">
        <v>33</v>
      </c>
      <c r="I742" s="2">
        <v>5</v>
      </c>
      <c r="J742" s="2">
        <v>1075</v>
      </c>
      <c r="K742" s="2">
        <v>2</v>
      </c>
      <c r="L742" s="2">
        <v>5267.5</v>
      </c>
    </row>
    <row r="743" spans="1:12" x14ac:dyDescent="0.3">
      <c r="A743" s="2" t="s">
        <v>1364</v>
      </c>
      <c r="B743" s="2" t="s">
        <v>1365</v>
      </c>
      <c r="C743" s="2" t="s">
        <v>383</v>
      </c>
      <c r="D743" s="2" t="s">
        <v>15</v>
      </c>
      <c r="E743" s="2" t="s">
        <v>48</v>
      </c>
      <c r="F743" s="2" t="s">
        <v>32</v>
      </c>
      <c r="G743" s="2" t="s">
        <v>18</v>
      </c>
      <c r="H743" s="2" t="s">
        <v>44</v>
      </c>
      <c r="I743" s="2">
        <v>1</v>
      </c>
      <c r="J743" s="2">
        <v>1702</v>
      </c>
      <c r="K743" s="2">
        <v>3</v>
      </c>
      <c r="L743" s="2">
        <v>1650.94</v>
      </c>
    </row>
    <row r="744" spans="1:12" x14ac:dyDescent="0.3">
      <c r="A744" s="2" t="s">
        <v>1366</v>
      </c>
      <c r="B744" s="2" t="s">
        <v>1109</v>
      </c>
      <c r="C744" s="2" t="s">
        <v>499</v>
      </c>
      <c r="D744" s="2" t="s">
        <v>23</v>
      </c>
      <c r="E744" s="2" t="s">
        <v>79</v>
      </c>
      <c r="F744" s="2" t="s">
        <v>25</v>
      </c>
      <c r="G744" s="2" t="s">
        <v>26</v>
      </c>
      <c r="H744" s="2" t="s">
        <v>75</v>
      </c>
      <c r="I744" s="2">
        <v>4</v>
      </c>
      <c r="J744" s="2">
        <v>850</v>
      </c>
      <c r="K744" s="2">
        <v>18</v>
      </c>
      <c r="L744" s="2">
        <v>2788</v>
      </c>
    </row>
    <row r="745" spans="1:12" x14ac:dyDescent="0.3">
      <c r="A745" s="2" t="s">
        <v>1367</v>
      </c>
      <c r="B745" s="2" t="s">
        <v>1368</v>
      </c>
      <c r="C745" s="2" t="s">
        <v>849</v>
      </c>
      <c r="D745" s="2" t="s">
        <v>23</v>
      </c>
      <c r="E745" s="2" t="s">
        <v>48</v>
      </c>
      <c r="F745" s="2" t="s">
        <v>40</v>
      </c>
      <c r="G745" s="2" t="s">
        <v>54</v>
      </c>
      <c r="H745" s="2" t="s">
        <v>75</v>
      </c>
      <c r="I745" s="2">
        <v>3</v>
      </c>
      <c r="J745" s="2">
        <v>951</v>
      </c>
      <c r="K745" s="2">
        <v>13</v>
      </c>
      <c r="L745" s="2">
        <v>2482.11</v>
      </c>
    </row>
    <row r="746" spans="1:12" x14ac:dyDescent="0.3">
      <c r="A746" s="2" t="s">
        <v>1369</v>
      </c>
      <c r="B746" s="2" t="s">
        <v>307</v>
      </c>
      <c r="C746" s="2" t="s">
        <v>758</v>
      </c>
      <c r="D746" s="2" t="s">
        <v>15</v>
      </c>
      <c r="E746" s="2" t="s">
        <v>24</v>
      </c>
      <c r="F746" s="2" t="s">
        <v>17</v>
      </c>
      <c r="G746" s="2" t="s">
        <v>40</v>
      </c>
      <c r="H746" s="2" t="s">
        <v>44</v>
      </c>
      <c r="I746" s="2">
        <v>2</v>
      </c>
      <c r="J746" s="2">
        <v>1135</v>
      </c>
      <c r="K746" s="2">
        <v>15</v>
      </c>
      <c r="L746" s="2">
        <v>1929.5</v>
      </c>
    </row>
    <row r="747" spans="1:12" x14ac:dyDescent="0.3">
      <c r="A747" s="2" t="s">
        <v>1370</v>
      </c>
      <c r="B747" s="2" t="s">
        <v>304</v>
      </c>
      <c r="C747" s="2" t="s">
        <v>1371</v>
      </c>
      <c r="D747" s="2" t="s">
        <v>15</v>
      </c>
      <c r="E747" s="2" t="s">
        <v>31</v>
      </c>
      <c r="F747" s="2" t="s">
        <v>40</v>
      </c>
      <c r="G747" s="2" t="s">
        <v>18</v>
      </c>
      <c r="H747" s="2" t="s">
        <v>19</v>
      </c>
      <c r="I747" s="2">
        <v>5</v>
      </c>
      <c r="J747" s="2">
        <v>2458</v>
      </c>
      <c r="K747" s="2">
        <v>28</v>
      </c>
      <c r="L747" s="2">
        <v>8848.7999999999993</v>
      </c>
    </row>
    <row r="748" spans="1:12" x14ac:dyDescent="0.3">
      <c r="A748" s="2" t="s">
        <v>1372</v>
      </c>
      <c r="B748" s="2" t="s">
        <v>1068</v>
      </c>
      <c r="C748" s="2" t="s">
        <v>878</v>
      </c>
      <c r="D748" s="2" t="s">
        <v>30</v>
      </c>
      <c r="E748" s="2" t="s">
        <v>24</v>
      </c>
      <c r="F748" s="2" t="s">
        <v>32</v>
      </c>
      <c r="G748" s="2" t="s">
        <v>40</v>
      </c>
      <c r="H748" s="2" t="s">
        <v>19</v>
      </c>
      <c r="I748" s="2">
        <v>4</v>
      </c>
      <c r="J748" s="2">
        <v>4416</v>
      </c>
      <c r="K748" s="2">
        <v>21</v>
      </c>
      <c r="L748" s="2">
        <v>13954.56</v>
      </c>
    </row>
    <row r="749" spans="1:12" x14ac:dyDescent="0.3">
      <c r="A749" s="2" t="s">
        <v>1373</v>
      </c>
      <c r="B749" s="2" t="s">
        <v>224</v>
      </c>
      <c r="C749" s="2" t="s">
        <v>1374</v>
      </c>
      <c r="D749" s="2" t="s">
        <v>30</v>
      </c>
      <c r="E749" s="2" t="s">
        <v>24</v>
      </c>
      <c r="F749" s="2" t="s">
        <v>40</v>
      </c>
      <c r="G749" s="2" t="s">
        <v>18</v>
      </c>
      <c r="H749" s="2" t="s">
        <v>44</v>
      </c>
      <c r="I749" s="2">
        <v>2</v>
      </c>
      <c r="J749" s="2">
        <v>4386</v>
      </c>
      <c r="K749" s="2">
        <v>15</v>
      </c>
      <c r="L749" s="2">
        <v>7456.2</v>
      </c>
    </row>
    <row r="750" spans="1:12" x14ac:dyDescent="0.3">
      <c r="A750" s="2" t="s">
        <v>1375</v>
      </c>
      <c r="B750" s="2" t="s">
        <v>185</v>
      </c>
      <c r="C750" s="2" t="s">
        <v>709</v>
      </c>
      <c r="D750" s="2" t="s">
        <v>88</v>
      </c>
      <c r="E750" s="2" t="s">
        <v>68</v>
      </c>
      <c r="F750" s="2" t="s">
        <v>25</v>
      </c>
      <c r="G750" s="2" t="s">
        <v>54</v>
      </c>
      <c r="H750" s="2" t="s">
        <v>33</v>
      </c>
      <c r="I750" s="2">
        <v>2</v>
      </c>
      <c r="J750" s="2">
        <v>1767</v>
      </c>
      <c r="K750" s="2">
        <v>0</v>
      </c>
      <c r="L750" s="2">
        <v>3534</v>
      </c>
    </row>
    <row r="751" spans="1:12" x14ac:dyDescent="0.3">
      <c r="A751" s="2" t="s">
        <v>1376</v>
      </c>
      <c r="B751" s="2" t="s">
        <v>1265</v>
      </c>
      <c r="C751" s="2" t="s">
        <v>273</v>
      </c>
      <c r="D751" s="2" t="s">
        <v>15</v>
      </c>
      <c r="E751" s="2" t="s">
        <v>79</v>
      </c>
      <c r="F751" s="2" t="s">
        <v>17</v>
      </c>
      <c r="G751" s="2" t="s">
        <v>18</v>
      </c>
      <c r="H751" s="2" t="s">
        <v>33</v>
      </c>
      <c r="I751" s="2">
        <v>1</v>
      </c>
      <c r="J751" s="2">
        <v>212</v>
      </c>
      <c r="K751" s="2">
        <v>22</v>
      </c>
      <c r="L751" s="2">
        <v>165.36</v>
      </c>
    </row>
    <row r="752" spans="1:12" x14ac:dyDescent="0.3">
      <c r="A752" s="2" t="s">
        <v>1377</v>
      </c>
      <c r="B752" s="2" t="s">
        <v>734</v>
      </c>
      <c r="C752" s="2" t="s">
        <v>180</v>
      </c>
      <c r="D752" s="2" t="s">
        <v>15</v>
      </c>
      <c r="E752" s="2" t="s">
        <v>48</v>
      </c>
      <c r="F752" s="2" t="s">
        <v>17</v>
      </c>
      <c r="G752" s="2" t="s">
        <v>18</v>
      </c>
      <c r="H752" s="2" t="s">
        <v>44</v>
      </c>
      <c r="I752" s="2">
        <v>4</v>
      </c>
      <c r="J752" s="2">
        <v>640</v>
      </c>
      <c r="K752" s="2">
        <v>29</v>
      </c>
      <c r="L752" s="2">
        <v>1817.6</v>
      </c>
    </row>
    <row r="753" spans="1:12" x14ac:dyDescent="0.3">
      <c r="A753" s="2" t="s">
        <v>1378</v>
      </c>
      <c r="B753" s="2" t="s">
        <v>389</v>
      </c>
      <c r="C753" s="2" t="s">
        <v>470</v>
      </c>
      <c r="D753" s="2" t="s">
        <v>30</v>
      </c>
      <c r="E753" s="2" t="s">
        <v>31</v>
      </c>
      <c r="F753" s="2" t="s">
        <v>32</v>
      </c>
      <c r="G753" s="2" t="s">
        <v>40</v>
      </c>
      <c r="H753" s="2" t="s">
        <v>75</v>
      </c>
      <c r="I753" s="2">
        <v>5</v>
      </c>
      <c r="J753" s="2">
        <v>4849</v>
      </c>
      <c r="K753" s="2">
        <v>15</v>
      </c>
      <c r="L753" s="2">
        <v>20608.25</v>
      </c>
    </row>
    <row r="754" spans="1:12" x14ac:dyDescent="0.3">
      <c r="A754" s="2" t="s">
        <v>1379</v>
      </c>
      <c r="B754" s="2" t="s">
        <v>1214</v>
      </c>
      <c r="C754" s="2" t="s">
        <v>166</v>
      </c>
      <c r="D754" s="2" t="s">
        <v>53</v>
      </c>
      <c r="E754" s="2" t="s">
        <v>16</v>
      </c>
      <c r="F754" s="2" t="s">
        <v>49</v>
      </c>
      <c r="G754" s="2" t="s">
        <v>26</v>
      </c>
      <c r="H754" s="2" t="s">
        <v>33</v>
      </c>
      <c r="I754" s="2">
        <v>3</v>
      </c>
      <c r="J754" s="2">
        <v>2143</v>
      </c>
      <c r="K754" s="2">
        <v>30</v>
      </c>
      <c r="L754" s="2">
        <v>4500.3</v>
      </c>
    </row>
    <row r="755" spans="1:12" x14ac:dyDescent="0.3">
      <c r="A755" s="2" t="s">
        <v>1380</v>
      </c>
      <c r="B755" s="2" t="s">
        <v>1176</v>
      </c>
      <c r="C755" s="2" t="s">
        <v>755</v>
      </c>
      <c r="D755" s="2" t="s">
        <v>53</v>
      </c>
      <c r="E755" s="2" t="s">
        <v>48</v>
      </c>
      <c r="F755" s="2" t="s">
        <v>49</v>
      </c>
      <c r="G755" s="2" t="s">
        <v>26</v>
      </c>
      <c r="H755" s="2" t="s">
        <v>44</v>
      </c>
      <c r="I755" s="2">
        <v>1</v>
      </c>
      <c r="J755" s="2">
        <v>4523</v>
      </c>
      <c r="K755" s="2">
        <v>10</v>
      </c>
      <c r="L755" s="2">
        <v>4070.7</v>
      </c>
    </row>
    <row r="756" spans="1:12" x14ac:dyDescent="0.3">
      <c r="A756" s="2" t="s">
        <v>1381</v>
      </c>
      <c r="B756" s="2" t="s">
        <v>1382</v>
      </c>
      <c r="C756" s="2" t="s">
        <v>1298</v>
      </c>
      <c r="D756" s="2" t="s">
        <v>53</v>
      </c>
      <c r="E756" s="2" t="s">
        <v>68</v>
      </c>
      <c r="F756" s="2" t="s">
        <v>17</v>
      </c>
      <c r="G756" s="2" t="s">
        <v>26</v>
      </c>
      <c r="H756" s="2" t="s">
        <v>75</v>
      </c>
      <c r="I756" s="2">
        <v>2</v>
      </c>
      <c r="J756" s="2">
        <v>1060</v>
      </c>
      <c r="K756" s="2">
        <v>6</v>
      </c>
      <c r="L756" s="2">
        <v>1992.8</v>
      </c>
    </row>
    <row r="757" spans="1:12" x14ac:dyDescent="0.3">
      <c r="A757" s="2" t="s">
        <v>1383</v>
      </c>
      <c r="B757" s="2" t="s">
        <v>255</v>
      </c>
      <c r="C757" s="2" t="s">
        <v>921</v>
      </c>
      <c r="D757" s="2" t="s">
        <v>23</v>
      </c>
      <c r="E757" s="2" t="s">
        <v>58</v>
      </c>
      <c r="F757" s="2" t="s">
        <v>32</v>
      </c>
      <c r="G757" s="2" t="s">
        <v>62</v>
      </c>
      <c r="H757" s="2" t="s">
        <v>33</v>
      </c>
      <c r="I757" s="2">
        <v>3</v>
      </c>
      <c r="J757" s="2">
        <v>871</v>
      </c>
      <c r="K757" s="2">
        <v>1</v>
      </c>
      <c r="L757" s="2">
        <v>2586.87</v>
      </c>
    </row>
    <row r="758" spans="1:12" x14ac:dyDescent="0.3">
      <c r="A758" s="2" t="s">
        <v>1384</v>
      </c>
      <c r="B758" s="2" t="s">
        <v>1025</v>
      </c>
      <c r="C758" s="2" t="s">
        <v>276</v>
      </c>
      <c r="D758" s="2" t="s">
        <v>15</v>
      </c>
      <c r="E758" s="2" t="s">
        <v>58</v>
      </c>
      <c r="F758" s="2" t="s">
        <v>40</v>
      </c>
      <c r="G758" s="2" t="s">
        <v>18</v>
      </c>
      <c r="H758" s="2" t="s">
        <v>33</v>
      </c>
      <c r="I758" s="2">
        <v>2</v>
      </c>
      <c r="J758" s="2">
        <v>1529</v>
      </c>
      <c r="K758" s="2">
        <v>9</v>
      </c>
      <c r="L758" s="2">
        <v>2782.78</v>
      </c>
    </row>
    <row r="759" spans="1:12" x14ac:dyDescent="0.3">
      <c r="A759" s="2" t="s">
        <v>1385</v>
      </c>
      <c r="B759" s="2" t="s">
        <v>435</v>
      </c>
      <c r="C759" s="2" t="s">
        <v>1386</v>
      </c>
      <c r="D759" s="2" t="s">
        <v>23</v>
      </c>
      <c r="E759" s="2" t="s">
        <v>58</v>
      </c>
      <c r="F759" s="2" t="s">
        <v>17</v>
      </c>
      <c r="G759" s="2" t="s">
        <v>18</v>
      </c>
      <c r="H759" s="2" t="s">
        <v>33</v>
      </c>
      <c r="I759" s="2">
        <v>1</v>
      </c>
      <c r="J759" s="2">
        <v>2727</v>
      </c>
      <c r="K759" s="2">
        <v>5</v>
      </c>
      <c r="L759" s="2">
        <v>2590.65</v>
      </c>
    </row>
    <row r="760" spans="1:12" x14ac:dyDescent="0.3">
      <c r="A760" s="2" t="s">
        <v>1387</v>
      </c>
      <c r="B760" s="2" t="s">
        <v>1072</v>
      </c>
      <c r="C760" s="2" t="s">
        <v>194</v>
      </c>
      <c r="D760" s="2" t="s">
        <v>88</v>
      </c>
      <c r="E760" s="2" t="s">
        <v>58</v>
      </c>
      <c r="F760" s="2" t="s">
        <v>17</v>
      </c>
      <c r="G760" s="2" t="s">
        <v>54</v>
      </c>
      <c r="H760" s="2" t="s">
        <v>19</v>
      </c>
      <c r="I760" s="2">
        <v>4</v>
      </c>
      <c r="J760" s="2">
        <v>1154</v>
      </c>
      <c r="K760" s="2">
        <v>11</v>
      </c>
      <c r="L760" s="2">
        <v>4108.24</v>
      </c>
    </row>
    <row r="761" spans="1:12" x14ac:dyDescent="0.3">
      <c r="A761" s="2" t="s">
        <v>1388</v>
      </c>
      <c r="B761" s="2" t="s">
        <v>760</v>
      </c>
      <c r="C761" s="2" t="s">
        <v>214</v>
      </c>
      <c r="D761" s="2" t="s">
        <v>88</v>
      </c>
      <c r="E761" s="2" t="s">
        <v>16</v>
      </c>
      <c r="F761" s="2" t="s">
        <v>32</v>
      </c>
      <c r="G761" s="2" t="s">
        <v>54</v>
      </c>
      <c r="H761" s="2" t="s">
        <v>19</v>
      </c>
      <c r="I761" s="2">
        <v>2</v>
      </c>
      <c r="J761" s="2">
        <v>4028</v>
      </c>
      <c r="K761" s="2">
        <v>0</v>
      </c>
      <c r="L761" s="2">
        <v>8056</v>
      </c>
    </row>
    <row r="762" spans="1:12" x14ac:dyDescent="0.3">
      <c r="A762" s="2" t="s">
        <v>1389</v>
      </c>
      <c r="B762" s="2" t="s">
        <v>96</v>
      </c>
      <c r="C762" s="2" t="s">
        <v>436</v>
      </c>
      <c r="D762" s="2" t="s">
        <v>15</v>
      </c>
      <c r="E762" s="2" t="s">
        <v>79</v>
      </c>
      <c r="F762" s="2" t="s">
        <v>25</v>
      </c>
      <c r="G762" s="2" t="s">
        <v>26</v>
      </c>
      <c r="H762" s="2" t="s">
        <v>19</v>
      </c>
      <c r="I762" s="2">
        <v>4</v>
      </c>
      <c r="J762" s="2">
        <v>862</v>
      </c>
      <c r="K762" s="2">
        <v>22</v>
      </c>
      <c r="L762" s="2">
        <v>2689.44</v>
      </c>
    </row>
    <row r="763" spans="1:12" x14ac:dyDescent="0.3">
      <c r="A763" s="2" t="s">
        <v>1390</v>
      </c>
      <c r="B763" s="2" t="s">
        <v>509</v>
      </c>
      <c r="C763" s="2" t="s">
        <v>133</v>
      </c>
      <c r="D763" s="2" t="s">
        <v>53</v>
      </c>
      <c r="E763" s="2" t="s">
        <v>79</v>
      </c>
      <c r="F763" s="2" t="s">
        <v>25</v>
      </c>
      <c r="G763" s="2" t="s">
        <v>18</v>
      </c>
      <c r="H763" s="2" t="s">
        <v>19</v>
      </c>
      <c r="I763" s="2">
        <v>4</v>
      </c>
      <c r="J763" s="2">
        <v>1470</v>
      </c>
      <c r="K763" s="2">
        <v>3</v>
      </c>
      <c r="L763" s="2">
        <v>5703.6</v>
      </c>
    </row>
    <row r="764" spans="1:12" x14ac:dyDescent="0.3">
      <c r="A764" s="2" t="s">
        <v>1391</v>
      </c>
      <c r="B764" s="2" t="s">
        <v>962</v>
      </c>
      <c r="C764" s="2" t="s">
        <v>860</v>
      </c>
      <c r="D764" s="2" t="s">
        <v>15</v>
      </c>
      <c r="E764" s="2" t="s">
        <v>68</v>
      </c>
      <c r="F764" s="2" t="s">
        <v>40</v>
      </c>
      <c r="G764" s="2" t="s">
        <v>26</v>
      </c>
      <c r="H764" s="2" t="s">
        <v>19</v>
      </c>
      <c r="I764" s="2">
        <v>3</v>
      </c>
      <c r="J764" s="2">
        <v>4454</v>
      </c>
      <c r="K764" s="2">
        <v>29</v>
      </c>
      <c r="L764" s="2">
        <v>9487.02</v>
      </c>
    </row>
    <row r="765" spans="1:12" x14ac:dyDescent="0.3">
      <c r="A765" s="2" t="s">
        <v>1392</v>
      </c>
      <c r="B765" s="2" t="s">
        <v>631</v>
      </c>
      <c r="C765" s="2" t="s">
        <v>771</v>
      </c>
      <c r="D765" s="2" t="s">
        <v>53</v>
      </c>
      <c r="E765" s="2" t="s">
        <v>79</v>
      </c>
      <c r="F765" s="2" t="s">
        <v>49</v>
      </c>
      <c r="G765" s="2" t="s">
        <v>40</v>
      </c>
      <c r="H765" s="2" t="s">
        <v>44</v>
      </c>
      <c r="I765" s="2">
        <v>2</v>
      </c>
      <c r="J765" s="2">
        <v>888</v>
      </c>
      <c r="K765" s="2">
        <v>25</v>
      </c>
      <c r="L765" s="2">
        <v>1332</v>
      </c>
    </row>
    <row r="766" spans="1:12" x14ac:dyDescent="0.3">
      <c r="A766" s="2" t="s">
        <v>1393</v>
      </c>
      <c r="B766" s="2" t="s">
        <v>1394</v>
      </c>
      <c r="C766" s="2" t="s">
        <v>291</v>
      </c>
      <c r="D766" s="2" t="s">
        <v>15</v>
      </c>
      <c r="E766" s="2" t="s">
        <v>48</v>
      </c>
      <c r="F766" s="2" t="s">
        <v>40</v>
      </c>
      <c r="G766" s="2" t="s">
        <v>62</v>
      </c>
      <c r="H766" s="2" t="s">
        <v>33</v>
      </c>
      <c r="I766" s="2">
        <v>5</v>
      </c>
      <c r="J766" s="2">
        <v>3731</v>
      </c>
      <c r="K766" s="2">
        <v>14</v>
      </c>
      <c r="L766" s="2">
        <v>16043.3</v>
      </c>
    </row>
    <row r="767" spans="1:12" x14ac:dyDescent="0.3">
      <c r="A767" s="2" t="s">
        <v>1395</v>
      </c>
      <c r="B767" s="2" t="s">
        <v>208</v>
      </c>
      <c r="C767" s="2" t="s">
        <v>780</v>
      </c>
      <c r="D767" s="2" t="s">
        <v>88</v>
      </c>
      <c r="E767" s="2" t="s">
        <v>58</v>
      </c>
      <c r="F767" s="2" t="s">
        <v>25</v>
      </c>
      <c r="G767" s="2" t="s">
        <v>40</v>
      </c>
      <c r="H767" s="2" t="s">
        <v>33</v>
      </c>
      <c r="I767" s="2">
        <v>1</v>
      </c>
      <c r="J767" s="2">
        <v>2542</v>
      </c>
      <c r="K767" s="2">
        <v>9</v>
      </c>
      <c r="L767" s="2">
        <v>2313.2199999999998</v>
      </c>
    </row>
    <row r="768" spans="1:12" x14ac:dyDescent="0.3">
      <c r="A768" s="2" t="s">
        <v>1396</v>
      </c>
      <c r="B768" s="2" t="s">
        <v>1397</v>
      </c>
      <c r="C768" s="2" t="s">
        <v>136</v>
      </c>
      <c r="D768" s="2" t="s">
        <v>30</v>
      </c>
      <c r="E768" s="2" t="s">
        <v>48</v>
      </c>
      <c r="F768" s="2" t="s">
        <v>17</v>
      </c>
      <c r="G768" s="2" t="s">
        <v>40</v>
      </c>
      <c r="H768" s="2" t="s">
        <v>19</v>
      </c>
      <c r="I768" s="2">
        <v>4</v>
      </c>
      <c r="J768" s="2">
        <v>2715</v>
      </c>
      <c r="K768" s="2">
        <v>30</v>
      </c>
      <c r="L768" s="2">
        <v>7602</v>
      </c>
    </row>
    <row r="769" spans="1:12" x14ac:dyDescent="0.3">
      <c r="A769" s="2" t="s">
        <v>1398</v>
      </c>
      <c r="B769" s="2" t="s">
        <v>358</v>
      </c>
      <c r="C769" s="2" t="s">
        <v>363</v>
      </c>
      <c r="D769" s="2" t="s">
        <v>30</v>
      </c>
      <c r="E769" s="2" t="s">
        <v>48</v>
      </c>
      <c r="F769" s="2" t="s">
        <v>40</v>
      </c>
      <c r="G769" s="2" t="s">
        <v>40</v>
      </c>
      <c r="H769" s="2" t="s">
        <v>75</v>
      </c>
      <c r="I769" s="2">
        <v>2</v>
      </c>
      <c r="J769" s="2">
        <v>2386</v>
      </c>
      <c r="K769" s="2">
        <v>13</v>
      </c>
      <c r="L769" s="2">
        <v>4151.6400000000003</v>
      </c>
    </row>
    <row r="770" spans="1:12" x14ac:dyDescent="0.3">
      <c r="A770" s="2" t="s">
        <v>1399</v>
      </c>
      <c r="B770" s="2" t="s">
        <v>985</v>
      </c>
      <c r="C770" s="2" t="s">
        <v>133</v>
      </c>
      <c r="D770" s="2" t="s">
        <v>15</v>
      </c>
      <c r="E770" s="2" t="s">
        <v>31</v>
      </c>
      <c r="F770" s="2" t="s">
        <v>40</v>
      </c>
      <c r="G770" s="2" t="s">
        <v>62</v>
      </c>
      <c r="H770" s="2" t="s">
        <v>19</v>
      </c>
      <c r="I770" s="2">
        <v>2</v>
      </c>
      <c r="J770" s="2">
        <v>3136</v>
      </c>
      <c r="K770" s="2">
        <v>10</v>
      </c>
      <c r="L770" s="2">
        <v>5644.8</v>
      </c>
    </row>
    <row r="771" spans="1:12" x14ac:dyDescent="0.3">
      <c r="A771" s="2" t="s">
        <v>1400</v>
      </c>
      <c r="B771" s="2" t="s">
        <v>60</v>
      </c>
      <c r="C771" s="2" t="s">
        <v>1130</v>
      </c>
      <c r="D771" s="2" t="s">
        <v>53</v>
      </c>
      <c r="E771" s="2" t="s">
        <v>79</v>
      </c>
      <c r="F771" s="2" t="s">
        <v>32</v>
      </c>
      <c r="G771" s="2" t="s">
        <v>54</v>
      </c>
      <c r="H771" s="2" t="s">
        <v>19</v>
      </c>
      <c r="I771" s="2">
        <v>2</v>
      </c>
      <c r="J771" s="2">
        <v>3108</v>
      </c>
      <c r="K771" s="2">
        <v>15</v>
      </c>
      <c r="L771" s="2">
        <v>5283.6</v>
      </c>
    </row>
    <row r="772" spans="1:12" x14ac:dyDescent="0.3">
      <c r="A772" s="2" t="s">
        <v>1401</v>
      </c>
      <c r="B772" s="2" t="s">
        <v>1402</v>
      </c>
      <c r="C772" s="2" t="s">
        <v>678</v>
      </c>
      <c r="D772" s="2" t="s">
        <v>30</v>
      </c>
      <c r="E772" s="2" t="s">
        <v>16</v>
      </c>
      <c r="F772" s="2" t="s">
        <v>25</v>
      </c>
      <c r="G772" s="2" t="s">
        <v>40</v>
      </c>
      <c r="H772" s="2" t="s">
        <v>19</v>
      </c>
      <c r="I772" s="2">
        <v>1</v>
      </c>
      <c r="J772" s="2">
        <v>1047</v>
      </c>
      <c r="K772" s="2">
        <v>23</v>
      </c>
      <c r="L772" s="2">
        <v>806.19</v>
      </c>
    </row>
    <row r="773" spans="1:12" x14ac:dyDescent="0.3">
      <c r="A773" s="2" t="s">
        <v>1403</v>
      </c>
      <c r="B773" s="2" t="s">
        <v>304</v>
      </c>
      <c r="C773" s="2" t="s">
        <v>1404</v>
      </c>
      <c r="D773" s="2" t="s">
        <v>88</v>
      </c>
      <c r="E773" s="2" t="s">
        <v>58</v>
      </c>
      <c r="F773" s="2" t="s">
        <v>49</v>
      </c>
      <c r="G773" s="2" t="s">
        <v>18</v>
      </c>
      <c r="H773" s="2" t="s">
        <v>75</v>
      </c>
      <c r="I773" s="2">
        <v>1</v>
      </c>
      <c r="J773" s="2">
        <v>2856</v>
      </c>
      <c r="K773" s="2">
        <v>5</v>
      </c>
      <c r="L773" s="2">
        <v>2713.2</v>
      </c>
    </row>
    <row r="774" spans="1:12" x14ac:dyDescent="0.3">
      <c r="A774" s="2" t="s">
        <v>1405</v>
      </c>
      <c r="B774" s="2" t="s">
        <v>667</v>
      </c>
      <c r="C774" s="2" t="s">
        <v>1249</v>
      </c>
      <c r="D774" s="2" t="s">
        <v>15</v>
      </c>
      <c r="E774" s="2" t="s">
        <v>79</v>
      </c>
      <c r="F774" s="2" t="s">
        <v>32</v>
      </c>
      <c r="G774" s="2" t="s">
        <v>18</v>
      </c>
      <c r="H774" s="2" t="s">
        <v>33</v>
      </c>
      <c r="I774" s="2">
        <v>5</v>
      </c>
      <c r="J774" s="2">
        <v>3180</v>
      </c>
      <c r="K774" s="2">
        <v>30</v>
      </c>
      <c r="L774" s="2">
        <v>11130</v>
      </c>
    </row>
    <row r="775" spans="1:12" x14ac:dyDescent="0.3">
      <c r="A775" s="2" t="s">
        <v>1406</v>
      </c>
      <c r="B775" s="2" t="s">
        <v>159</v>
      </c>
      <c r="C775" s="2" t="s">
        <v>526</v>
      </c>
      <c r="D775" s="2" t="s">
        <v>88</v>
      </c>
      <c r="E775" s="2" t="s">
        <v>48</v>
      </c>
      <c r="F775" s="2" t="s">
        <v>17</v>
      </c>
      <c r="G775" s="2" t="s">
        <v>18</v>
      </c>
      <c r="H775" s="2" t="s">
        <v>19</v>
      </c>
      <c r="I775" s="2">
        <v>5</v>
      </c>
      <c r="J775" s="2">
        <v>740</v>
      </c>
      <c r="K775" s="2">
        <v>13</v>
      </c>
      <c r="L775" s="2">
        <v>3219</v>
      </c>
    </row>
    <row r="776" spans="1:12" x14ac:dyDescent="0.3">
      <c r="A776" s="2" t="s">
        <v>1407</v>
      </c>
      <c r="B776" s="2" t="s">
        <v>446</v>
      </c>
      <c r="C776" s="2" t="s">
        <v>597</v>
      </c>
      <c r="D776" s="2" t="s">
        <v>30</v>
      </c>
      <c r="E776" s="2" t="s">
        <v>68</v>
      </c>
      <c r="F776" s="2" t="s">
        <v>25</v>
      </c>
      <c r="G776" s="2" t="s">
        <v>26</v>
      </c>
      <c r="H776" s="2" t="s">
        <v>33</v>
      </c>
      <c r="I776" s="2">
        <v>5</v>
      </c>
      <c r="J776" s="2">
        <v>1677</v>
      </c>
      <c r="K776" s="2">
        <v>29</v>
      </c>
      <c r="L776" s="2">
        <v>5953.35</v>
      </c>
    </row>
    <row r="777" spans="1:12" x14ac:dyDescent="0.3">
      <c r="A777" s="2" t="s">
        <v>1408</v>
      </c>
      <c r="B777" s="2" t="s">
        <v>645</v>
      </c>
      <c r="C777" s="2" t="s">
        <v>1278</v>
      </c>
      <c r="D777" s="2" t="s">
        <v>53</v>
      </c>
      <c r="E777" s="2" t="s">
        <v>79</v>
      </c>
      <c r="F777" s="2" t="s">
        <v>17</v>
      </c>
      <c r="G777" s="2" t="s">
        <v>54</v>
      </c>
      <c r="H777" s="2" t="s">
        <v>44</v>
      </c>
      <c r="I777" s="2">
        <v>2</v>
      </c>
      <c r="J777" s="2">
        <v>4502</v>
      </c>
      <c r="K777" s="2">
        <v>2</v>
      </c>
      <c r="L777" s="2">
        <v>8823.92</v>
      </c>
    </row>
    <row r="778" spans="1:12" x14ac:dyDescent="0.3">
      <c r="A778" s="2" t="s">
        <v>1409</v>
      </c>
      <c r="B778" s="2" t="s">
        <v>1410</v>
      </c>
      <c r="C778" s="2" t="s">
        <v>130</v>
      </c>
      <c r="D778" s="2" t="s">
        <v>30</v>
      </c>
      <c r="E778" s="2" t="s">
        <v>48</v>
      </c>
      <c r="F778" s="2" t="s">
        <v>40</v>
      </c>
      <c r="G778" s="2" t="s">
        <v>26</v>
      </c>
      <c r="H778" s="2" t="s">
        <v>33</v>
      </c>
      <c r="I778" s="2">
        <v>1</v>
      </c>
      <c r="J778" s="2">
        <v>2000</v>
      </c>
      <c r="K778" s="2">
        <v>25</v>
      </c>
      <c r="L778" s="2">
        <v>1500</v>
      </c>
    </row>
    <row r="779" spans="1:12" x14ac:dyDescent="0.3">
      <c r="A779" s="2" t="s">
        <v>1411</v>
      </c>
      <c r="B779" s="2" t="s">
        <v>808</v>
      </c>
      <c r="C779" s="2" t="s">
        <v>160</v>
      </c>
      <c r="D779" s="2" t="s">
        <v>30</v>
      </c>
      <c r="E779" s="2" t="s">
        <v>24</v>
      </c>
      <c r="F779" s="2" t="s">
        <v>25</v>
      </c>
      <c r="G779" s="2" t="s">
        <v>54</v>
      </c>
      <c r="H779" s="2" t="s">
        <v>75</v>
      </c>
      <c r="I779" s="2">
        <v>3</v>
      </c>
      <c r="J779" s="2">
        <v>1438</v>
      </c>
      <c r="K779" s="2">
        <v>18</v>
      </c>
      <c r="L779" s="2">
        <v>3537.48</v>
      </c>
    </row>
    <row r="780" spans="1:12" x14ac:dyDescent="0.3">
      <c r="A780" s="2" t="s">
        <v>1412</v>
      </c>
      <c r="B780" s="2" t="s">
        <v>542</v>
      </c>
      <c r="C780" s="2" t="s">
        <v>1404</v>
      </c>
      <c r="D780" s="2" t="s">
        <v>88</v>
      </c>
      <c r="E780" s="2" t="s">
        <v>68</v>
      </c>
      <c r="F780" s="2" t="s">
        <v>32</v>
      </c>
      <c r="G780" s="2" t="s">
        <v>40</v>
      </c>
      <c r="H780" s="2" t="s">
        <v>75</v>
      </c>
      <c r="I780" s="2">
        <v>3</v>
      </c>
      <c r="J780" s="2">
        <v>606</v>
      </c>
      <c r="K780" s="2">
        <v>20</v>
      </c>
      <c r="L780" s="2">
        <v>1454.4</v>
      </c>
    </row>
    <row r="781" spans="1:12" x14ac:dyDescent="0.3">
      <c r="A781" s="2" t="s">
        <v>1413</v>
      </c>
      <c r="B781" s="2" t="s">
        <v>372</v>
      </c>
      <c r="C781" s="2" t="s">
        <v>436</v>
      </c>
      <c r="D781" s="2" t="s">
        <v>15</v>
      </c>
      <c r="E781" s="2" t="s">
        <v>16</v>
      </c>
      <c r="F781" s="2" t="s">
        <v>40</v>
      </c>
      <c r="G781" s="2" t="s">
        <v>62</v>
      </c>
      <c r="H781" s="2" t="s">
        <v>33</v>
      </c>
      <c r="I781" s="2">
        <v>2</v>
      </c>
      <c r="J781" s="2">
        <v>4122</v>
      </c>
      <c r="K781" s="2">
        <v>1</v>
      </c>
      <c r="L781" s="2">
        <v>8161.56</v>
      </c>
    </row>
    <row r="782" spans="1:12" x14ac:dyDescent="0.3">
      <c r="A782" s="2" t="s">
        <v>1414</v>
      </c>
      <c r="B782" s="2" t="s">
        <v>392</v>
      </c>
      <c r="C782" s="2" t="s">
        <v>393</v>
      </c>
      <c r="D782" s="2" t="s">
        <v>88</v>
      </c>
      <c r="E782" s="2" t="s">
        <v>79</v>
      </c>
      <c r="F782" s="2" t="s">
        <v>25</v>
      </c>
      <c r="G782" s="2" t="s">
        <v>54</v>
      </c>
      <c r="H782" s="2" t="s">
        <v>33</v>
      </c>
      <c r="I782" s="2">
        <v>4</v>
      </c>
      <c r="J782" s="2">
        <v>2042</v>
      </c>
      <c r="K782" s="2">
        <v>22</v>
      </c>
      <c r="L782" s="2">
        <v>6371.04</v>
      </c>
    </row>
    <row r="783" spans="1:12" x14ac:dyDescent="0.3">
      <c r="A783" s="2" t="s">
        <v>1415</v>
      </c>
      <c r="B783" s="2" t="s">
        <v>467</v>
      </c>
      <c r="C783" s="2" t="s">
        <v>491</v>
      </c>
      <c r="D783" s="2" t="s">
        <v>88</v>
      </c>
      <c r="E783" s="2" t="s">
        <v>31</v>
      </c>
      <c r="F783" s="2" t="s">
        <v>49</v>
      </c>
      <c r="G783" s="2" t="s">
        <v>62</v>
      </c>
      <c r="H783" s="2" t="s">
        <v>33</v>
      </c>
      <c r="I783" s="2">
        <v>3</v>
      </c>
      <c r="J783" s="2">
        <v>3054</v>
      </c>
      <c r="K783" s="2">
        <v>23</v>
      </c>
      <c r="L783" s="2">
        <v>7054.74</v>
      </c>
    </row>
    <row r="784" spans="1:12" x14ac:dyDescent="0.3">
      <c r="A784" s="2" t="s">
        <v>1416</v>
      </c>
      <c r="B784" s="2" t="s">
        <v>1368</v>
      </c>
      <c r="C784" s="2" t="s">
        <v>1266</v>
      </c>
      <c r="D784" s="2" t="s">
        <v>53</v>
      </c>
      <c r="E784" s="2" t="s">
        <v>68</v>
      </c>
      <c r="F784" s="2" t="s">
        <v>40</v>
      </c>
      <c r="G784" s="2" t="s">
        <v>18</v>
      </c>
      <c r="H784" s="2" t="s">
        <v>33</v>
      </c>
      <c r="I784" s="2">
        <v>4</v>
      </c>
      <c r="J784" s="2">
        <v>1695</v>
      </c>
      <c r="K784" s="2">
        <v>20</v>
      </c>
      <c r="L784" s="2">
        <v>5424</v>
      </c>
    </row>
    <row r="785" spans="1:12" x14ac:dyDescent="0.3">
      <c r="A785" s="2" t="s">
        <v>1417</v>
      </c>
      <c r="B785" s="2" t="s">
        <v>1324</v>
      </c>
      <c r="C785" s="2" t="s">
        <v>353</v>
      </c>
      <c r="D785" s="2" t="s">
        <v>23</v>
      </c>
      <c r="E785" s="2" t="s">
        <v>16</v>
      </c>
      <c r="F785" s="2" t="s">
        <v>17</v>
      </c>
      <c r="G785" s="2" t="s">
        <v>26</v>
      </c>
      <c r="H785" s="2" t="s">
        <v>44</v>
      </c>
      <c r="I785" s="2">
        <v>2</v>
      </c>
      <c r="J785" s="2">
        <v>2462</v>
      </c>
      <c r="K785" s="2">
        <v>23</v>
      </c>
      <c r="L785" s="2">
        <v>3791.48</v>
      </c>
    </row>
    <row r="786" spans="1:12" x14ac:dyDescent="0.3">
      <c r="A786" s="2" t="s">
        <v>1418</v>
      </c>
      <c r="B786" s="2" t="s">
        <v>110</v>
      </c>
      <c r="C786" s="2" t="s">
        <v>921</v>
      </c>
      <c r="D786" s="2" t="s">
        <v>88</v>
      </c>
      <c r="E786" s="2" t="s">
        <v>58</v>
      </c>
      <c r="F786" s="2" t="s">
        <v>17</v>
      </c>
      <c r="G786" s="2" t="s">
        <v>62</v>
      </c>
      <c r="H786" s="2" t="s">
        <v>44</v>
      </c>
      <c r="I786" s="2">
        <v>5</v>
      </c>
      <c r="J786" s="2">
        <v>487</v>
      </c>
      <c r="K786" s="2">
        <v>24</v>
      </c>
      <c r="L786" s="2">
        <v>1850.6</v>
      </c>
    </row>
    <row r="787" spans="1:12" x14ac:dyDescent="0.3">
      <c r="A787" s="2" t="s">
        <v>1419</v>
      </c>
      <c r="B787" s="2" t="s">
        <v>482</v>
      </c>
      <c r="C787" s="2" t="s">
        <v>968</v>
      </c>
      <c r="D787" s="2" t="s">
        <v>53</v>
      </c>
      <c r="E787" s="2" t="s">
        <v>16</v>
      </c>
      <c r="F787" s="2" t="s">
        <v>17</v>
      </c>
      <c r="G787" s="2" t="s">
        <v>26</v>
      </c>
      <c r="H787" s="2" t="s">
        <v>19</v>
      </c>
      <c r="I787" s="2">
        <v>4</v>
      </c>
      <c r="J787" s="2">
        <v>494</v>
      </c>
      <c r="K787" s="2">
        <v>14</v>
      </c>
      <c r="L787" s="2">
        <v>1699.36</v>
      </c>
    </row>
    <row r="788" spans="1:12" x14ac:dyDescent="0.3">
      <c r="A788" s="2" t="s">
        <v>1420</v>
      </c>
      <c r="B788" s="2" t="s">
        <v>1421</v>
      </c>
      <c r="C788" s="2" t="s">
        <v>945</v>
      </c>
      <c r="D788" s="2" t="s">
        <v>53</v>
      </c>
      <c r="E788" s="2" t="s">
        <v>58</v>
      </c>
      <c r="F788" s="2" t="s">
        <v>49</v>
      </c>
      <c r="G788" s="2" t="s">
        <v>26</v>
      </c>
      <c r="H788" s="2" t="s">
        <v>19</v>
      </c>
      <c r="I788" s="2">
        <v>1</v>
      </c>
      <c r="J788" s="2">
        <v>353</v>
      </c>
      <c r="K788" s="2">
        <v>11</v>
      </c>
      <c r="L788" s="2">
        <v>314.17</v>
      </c>
    </row>
    <row r="789" spans="1:12" x14ac:dyDescent="0.3">
      <c r="A789" s="2" t="s">
        <v>1422</v>
      </c>
      <c r="B789" s="2" t="s">
        <v>119</v>
      </c>
      <c r="C789" s="2" t="s">
        <v>230</v>
      </c>
      <c r="D789" s="2" t="s">
        <v>88</v>
      </c>
      <c r="E789" s="2" t="s">
        <v>79</v>
      </c>
      <c r="F789" s="2" t="s">
        <v>25</v>
      </c>
      <c r="G789" s="2" t="s">
        <v>62</v>
      </c>
      <c r="H789" s="2" t="s">
        <v>44</v>
      </c>
      <c r="I789" s="2">
        <v>1</v>
      </c>
      <c r="J789" s="2">
        <v>4153</v>
      </c>
      <c r="K789" s="2">
        <v>6</v>
      </c>
      <c r="L789" s="2">
        <v>3903.82</v>
      </c>
    </row>
    <row r="790" spans="1:12" x14ac:dyDescent="0.3">
      <c r="A790" s="2" t="s">
        <v>1423</v>
      </c>
      <c r="B790" s="2" t="s">
        <v>980</v>
      </c>
      <c r="C790" s="2" t="s">
        <v>328</v>
      </c>
      <c r="D790" s="2" t="s">
        <v>88</v>
      </c>
      <c r="E790" s="2" t="s">
        <v>48</v>
      </c>
      <c r="F790" s="2" t="s">
        <v>25</v>
      </c>
      <c r="G790" s="2" t="s">
        <v>26</v>
      </c>
      <c r="H790" s="2" t="s">
        <v>44</v>
      </c>
      <c r="I790" s="2">
        <v>4</v>
      </c>
      <c r="J790" s="2">
        <v>1053</v>
      </c>
      <c r="K790" s="2">
        <v>26</v>
      </c>
      <c r="L790" s="2">
        <v>3116.88</v>
      </c>
    </row>
    <row r="791" spans="1:12" x14ac:dyDescent="0.3">
      <c r="A791" s="2" t="s">
        <v>1424</v>
      </c>
      <c r="B791" s="2" t="s">
        <v>1425</v>
      </c>
      <c r="C791" s="2" t="s">
        <v>983</v>
      </c>
      <c r="D791" s="2" t="s">
        <v>15</v>
      </c>
      <c r="E791" s="2" t="s">
        <v>16</v>
      </c>
      <c r="F791" s="2" t="s">
        <v>49</v>
      </c>
      <c r="G791" s="2" t="s">
        <v>40</v>
      </c>
      <c r="H791" s="2" t="s">
        <v>19</v>
      </c>
      <c r="I791" s="2">
        <v>4</v>
      </c>
      <c r="J791" s="2">
        <v>2736</v>
      </c>
      <c r="K791" s="2">
        <v>22</v>
      </c>
      <c r="L791" s="2">
        <v>8536.32</v>
      </c>
    </row>
    <row r="792" spans="1:12" x14ac:dyDescent="0.3">
      <c r="A792" s="2" t="s">
        <v>1426</v>
      </c>
      <c r="B792" s="2" t="s">
        <v>728</v>
      </c>
      <c r="C792" s="2" t="s">
        <v>555</v>
      </c>
      <c r="D792" s="2" t="s">
        <v>15</v>
      </c>
      <c r="E792" s="2" t="s">
        <v>24</v>
      </c>
      <c r="F792" s="2" t="s">
        <v>17</v>
      </c>
      <c r="G792" s="2" t="s">
        <v>54</v>
      </c>
      <c r="H792" s="2" t="s">
        <v>44</v>
      </c>
      <c r="I792" s="2">
        <v>3</v>
      </c>
      <c r="J792" s="2">
        <v>1402</v>
      </c>
      <c r="K792" s="2">
        <v>24</v>
      </c>
      <c r="L792" s="2">
        <v>3196.56</v>
      </c>
    </row>
    <row r="793" spans="1:12" x14ac:dyDescent="0.3">
      <c r="A793" s="2" t="s">
        <v>1427</v>
      </c>
      <c r="B793" s="2" t="s">
        <v>263</v>
      </c>
      <c r="C793" s="2" t="s">
        <v>253</v>
      </c>
      <c r="D793" s="2" t="s">
        <v>30</v>
      </c>
      <c r="E793" s="2" t="s">
        <v>68</v>
      </c>
      <c r="F793" s="2" t="s">
        <v>25</v>
      </c>
      <c r="G793" s="2" t="s">
        <v>26</v>
      </c>
      <c r="H793" s="2" t="s">
        <v>19</v>
      </c>
      <c r="I793" s="2">
        <v>4</v>
      </c>
      <c r="J793" s="2">
        <v>876</v>
      </c>
      <c r="K793" s="2">
        <v>17</v>
      </c>
      <c r="L793" s="2">
        <v>2908.32</v>
      </c>
    </row>
    <row r="794" spans="1:12" x14ac:dyDescent="0.3">
      <c r="A794" s="2" t="s">
        <v>1428</v>
      </c>
      <c r="B794" s="2" t="s">
        <v>1402</v>
      </c>
      <c r="C794" s="2" t="s">
        <v>247</v>
      </c>
      <c r="D794" s="2" t="s">
        <v>23</v>
      </c>
      <c r="E794" s="2" t="s">
        <v>79</v>
      </c>
      <c r="F794" s="2" t="s">
        <v>25</v>
      </c>
      <c r="G794" s="2" t="s">
        <v>26</v>
      </c>
      <c r="H794" s="2" t="s">
        <v>44</v>
      </c>
      <c r="I794" s="2">
        <v>5</v>
      </c>
      <c r="J794" s="2">
        <v>1028</v>
      </c>
      <c r="K794" s="2">
        <v>24</v>
      </c>
      <c r="L794" s="2">
        <v>3906.4</v>
      </c>
    </row>
    <row r="795" spans="1:12" x14ac:dyDescent="0.3">
      <c r="A795" s="2" t="s">
        <v>1429</v>
      </c>
      <c r="B795" s="2" t="s">
        <v>991</v>
      </c>
      <c r="C795" s="2" t="s">
        <v>413</v>
      </c>
      <c r="D795" s="2" t="s">
        <v>23</v>
      </c>
      <c r="E795" s="2" t="s">
        <v>48</v>
      </c>
      <c r="F795" s="2" t="s">
        <v>25</v>
      </c>
      <c r="G795" s="2" t="s">
        <v>62</v>
      </c>
      <c r="H795" s="2" t="s">
        <v>19</v>
      </c>
      <c r="I795" s="2">
        <v>1</v>
      </c>
      <c r="J795" s="2">
        <v>3968</v>
      </c>
      <c r="K795" s="2">
        <v>30</v>
      </c>
      <c r="L795" s="2">
        <v>2777.6</v>
      </c>
    </row>
    <row r="796" spans="1:12" x14ac:dyDescent="0.3">
      <c r="A796" s="2" t="s">
        <v>1430</v>
      </c>
      <c r="B796" s="2" t="s">
        <v>1431</v>
      </c>
      <c r="C796" s="2" t="s">
        <v>225</v>
      </c>
      <c r="D796" s="2" t="s">
        <v>53</v>
      </c>
      <c r="E796" s="2" t="s">
        <v>24</v>
      </c>
      <c r="F796" s="2" t="s">
        <v>25</v>
      </c>
      <c r="G796" s="2" t="s">
        <v>54</v>
      </c>
      <c r="H796" s="2" t="s">
        <v>44</v>
      </c>
      <c r="I796" s="2">
        <v>4</v>
      </c>
      <c r="J796" s="2">
        <v>2341</v>
      </c>
      <c r="K796" s="2">
        <v>0</v>
      </c>
      <c r="L796" s="2">
        <v>9364</v>
      </c>
    </row>
    <row r="797" spans="1:12" x14ac:dyDescent="0.3">
      <c r="A797" s="2" t="s">
        <v>1432</v>
      </c>
      <c r="B797" s="2" t="s">
        <v>613</v>
      </c>
      <c r="C797" s="2" t="s">
        <v>719</v>
      </c>
      <c r="D797" s="2" t="s">
        <v>15</v>
      </c>
      <c r="E797" s="2" t="s">
        <v>24</v>
      </c>
      <c r="F797" s="2" t="s">
        <v>17</v>
      </c>
      <c r="G797" s="2" t="s">
        <v>62</v>
      </c>
      <c r="H797" s="2" t="s">
        <v>33</v>
      </c>
      <c r="I797" s="2">
        <v>2</v>
      </c>
      <c r="J797" s="2">
        <v>4427</v>
      </c>
      <c r="K797" s="2">
        <v>13</v>
      </c>
      <c r="L797" s="2">
        <v>7702.98</v>
      </c>
    </row>
    <row r="798" spans="1:12" x14ac:dyDescent="0.3">
      <c r="A798" s="2" t="s">
        <v>1433</v>
      </c>
      <c r="B798" s="2" t="s">
        <v>1211</v>
      </c>
      <c r="C798" s="2" t="s">
        <v>999</v>
      </c>
      <c r="D798" s="2" t="s">
        <v>53</v>
      </c>
      <c r="E798" s="2" t="s">
        <v>31</v>
      </c>
      <c r="F798" s="2" t="s">
        <v>17</v>
      </c>
      <c r="G798" s="2" t="s">
        <v>54</v>
      </c>
      <c r="H798" s="2" t="s">
        <v>75</v>
      </c>
      <c r="I798" s="2">
        <v>4</v>
      </c>
      <c r="J798" s="2">
        <v>1659</v>
      </c>
      <c r="K798" s="2">
        <v>30</v>
      </c>
      <c r="L798" s="2">
        <v>4645.2</v>
      </c>
    </row>
    <row r="799" spans="1:12" x14ac:dyDescent="0.3">
      <c r="A799" s="2" t="s">
        <v>1434</v>
      </c>
      <c r="B799" s="2" t="s">
        <v>1435</v>
      </c>
      <c r="C799" s="2" t="s">
        <v>1243</v>
      </c>
      <c r="D799" s="2" t="s">
        <v>23</v>
      </c>
      <c r="E799" s="2" t="s">
        <v>31</v>
      </c>
      <c r="F799" s="2" t="s">
        <v>49</v>
      </c>
      <c r="G799" s="2" t="s">
        <v>26</v>
      </c>
      <c r="H799" s="2" t="s">
        <v>33</v>
      </c>
      <c r="I799" s="2">
        <v>5</v>
      </c>
      <c r="J799" s="2">
        <v>1072</v>
      </c>
      <c r="K799" s="2">
        <v>28</v>
      </c>
      <c r="L799" s="2">
        <v>3859.2</v>
      </c>
    </row>
    <row r="800" spans="1:12" x14ac:dyDescent="0.3">
      <c r="A800" s="2" t="s">
        <v>1436</v>
      </c>
      <c r="B800" s="2" t="s">
        <v>760</v>
      </c>
      <c r="C800" s="2" t="s">
        <v>222</v>
      </c>
      <c r="D800" s="2" t="s">
        <v>30</v>
      </c>
      <c r="E800" s="2" t="s">
        <v>79</v>
      </c>
      <c r="F800" s="2" t="s">
        <v>40</v>
      </c>
      <c r="G800" s="2" t="s">
        <v>54</v>
      </c>
      <c r="H800" s="2" t="s">
        <v>33</v>
      </c>
      <c r="I800" s="2">
        <v>3</v>
      </c>
      <c r="J800" s="2">
        <v>2918</v>
      </c>
      <c r="K800" s="2">
        <v>20</v>
      </c>
      <c r="L800" s="2">
        <v>7003.2</v>
      </c>
    </row>
    <row r="801" spans="1:12" x14ac:dyDescent="0.3">
      <c r="A801" s="2" t="s">
        <v>1437</v>
      </c>
      <c r="B801" s="2" t="s">
        <v>810</v>
      </c>
      <c r="C801" s="2" t="s">
        <v>311</v>
      </c>
      <c r="D801" s="2" t="s">
        <v>30</v>
      </c>
      <c r="E801" s="2" t="s">
        <v>16</v>
      </c>
      <c r="F801" s="2" t="s">
        <v>49</v>
      </c>
      <c r="G801" s="2" t="s">
        <v>26</v>
      </c>
      <c r="H801" s="2" t="s">
        <v>44</v>
      </c>
      <c r="I801" s="2">
        <v>5</v>
      </c>
      <c r="J801" s="2">
        <v>2210</v>
      </c>
      <c r="K801" s="2">
        <v>7</v>
      </c>
      <c r="L801" s="2">
        <v>10276.5</v>
      </c>
    </row>
    <row r="802" spans="1:12" x14ac:dyDescent="0.3">
      <c r="A802" s="2" t="s">
        <v>1438</v>
      </c>
      <c r="B802" s="2" t="s">
        <v>341</v>
      </c>
      <c r="C802" s="2" t="s">
        <v>558</v>
      </c>
      <c r="D802" s="2" t="s">
        <v>53</v>
      </c>
      <c r="E802" s="2" t="s">
        <v>16</v>
      </c>
      <c r="F802" s="2" t="s">
        <v>49</v>
      </c>
      <c r="G802" s="2" t="s">
        <v>62</v>
      </c>
      <c r="H802" s="2" t="s">
        <v>75</v>
      </c>
      <c r="I802" s="2">
        <v>1</v>
      </c>
      <c r="J802" s="2">
        <v>1459</v>
      </c>
      <c r="K802" s="2">
        <v>25</v>
      </c>
      <c r="L802" s="2">
        <v>1094.25</v>
      </c>
    </row>
    <row r="803" spans="1:12" x14ac:dyDescent="0.3">
      <c r="A803" s="2" t="s">
        <v>1439</v>
      </c>
      <c r="B803" s="2" t="s">
        <v>958</v>
      </c>
      <c r="C803" s="2" t="s">
        <v>328</v>
      </c>
      <c r="D803" s="2" t="s">
        <v>53</v>
      </c>
      <c r="E803" s="2" t="s">
        <v>31</v>
      </c>
      <c r="F803" s="2" t="s">
        <v>49</v>
      </c>
      <c r="G803" s="2" t="s">
        <v>40</v>
      </c>
      <c r="H803" s="2" t="s">
        <v>75</v>
      </c>
      <c r="I803" s="2">
        <v>1</v>
      </c>
      <c r="J803" s="2">
        <v>3572</v>
      </c>
      <c r="K803" s="2">
        <v>24</v>
      </c>
      <c r="L803" s="2">
        <v>2714.72</v>
      </c>
    </row>
    <row r="804" spans="1:12" x14ac:dyDescent="0.3">
      <c r="A804" s="2" t="s">
        <v>1440</v>
      </c>
      <c r="B804" s="2" t="s">
        <v>224</v>
      </c>
      <c r="C804" s="2" t="s">
        <v>175</v>
      </c>
      <c r="D804" s="2" t="s">
        <v>88</v>
      </c>
      <c r="E804" s="2" t="s">
        <v>24</v>
      </c>
      <c r="F804" s="2" t="s">
        <v>25</v>
      </c>
      <c r="G804" s="2" t="s">
        <v>18</v>
      </c>
      <c r="H804" s="2" t="s">
        <v>19</v>
      </c>
      <c r="I804" s="2">
        <v>3</v>
      </c>
      <c r="J804" s="2">
        <v>4036</v>
      </c>
      <c r="K804" s="2">
        <v>26</v>
      </c>
      <c r="L804" s="2">
        <v>8959.92</v>
      </c>
    </row>
    <row r="805" spans="1:12" x14ac:dyDescent="0.3">
      <c r="A805" s="2" t="s">
        <v>1441</v>
      </c>
      <c r="B805" s="2" t="s">
        <v>1442</v>
      </c>
      <c r="C805" s="2" t="s">
        <v>480</v>
      </c>
      <c r="D805" s="2" t="s">
        <v>53</v>
      </c>
      <c r="E805" s="2" t="s">
        <v>48</v>
      </c>
      <c r="F805" s="2" t="s">
        <v>40</v>
      </c>
      <c r="G805" s="2" t="s">
        <v>62</v>
      </c>
      <c r="H805" s="2" t="s">
        <v>75</v>
      </c>
      <c r="I805" s="2">
        <v>4</v>
      </c>
      <c r="J805" s="2">
        <v>3179</v>
      </c>
      <c r="K805" s="2">
        <v>15</v>
      </c>
      <c r="L805" s="2">
        <v>10808.6</v>
      </c>
    </row>
    <row r="806" spans="1:12" x14ac:dyDescent="0.3">
      <c r="A806" s="2" t="s">
        <v>1443</v>
      </c>
      <c r="B806" s="2" t="s">
        <v>150</v>
      </c>
      <c r="C806" s="2" t="s">
        <v>1444</v>
      </c>
      <c r="D806" s="2" t="s">
        <v>53</v>
      </c>
      <c r="E806" s="2" t="s">
        <v>24</v>
      </c>
      <c r="F806" s="2" t="s">
        <v>32</v>
      </c>
      <c r="G806" s="2" t="s">
        <v>54</v>
      </c>
      <c r="H806" s="2" t="s">
        <v>75</v>
      </c>
      <c r="I806" s="2">
        <v>2</v>
      </c>
      <c r="J806" s="2">
        <v>3842</v>
      </c>
      <c r="K806" s="2">
        <v>2</v>
      </c>
      <c r="L806" s="2">
        <v>7530.32</v>
      </c>
    </row>
    <row r="807" spans="1:12" x14ac:dyDescent="0.3">
      <c r="A807" s="2" t="s">
        <v>1445</v>
      </c>
      <c r="B807" s="2" t="s">
        <v>1144</v>
      </c>
      <c r="C807" s="2" t="s">
        <v>543</v>
      </c>
      <c r="D807" s="2" t="s">
        <v>88</v>
      </c>
      <c r="E807" s="2" t="s">
        <v>48</v>
      </c>
      <c r="F807" s="2" t="s">
        <v>40</v>
      </c>
      <c r="G807" s="2" t="s">
        <v>18</v>
      </c>
      <c r="H807" s="2" t="s">
        <v>19</v>
      </c>
      <c r="I807" s="2">
        <v>5</v>
      </c>
      <c r="J807" s="2">
        <v>2547</v>
      </c>
      <c r="K807" s="2">
        <v>21</v>
      </c>
      <c r="L807" s="2">
        <v>10060.65</v>
      </c>
    </row>
    <row r="808" spans="1:12" x14ac:dyDescent="0.3">
      <c r="A808" s="2" t="s">
        <v>1446</v>
      </c>
      <c r="B808" s="2" t="s">
        <v>369</v>
      </c>
      <c r="C808" s="2" t="s">
        <v>22</v>
      </c>
      <c r="D808" s="2" t="s">
        <v>88</v>
      </c>
      <c r="E808" s="2" t="s">
        <v>16</v>
      </c>
      <c r="F808" s="2" t="s">
        <v>32</v>
      </c>
      <c r="G808" s="2" t="s">
        <v>40</v>
      </c>
      <c r="H808" s="2" t="s">
        <v>75</v>
      </c>
      <c r="I808" s="2">
        <v>4</v>
      </c>
      <c r="J808" s="2">
        <v>3595</v>
      </c>
      <c r="K808" s="2">
        <v>2</v>
      </c>
      <c r="L808" s="2">
        <v>14092.4</v>
      </c>
    </row>
    <row r="809" spans="1:12" x14ac:dyDescent="0.3">
      <c r="A809" s="2" t="s">
        <v>1447</v>
      </c>
      <c r="B809" s="2" t="s">
        <v>324</v>
      </c>
      <c r="C809" s="2" t="s">
        <v>1179</v>
      </c>
      <c r="D809" s="2" t="s">
        <v>30</v>
      </c>
      <c r="E809" s="2" t="s">
        <v>16</v>
      </c>
      <c r="F809" s="2" t="s">
        <v>40</v>
      </c>
      <c r="G809" s="2" t="s">
        <v>18</v>
      </c>
      <c r="H809" s="2" t="s">
        <v>44</v>
      </c>
      <c r="I809" s="2">
        <v>2</v>
      </c>
      <c r="J809" s="2">
        <v>274</v>
      </c>
      <c r="K809" s="2">
        <v>20</v>
      </c>
      <c r="L809" s="2">
        <v>438.4</v>
      </c>
    </row>
    <row r="810" spans="1:12" x14ac:dyDescent="0.3">
      <c r="A810" s="2" t="s">
        <v>1448</v>
      </c>
      <c r="B810" s="2" t="s">
        <v>1449</v>
      </c>
      <c r="C810" s="2" t="s">
        <v>428</v>
      </c>
      <c r="D810" s="2" t="s">
        <v>53</v>
      </c>
      <c r="E810" s="2" t="s">
        <v>68</v>
      </c>
      <c r="F810" s="2" t="s">
        <v>32</v>
      </c>
      <c r="G810" s="2" t="s">
        <v>62</v>
      </c>
      <c r="H810" s="2" t="s">
        <v>75</v>
      </c>
      <c r="I810" s="2">
        <v>5</v>
      </c>
      <c r="J810" s="2">
        <v>3277</v>
      </c>
      <c r="K810" s="2">
        <v>21</v>
      </c>
      <c r="L810" s="2">
        <v>12944.15</v>
      </c>
    </row>
    <row r="811" spans="1:12" x14ac:dyDescent="0.3">
      <c r="A811" s="2" t="s">
        <v>1450</v>
      </c>
      <c r="B811" s="2" t="s">
        <v>548</v>
      </c>
      <c r="C811" s="2" t="s">
        <v>117</v>
      </c>
      <c r="D811" s="2" t="s">
        <v>15</v>
      </c>
      <c r="E811" s="2" t="s">
        <v>48</v>
      </c>
      <c r="F811" s="2" t="s">
        <v>32</v>
      </c>
      <c r="G811" s="2" t="s">
        <v>26</v>
      </c>
      <c r="H811" s="2" t="s">
        <v>44</v>
      </c>
      <c r="I811" s="2">
        <v>5</v>
      </c>
      <c r="J811" s="2">
        <v>661</v>
      </c>
      <c r="K811" s="2">
        <v>25</v>
      </c>
      <c r="L811" s="2">
        <v>2478.75</v>
      </c>
    </row>
    <row r="812" spans="1:12" x14ac:dyDescent="0.3">
      <c r="A812" s="2" t="s">
        <v>1451</v>
      </c>
      <c r="B812" s="2" t="s">
        <v>260</v>
      </c>
      <c r="C812" s="2" t="s">
        <v>409</v>
      </c>
      <c r="D812" s="2" t="s">
        <v>88</v>
      </c>
      <c r="E812" s="2" t="s">
        <v>48</v>
      </c>
      <c r="F812" s="2" t="s">
        <v>40</v>
      </c>
      <c r="G812" s="2" t="s">
        <v>18</v>
      </c>
      <c r="H812" s="2" t="s">
        <v>75</v>
      </c>
      <c r="I812" s="2">
        <v>4</v>
      </c>
      <c r="J812" s="2">
        <v>4289</v>
      </c>
      <c r="K812" s="2">
        <v>7</v>
      </c>
      <c r="L812" s="2">
        <v>15955.08</v>
      </c>
    </row>
    <row r="813" spans="1:12" x14ac:dyDescent="0.3">
      <c r="A813" s="2" t="s">
        <v>1452</v>
      </c>
      <c r="B813" s="2" t="s">
        <v>1265</v>
      </c>
      <c r="C813" s="2" t="s">
        <v>91</v>
      </c>
      <c r="D813" s="2" t="s">
        <v>53</v>
      </c>
      <c r="E813" s="2" t="s">
        <v>58</v>
      </c>
      <c r="F813" s="2" t="s">
        <v>25</v>
      </c>
      <c r="G813" s="2" t="s">
        <v>62</v>
      </c>
      <c r="H813" s="2" t="s">
        <v>19</v>
      </c>
      <c r="I813" s="2">
        <v>4</v>
      </c>
      <c r="J813" s="2">
        <v>4859</v>
      </c>
      <c r="K813" s="2">
        <v>18</v>
      </c>
      <c r="L813" s="2">
        <v>15937.52</v>
      </c>
    </row>
    <row r="814" spans="1:12" x14ac:dyDescent="0.3">
      <c r="A814" s="2" t="s">
        <v>1453</v>
      </c>
      <c r="B814" s="2" t="s">
        <v>750</v>
      </c>
      <c r="C814" s="2" t="s">
        <v>1374</v>
      </c>
      <c r="D814" s="2" t="s">
        <v>88</v>
      </c>
      <c r="E814" s="2" t="s">
        <v>31</v>
      </c>
      <c r="F814" s="2" t="s">
        <v>49</v>
      </c>
      <c r="G814" s="2" t="s">
        <v>62</v>
      </c>
      <c r="H814" s="2" t="s">
        <v>44</v>
      </c>
      <c r="I814" s="2">
        <v>1</v>
      </c>
      <c r="J814" s="2">
        <v>556</v>
      </c>
      <c r="K814" s="2">
        <v>18</v>
      </c>
      <c r="L814" s="2">
        <v>455.92</v>
      </c>
    </row>
    <row r="815" spans="1:12" x14ac:dyDescent="0.3">
      <c r="A815" s="2" t="s">
        <v>1454</v>
      </c>
      <c r="B815" s="2" t="s">
        <v>406</v>
      </c>
      <c r="C815" s="2" t="s">
        <v>562</v>
      </c>
      <c r="D815" s="2" t="s">
        <v>88</v>
      </c>
      <c r="E815" s="2" t="s">
        <v>16</v>
      </c>
      <c r="F815" s="2" t="s">
        <v>40</v>
      </c>
      <c r="G815" s="2" t="s">
        <v>54</v>
      </c>
      <c r="H815" s="2" t="s">
        <v>44</v>
      </c>
      <c r="I815" s="2">
        <v>3</v>
      </c>
      <c r="J815" s="2">
        <v>1860</v>
      </c>
      <c r="K815" s="2">
        <v>23</v>
      </c>
      <c r="L815" s="2">
        <v>4296.6000000000004</v>
      </c>
    </row>
    <row r="816" spans="1:12" x14ac:dyDescent="0.3">
      <c r="A816" s="2" t="s">
        <v>1455</v>
      </c>
      <c r="B816" s="2" t="s">
        <v>734</v>
      </c>
      <c r="C816" s="2" t="s">
        <v>180</v>
      </c>
      <c r="D816" s="2" t="s">
        <v>88</v>
      </c>
      <c r="E816" s="2" t="s">
        <v>48</v>
      </c>
      <c r="F816" s="2" t="s">
        <v>49</v>
      </c>
      <c r="G816" s="2" t="s">
        <v>40</v>
      </c>
      <c r="H816" s="2" t="s">
        <v>19</v>
      </c>
      <c r="I816" s="2">
        <v>5</v>
      </c>
      <c r="J816" s="2">
        <v>2172</v>
      </c>
      <c r="K816" s="2">
        <v>20</v>
      </c>
      <c r="L816" s="2">
        <v>8688</v>
      </c>
    </row>
    <row r="817" spans="1:12" x14ac:dyDescent="0.3">
      <c r="A817" s="2" t="s">
        <v>1456</v>
      </c>
      <c r="B817" s="2" t="s">
        <v>159</v>
      </c>
      <c r="C817" s="2" t="s">
        <v>1029</v>
      </c>
      <c r="D817" s="2" t="s">
        <v>15</v>
      </c>
      <c r="E817" s="2" t="s">
        <v>58</v>
      </c>
      <c r="F817" s="2" t="s">
        <v>25</v>
      </c>
      <c r="G817" s="2" t="s">
        <v>62</v>
      </c>
      <c r="H817" s="2" t="s">
        <v>33</v>
      </c>
      <c r="I817" s="2">
        <v>5</v>
      </c>
      <c r="J817" s="2">
        <v>893</v>
      </c>
      <c r="K817" s="2">
        <v>29</v>
      </c>
      <c r="L817" s="2">
        <v>3170.15</v>
      </c>
    </row>
    <row r="818" spans="1:12" x14ac:dyDescent="0.3">
      <c r="A818" s="2" t="s">
        <v>1457</v>
      </c>
      <c r="B818" s="2" t="s">
        <v>998</v>
      </c>
      <c r="C818" s="2" t="s">
        <v>619</v>
      </c>
      <c r="D818" s="2" t="s">
        <v>15</v>
      </c>
      <c r="E818" s="2" t="s">
        <v>31</v>
      </c>
      <c r="F818" s="2" t="s">
        <v>49</v>
      </c>
      <c r="G818" s="2" t="s">
        <v>18</v>
      </c>
      <c r="H818" s="2" t="s">
        <v>19</v>
      </c>
      <c r="I818" s="2">
        <v>1</v>
      </c>
      <c r="J818" s="2">
        <v>3666</v>
      </c>
      <c r="K818" s="2">
        <v>17</v>
      </c>
      <c r="L818" s="2">
        <v>3042.78</v>
      </c>
    </row>
    <row r="819" spans="1:12" x14ac:dyDescent="0.3">
      <c r="A819" s="2" t="s">
        <v>1458</v>
      </c>
      <c r="B819" s="2" t="s">
        <v>307</v>
      </c>
      <c r="C819" s="2" t="s">
        <v>1130</v>
      </c>
      <c r="D819" s="2" t="s">
        <v>53</v>
      </c>
      <c r="E819" s="2" t="s">
        <v>58</v>
      </c>
      <c r="F819" s="2" t="s">
        <v>49</v>
      </c>
      <c r="G819" s="2" t="s">
        <v>54</v>
      </c>
      <c r="H819" s="2" t="s">
        <v>44</v>
      </c>
      <c r="I819" s="2">
        <v>4</v>
      </c>
      <c r="J819" s="2">
        <v>1847</v>
      </c>
      <c r="K819" s="2">
        <v>15</v>
      </c>
      <c r="L819" s="2">
        <v>6279.8</v>
      </c>
    </row>
    <row r="820" spans="1:12" x14ac:dyDescent="0.3">
      <c r="A820" s="2" t="s">
        <v>1459</v>
      </c>
      <c r="B820" s="2" t="s">
        <v>874</v>
      </c>
      <c r="C820" s="2" t="s">
        <v>468</v>
      </c>
      <c r="D820" s="2" t="s">
        <v>23</v>
      </c>
      <c r="E820" s="2" t="s">
        <v>16</v>
      </c>
      <c r="F820" s="2" t="s">
        <v>17</v>
      </c>
      <c r="G820" s="2" t="s">
        <v>54</v>
      </c>
      <c r="H820" s="2" t="s">
        <v>33</v>
      </c>
      <c r="I820" s="2">
        <v>1</v>
      </c>
      <c r="J820" s="2">
        <v>2221</v>
      </c>
      <c r="K820" s="2">
        <v>11</v>
      </c>
      <c r="L820" s="2">
        <v>1976.69</v>
      </c>
    </row>
    <row r="821" spans="1:12" x14ac:dyDescent="0.3">
      <c r="A821" s="2" t="s">
        <v>1460</v>
      </c>
      <c r="B821" s="2" t="s">
        <v>449</v>
      </c>
      <c r="C821" s="2" t="s">
        <v>47</v>
      </c>
      <c r="D821" s="2" t="s">
        <v>15</v>
      </c>
      <c r="E821" s="2" t="s">
        <v>58</v>
      </c>
      <c r="F821" s="2" t="s">
        <v>40</v>
      </c>
      <c r="G821" s="2" t="s">
        <v>40</v>
      </c>
      <c r="H821" s="2" t="s">
        <v>19</v>
      </c>
      <c r="I821" s="2">
        <v>5</v>
      </c>
      <c r="J821" s="2">
        <v>1484</v>
      </c>
      <c r="K821" s="2">
        <v>1</v>
      </c>
      <c r="L821" s="2">
        <v>7345.8</v>
      </c>
    </row>
    <row r="822" spans="1:12" x14ac:dyDescent="0.3">
      <c r="A822" s="2" t="s">
        <v>1461</v>
      </c>
      <c r="B822" s="2" t="s">
        <v>662</v>
      </c>
      <c r="C822" s="2" t="s">
        <v>670</v>
      </c>
      <c r="D822" s="2" t="s">
        <v>88</v>
      </c>
      <c r="E822" s="2" t="s">
        <v>48</v>
      </c>
      <c r="F822" s="2" t="s">
        <v>49</v>
      </c>
      <c r="G822" s="2" t="s">
        <v>54</v>
      </c>
      <c r="H822" s="2" t="s">
        <v>19</v>
      </c>
      <c r="I822" s="2">
        <v>4</v>
      </c>
      <c r="J822" s="2">
        <v>3474</v>
      </c>
      <c r="K822" s="2">
        <v>5</v>
      </c>
      <c r="L822" s="2">
        <v>13201.2</v>
      </c>
    </row>
    <row r="823" spans="1:12" x14ac:dyDescent="0.3">
      <c r="A823" s="2" t="s">
        <v>1462</v>
      </c>
      <c r="B823" s="2" t="s">
        <v>1410</v>
      </c>
      <c r="C823" s="2" t="s">
        <v>350</v>
      </c>
      <c r="D823" s="2" t="s">
        <v>30</v>
      </c>
      <c r="E823" s="2" t="s">
        <v>68</v>
      </c>
      <c r="F823" s="2" t="s">
        <v>25</v>
      </c>
      <c r="G823" s="2" t="s">
        <v>18</v>
      </c>
      <c r="H823" s="2" t="s">
        <v>75</v>
      </c>
      <c r="I823" s="2">
        <v>2</v>
      </c>
      <c r="J823" s="2">
        <v>2154</v>
      </c>
      <c r="K823" s="2">
        <v>21</v>
      </c>
      <c r="L823" s="2">
        <v>3403.32</v>
      </c>
    </row>
    <row r="824" spans="1:12" x14ac:dyDescent="0.3">
      <c r="A824" s="2" t="s">
        <v>1463</v>
      </c>
      <c r="B824" s="2" t="s">
        <v>179</v>
      </c>
      <c r="C824" s="2" t="s">
        <v>838</v>
      </c>
      <c r="D824" s="2" t="s">
        <v>30</v>
      </c>
      <c r="E824" s="2" t="s">
        <v>79</v>
      </c>
      <c r="F824" s="2" t="s">
        <v>49</v>
      </c>
      <c r="G824" s="2" t="s">
        <v>18</v>
      </c>
      <c r="H824" s="2" t="s">
        <v>75</v>
      </c>
      <c r="I824" s="2">
        <v>5</v>
      </c>
      <c r="J824" s="2">
        <v>3386</v>
      </c>
      <c r="K824" s="2">
        <v>18</v>
      </c>
      <c r="L824" s="2">
        <v>13882.6</v>
      </c>
    </row>
    <row r="825" spans="1:12" x14ac:dyDescent="0.3">
      <c r="A825" s="2" t="s">
        <v>1464</v>
      </c>
      <c r="B825" s="2" t="s">
        <v>227</v>
      </c>
      <c r="C825" s="2" t="s">
        <v>777</v>
      </c>
      <c r="D825" s="2" t="s">
        <v>88</v>
      </c>
      <c r="E825" s="2" t="s">
        <v>16</v>
      </c>
      <c r="F825" s="2" t="s">
        <v>17</v>
      </c>
      <c r="G825" s="2" t="s">
        <v>40</v>
      </c>
      <c r="H825" s="2" t="s">
        <v>75</v>
      </c>
      <c r="I825" s="2">
        <v>5</v>
      </c>
      <c r="J825" s="2">
        <v>4210</v>
      </c>
      <c r="K825" s="2">
        <v>9</v>
      </c>
      <c r="L825" s="2">
        <v>19155.5</v>
      </c>
    </row>
    <row r="826" spans="1:12" x14ac:dyDescent="0.3">
      <c r="A826" s="2" t="s">
        <v>1465</v>
      </c>
      <c r="B826" s="2" t="s">
        <v>976</v>
      </c>
      <c r="C826" s="2" t="s">
        <v>102</v>
      </c>
      <c r="D826" s="2" t="s">
        <v>53</v>
      </c>
      <c r="E826" s="2" t="s">
        <v>16</v>
      </c>
      <c r="F826" s="2" t="s">
        <v>25</v>
      </c>
      <c r="G826" s="2" t="s">
        <v>54</v>
      </c>
      <c r="H826" s="2" t="s">
        <v>75</v>
      </c>
      <c r="I826" s="2">
        <v>1</v>
      </c>
      <c r="J826" s="2">
        <v>3655</v>
      </c>
      <c r="K826" s="2">
        <v>16</v>
      </c>
      <c r="L826" s="2">
        <v>3070.2</v>
      </c>
    </row>
    <row r="827" spans="1:12" x14ac:dyDescent="0.3">
      <c r="A827" s="2" t="s">
        <v>1466</v>
      </c>
      <c r="B827" s="2" t="s">
        <v>991</v>
      </c>
      <c r="C827" s="2" t="s">
        <v>794</v>
      </c>
      <c r="D827" s="2" t="s">
        <v>30</v>
      </c>
      <c r="E827" s="2" t="s">
        <v>68</v>
      </c>
      <c r="F827" s="2" t="s">
        <v>25</v>
      </c>
      <c r="G827" s="2" t="s">
        <v>40</v>
      </c>
      <c r="H827" s="2" t="s">
        <v>75</v>
      </c>
      <c r="I827" s="2">
        <v>1</v>
      </c>
      <c r="J827" s="2">
        <v>2895</v>
      </c>
      <c r="K827" s="2">
        <v>2</v>
      </c>
      <c r="L827" s="2">
        <v>2837.1</v>
      </c>
    </row>
    <row r="828" spans="1:12" x14ac:dyDescent="0.3">
      <c r="A828" s="2" t="s">
        <v>1467</v>
      </c>
      <c r="B828" s="2" t="s">
        <v>132</v>
      </c>
      <c r="C828" s="2" t="s">
        <v>160</v>
      </c>
      <c r="D828" s="2" t="s">
        <v>88</v>
      </c>
      <c r="E828" s="2" t="s">
        <v>16</v>
      </c>
      <c r="F828" s="2" t="s">
        <v>49</v>
      </c>
      <c r="G828" s="2" t="s">
        <v>40</v>
      </c>
      <c r="H828" s="2" t="s">
        <v>33</v>
      </c>
      <c r="I828" s="2">
        <v>1</v>
      </c>
      <c r="J828" s="2">
        <v>1279</v>
      </c>
      <c r="K828" s="2">
        <v>10</v>
      </c>
      <c r="L828" s="2">
        <v>1151.0999999999999</v>
      </c>
    </row>
    <row r="829" spans="1:12" x14ac:dyDescent="0.3">
      <c r="A829" s="2" t="s">
        <v>1468</v>
      </c>
      <c r="B829" s="2" t="s">
        <v>159</v>
      </c>
      <c r="C829" s="2" t="s">
        <v>1469</v>
      </c>
      <c r="D829" s="2" t="s">
        <v>88</v>
      </c>
      <c r="E829" s="2" t="s">
        <v>58</v>
      </c>
      <c r="F829" s="2" t="s">
        <v>49</v>
      </c>
      <c r="G829" s="2" t="s">
        <v>18</v>
      </c>
      <c r="H829" s="2" t="s">
        <v>19</v>
      </c>
      <c r="I829" s="2">
        <v>2</v>
      </c>
      <c r="J829" s="2">
        <v>4229</v>
      </c>
      <c r="K829" s="2">
        <v>8</v>
      </c>
      <c r="L829" s="2">
        <v>7781.36</v>
      </c>
    </row>
    <row r="830" spans="1:12" x14ac:dyDescent="0.3">
      <c r="A830" s="2" t="s">
        <v>1470</v>
      </c>
      <c r="B830" s="2" t="s">
        <v>746</v>
      </c>
      <c r="C830" s="2" t="s">
        <v>57</v>
      </c>
      <c r="D830" s="2" t="s">
        <v>30</v>
      </c>
      <c r="E830" s="2" t="s">
        <v>31</v>
      </c>
      <c r="F830" s="2" t="s">
        <v>49</v>
      </c>
      <c r="G830" s="2" t="s">
        <v>40</v>
      </c>
      <c r="H830" s="2" t="s">
        <v>44</v>
      </c>
      <c r="I830" s="2">
        <v>1</v>
      </c>
      <c r="J830" s="2">
        <v>2592</v>
      </c>
      <c r="K830" s="2">
        <v>26</v>
      </c>
      <c r="L830" s="2">
        <v>1918.08</v>
      </c>
    </row>
    <row r="831" spans="1:12" x14ac:dyDescent="0.3">
      <c r="A831" s="2" t="s">
        <v>1471</v>
      </c>
      <c r="B831" s="2" t="s">
        <v>561</v>
      </c>
      <c r="C831" s="2" t="s">
        <v>325</v>
      </c>
      <c r="D831" s="2" t="s">
        <v>15</v>
      </c>
      <c r="E831" s="2" t="s">
        <v>79</v>
      </c>
      <c r="F831" s="2" t="s">
        <v>25</v>
      </c>
      <c r="G831" s="2" t="s">
        <v>18</v>
      </c>
      <c r="H831" s="2" t="s">
        <v>44</v>
      </c>
      <c r="I831" s="2">
        <v>1</v>
      </c>
      <c r="J831" s="2">
        <v>1461</v>
      </c>
      <c r="K831" s="2">
        <v>9</v>
      </c>
      <c r="L831" s="2">
        <v>1329.51</v>
      </c>
    </row>
    <row r="832" spans="1:12" x14ac:dyDescent="0.3">
      <c r="A832" s="2" t="s">
        <v>1472</v>
      </c>
      <c r="B832" s="2" t="s">
        <v>534</v>
      </c>
      <c r="C832" s="2" t="s">
        <v>942</v>
      </c>
      <c r="D832" s="2" t="s">
        <v>30</v>
      </c>
      <c r="E832" s="2" t="s">
        <v>79</v>
      </c>
      <c r="F832" s="2" t="s">
        <v>17</v>
      </c>
      <c r="G832" s="2" t="s">
        <v>62</v>
      </c>
      <c r="H832" s="2" t="s">
        <v>75</v>
      </c>
      <c r="I832" s="2">
        <v>1</v>
      </c>
      <c r="J832" s="2">
        <v>1000</v>
      </c>
      <c r="K832" s="2">
        <v>8</v>
      </c>
      <c r="L832" s="2">
        <v>920</v>
      </c>
    </row>
    <row r="833" spans="1:12" x14ac:dyDescent="0.3">
      <c r="A833" s="2" t="s">
        <v>1473</v>
      </c>
      <c r="B833" s="2" t="s">
        <v>126</v>
      </c>
      <c r="C833" s="2" t="s">
        <v>241</v>
      </c>
      <c r="D833" s="2" t="s">
        <v>88</v>
      </c>
      <c r="E833" s="2" t="s">
        <v>58</v>
      </c>
      <c r="F833" s="2" t="s">
        <v>40</v>
      </c>
      <c r="G833" s="2" t="s">
        <v>40</v>
      </c>
      <c r="H833" s="2" t="s">
        <v>33</v>
      </c>
      <c r="I833" s="2">
        <v>3</v>
      </c>
      <c r="J833" s="2">
        <v>4233</v>
      </c>
      <c r="K833" s="2">
        <v>10</v>
      </c>
      <c r="L833" s="2">
        <v>11429.1</v>
      </c>
    </row>
    <row r="834" spans="1:12" x14ac:dyDescent="0.3">
      <c r="A834" s="2" t="s">
        <v>1474</v>
      </c>
      <c r="B834" s="2" t="s">
        <v>372</v>
      </c>
      <c r="C834" s="2" t="s">
        <v>1088</v>
      </c>
      <c r="D834" s="2" t="s">
        <v>30</v>
      </c>
      <c r="E834" s="2" t="s">
        <v>48</v>
      </c>
      <c r="F834" s="2" t="s">
        <v>49</v>
      </c>
      <c r="G834" s="2" t="s">
        <v>62</v>
      </c>
      <c r="H834" s="2" t="s">
        <v>33</v>
      </c>
      <c r="I834" s="2">
        <v>3</v>
      </c>
      <c r="J834" s="2">
        <v>995</v>
      </c>
      <c r="K834" s="2">
        <v>20</v>
      </c>
      <c r="L834" s="2">
        <v>2388</v>
      </c>
    </row>
    <row r="835" spans="1:12" x14ac:dyDescent="0.3">
      <c r="A835" s="2" t="s">
        <v>1475</v>
      </c>
      <c r="B835" s="2" t="s">
        <v>1476</v>
      </c>
      <c r="C835" s="2" t="s">
        <v>197</v>
      </c>
      <c r="D835" s="2" t="s">
        <v>15</v>
      </c>
      <c r="E835" s="2" t="s">
        <v>68</v>
      </c>
      <c r="F835" s="2" t="s">
        <v>32</v>
      </c>
      <c r="G835" s="2" t="s">
        <v>18</v>
      </c>
      <c r="H835" s="2" t="s">
        <v>33</v>
      </c>
      <c r="I835" s="2">
        <v>5</v>
      </c>
      <c r="J835" s="2">
        <v>674</v>
      </c>
      <c r="K835" s="2">
        <v>24</v>
      </c>
      <c r="L835" s="2">
        <v>2561.1999999999998</v>
      </c>
    </row>
    <row r="836" spans="1:12" x14ac:dyDescent="0.3">
      <c r="A836" s="2" t="s">
        <v>1477</v>
      </c>
      <c r="B836" s="2" t="s">
        <v>1478</v>
      </c>
      <c r="C836" s="2" t="s">
        <v>396</v>
      </c>
      <c r="D836" s="2" t="s">
        <v>15</v>
      </c>
      <c r="E836" s="2" t="s">
        <v>16</v>
      </c>
      <c r="F836" s="2" t="s">
        <v>25</v>
      </c>
      <c r="G836" s="2" t="s">
        <v>54</v>
      </c>
      <c r="H836" s="2" t="s">
        <v>44</v>
      </c>
      <c r="I836" s="2">
        <v>3</v>
      </c>
      <c r="J836" s="2">
        <v>2555</v>
      </c>
      <c r="K836" s="2">
        <v>28</v>
      </c>
      <c r="L836" s="2">
        <v>5518.8</v>
      </c>
    </row>
    <row r="837" spans="1:12" x14ac:dyDescent="0.3">
      <c r="A837" s="2" t="s">
        <v>1479</v>
      </c>
      <c r="B837" s="2" t="s">
        <v>651</v>
      </c>
      <c r="C837" s="2" t="s">
        <v>160</v>
      </c>
      <c r="D837" s="2" t="s">
        <v>30</v>
      </c>
      <c r="E837" s="2" t="s">
        <v>31</v>
      </c>
      <c r="F837" s="2" t="s">
        <v>49</v>
      </c>
      <c r="G837" s="2" t="s">
        <v>18</v>
      </c>
      <c r="H837" s="2" t="s">
        <v>19</v>
      </c>
      <c r="I837" s="2">
        <v>2</v>
      </c>
      <c r="J837" s="2">
        <v>887</v>
      </c>
      <c r="K837" s="2">
        <v>11</v>
      </c>
      <c r="L837" s="2">
        <v>1578.86</v>
      </c>
    </row>
    <row r="838" spans="1:12" x14ac:dyDescent="0.3">
      <c r="A838" s="2" t="s">
        <v>1480</v>
      </c>
      <c r="B838" s="2" t="s">
        <v>1087</v>
      </c>
      <c r="C838" s="2" t="s">
        <v>142</v>
      </c>
      <c r="D838" s="2" t="s">
        <v>23</v>
      </c>
      <c r="E838" s="2" t="s">
        <v>31</v>
      </c>
      <c r="F838" s="2" t="s">
        <v>32</v>
      </c>
      <c r="G838" s="2" t="s">
        <v>54</v>
      </c>
      <c r="H838" s="2" t="s">
        <v>75</v>
      </c>
      <c r="I838" s="2">
        <v>1</v>
      </c>
      <c r="J838" s="2">
        <v>4969</v>
      </c>
      <c r="K838" s="2">
        <v>23</v>
      </c>
      <c r="L838" s="2">
        <v>3826.13</v>
      </c>
    </row>
    <row r="839" spans="1:12" x14ac:dyDescent="0.3">
      <c r="A839" s="2" t="s">
        <v>1481</v>
      </c>
      <c r="B839" s="2" t="s">
        <v>1482</v>
      </c>
      <c r="C839" s="2" t="s">
        <v>641</v>
      </c>
      <c r="D839" s="2" t="s">
        <v>53</v>
      </c>
      <c r="E839" s="2" t="s">
        <v>79</v>
      </c>
      <c r="F839" s="2" t="s">
        <v>32</v>
      </c>
      <c r="G839" s="2" t="s">
        <v>54</v>
      </c>
      <c r="H839" s="2" t="s">
        <v>75</v>
      </c>
      <c r="I839" s="2">
        <v>3</v>
      </c>
      <c r="J839" s="2">
        <v>2259</v>
      </c>
      <c r="K839" s="2">
        <v>20</v>
      </c>
      <c r="L839" s="2">
        <v>5421.6</v>
      </c>
    </row>
    <row r="840" spans="1:12" x14ac:dyDescent="0.3">
      <c r="A840" s="2" t="s">
        <v>1483</v>
      </c>
      <c r="B840" s="2" t="s">
        <v>1484</v>
      </c>
      <c r="C840" s="2" t="s">
        <v>381</v>
      </c>
      <c r="D840" s="2" t="s">
        <v>23</v>
      </c>
      <c r="E840" s="2" t="s">
        <v>24</v>
      </c>
      <c r="F840" s="2" t="s">
        <v>17</v>
      </c>
      <c r="G840" s="2" t="s">
        <v>18</v>
      </c>
      <c r="H840" s="2" t="s">
        <v>44</v>
      </c>
      <c r="I840" s="2">
        <v>4</v>
      </c>
      <c r="J840" s="2">
        <v>2064</v>
      </c>
      <c r="K840" s="2">
        <v>14</v>
      </c>
      <c r="L840" s="2">
        <v>7100.16</v>
      </c>
    </row>
    <row r="841" spans="1:12" x14ac:dyDescent="0.3">
      <c r="A841" s="2" t="s">
        <v>1485</v>
      </c>
      <c r="B841" s="2" t="s">
        <v>35</v>
      </c>
      <c r="C841" s="2" t="s">
        <v>882</v>
      </c>
      <c r="D841" s="2" t="s">
        <v>15</v>
      </c>
      <c r="E841" s="2" t="s">
        <v>58</v>
      </c>
      <c r="F841" s="2" t="s">
        <v>49</v>
      </c>
      <c r="G841" s="2" t="s">
        <v>18</v>
      </c>
      <c r="H841" s="2" t="s">
        <v>19</v>
      </c>
      <c r="I841" s="2">
        <v>1</v>
      </c>
      <c r="J841" s="2">
        <v>4722</v>
      </c>
      <c r="K841" s="2">
        <v>15</v>
      </c>
      <c r="L841" s="2">
        <v>4013.7</v>
      </c>
    </row>
    <row r="842" spans="1:12" x14ac:dyDescent="0.3">
      <c r="A842" s="2" t="s">
        <v>1486</v>
      </c>
      <c r="B842" s="2" t="s">
        <v>647</v>
      </c>
      <c r="C842" s="2" t="s">
        <v>105</v>
      </c>
      <c r="D842" s="2" t="s">
        <v>15</v>
      </c>
      <c r="E842" s="2" t="s">
        <v>68</v>
      </c>
      <c r="F842" s="2" t="s">
        <v>40</v>
      </c>
      <c r="G842" s="2" t="s">
        <v>40</v>
      </c>
      <c r="H842" s="2" t="s">
        <v>75</v>
      </c>
      <c r="I842" s="2">
        <v>2</v>
      </c>
      <c r="J842" s="2">
        <v>3666</v>
      </c>
      <c r="K842" s="2">
        <v>1</v>
      </c>
      <c r="L842" s="2">
        <v>7258.68</v>
      </c>
    </row>
    <row r="843" spans="1:12" x14ac:dyDescent="0.3">
      <c r="A843" s="2" t="s">
        <v>1487</v>
      </c>
      <c r="B843" s="2" t="s">
        <v>889</v>
      </c>
      <c r="C843" s="2" t="s">
        <v>441</v>
      </c>
      <c r="D843" s="2" t="s">
        <v>30</v>
      </c>
      <c r="E843" s="2" t="s">
        <v>79</v>
      </c>
      <c r="F843" s="2" t="s">
        <v>17</v>
      </c>
      <c r="G843" s="2" t="s">
        <v>54</v>
      </c>
      <c r="H843" s="2" t="s">
        <v>19</v>
      </c>
      <c r="I843" s="2">
        <v>1</v>
      </c>
      <c r="J843" s="2">
        <v>439</v>
      </c>
      <c r="K843" s="2">
        <v>13</v>
      </c>
      <c r="L843" s="2">
        <v>381.93</v>
      </c>
    </row>
    <row r="844" spans="1:12" x14ac:dyDescent="0.3">
      <c r="A844" s="2" t="s">
        <v>1488</v>
      </c>
      <c r="B844" s="2" t="s">
        <v>1489</v>
      </c>
      <c r="C844" s="2" t="s">
        <v>1490</v>
      </c>
      <c r="D844" s="2" t="s">
        <v>23</v>
      </c>
      <c r="E844" s="2" t="s">
        <v>79</v>
      </c>
      <c r="F844" s="2" t="s">
        <v>17</v>
      </c>
      <c r="G844" s="2" t="s">
        <v>18</v>
      </c>
      <c r="H844" s="2" t="s">
        <v>44</v>
      </c>
      <c r="I844" s="2">
        <v>5</v>
      </c>
      <c r="J844" s="2">
        <v>625</v>
      </c>
      <c r="K844" s="2">
        <v>15</v>
      </c>
      <c r="L844" s="2">
        <v>2656.25</v>
      </c>
    </row>
    <row r="845" spans="1:12" x14ac:dyDescent="0.3">
      <c r="A845" s="2" t="s">
        <v>1491</v>
      </c>
      <c r="B845" s="2" t="s">
        <v>42</v>
      </c>
      <c r="C845" s="2" t="s">
        <v>535</v>
      </c>
      <c r="D845" s="2" t="s">
        <v>15</v>
      </c>
      <c r="E845" s="2" t="s">
        <v>58</v>
      </c>
      <c r="F845" s="2" t="s">
        <v>25</v>
      </c>
      <c r="G845" s="2" t="s">
        <v>62</v>
      </c>
      <c r="H845" s="2" t="s">
        <v>75</v>
      </c>
      <c r="I845" s="2">
        <v>4</v>
      </c>
      <c r="J845" s="2">
        <v>4987</v>
      </c>
      <c r="K845" s="2">
        <v>17</v>
      </c>
      <c r="L845" s="2">
        <v>16556.84</v>
      </c>
    </row>
    <row r="846" spans="1:12" x14ac:dyDescent="0.3">
      <c r="A846" s="2" t="s">
        <v>1492</v>
      </c>
      <c r="B846" s="2" t="s">
        <v>290</v>
      </c>
      <c r="C846" s="2" t="s">
        <v>491</v>
      </c>
      <c r="D846" s="2" t="s">
        <v>15</v>
      </c>
      <c r="E846" s="2" t="s">
        <v>24</v>
      </c>
      <c r="F846" s="2" t="s">
        <v>40</v>
      </c>
      <c r="G846" s="2" t="s">
        <v>54</v>
      </c>
      <c r="H846" s="2" t="s">
        <v>19</v>
      </c>
      <c r="I846" s="2">
        <v>3</v>
      </c>
      <c r="J846" s="2">
        <v>2270</v>
      </c>
      <c r="K846" s="2">
        <v>3</v>
      </c>
      <c r="L846" s="2">
        <v>6605.7</v>
      </c>
    </row>
    <row r="847" spans="1:12" x14ac:dyDescent="0.3">
      <c r="A847" s="2" t="s">
        <v>1493</v>
      </c>
      <c r="B847" s="2" t="s">
        <v>1494</v>
      </c>
      <c r="C847" s="2" t="s">
        <v>1004</v>
      </c>
      <c r="D847" s="2" t="s">
        <v>23</v>
      </c>
      <c r="E847" s="2" t="s">
        <v>79</v>
      </c>
      <c r="F847" s="2" t="s">
        <v>25</v>
      </c>
      <c r="G847" s="2" t="s">
        <v>40</v>
      </c>
      <c r="H847" s="2" t="s">
        <v>19</v>
      </c>
      <c r="I847" s="2">
        <v>1</v>
      </c>
      <c r="J847" s="2">
        <v>1718</v>
      </c>
      <c r="K847" s="2">
        <v>14</v>
      </c>
      <c r="L847" s="2">
        <v>1477.48</v>
      </c>
    </row>
    <row r="848" spans="1:12" x14ac:dyDescent="0.3">
      <c r="A848" s="2" t="s">
        <v>1495</v>
      </c>
      <c r="B848" s="2" t="s">
        <v>1153</v>
      </c>
      <c r="C848" s="2" t="s">
        <v>36</v>
      </c>
      <c r="D848" s="2" t="s">
        <v>23</v>
      </c>
      <c r="E848" s="2" t="s">
        <v>16</v>
      </c>
      <c r="F848" s="2" t="s">
        <v>40</v>
      </c>
      <c r="G848" s="2" t="s">
        <v>40</v>
      </c>
      <c r="H848" s="2" t="s">
        <v>44</v>
      </c>
      <c r="I848" s="2">
        <v>4</v>
      </c>
      <c r="J848" s="2">
        <v>3428</v>
      </c>
      <c r="K848" s="2">
        <v>5</v>
      </c>
      <c r="L848" s="2">
        <v>13026.4</v>
      </c>
    </row>
    <row r="849" spans="1:12" x14ac:dyDescent="0.3">
      <c r="A849" s="2" t="s">
        <v>1496</v>
      </c>
      <c r="B849" s="2" t="s">
        <v>776</v>
      </c>
      <c r="C849" s="2" t="s">
        <v>505</v>
      </c>
      <c r="D849" s="2" t="s">
        <v>15</v>
      </c>
      <c r="E849" s="2" t="s">
        <v>79</v>
      </c>
      <c r="F849" s="2" t="s">
        <v>25</v>
      </c>
      <c r="G849" s="2" t="s">
        <v>26</v>
      </c>
      <c r="H849" s="2" t="s">
        <v>33</v>
      </c>
      <c r="I849" s="2">
        <v>3</v>
      </c>
      <c r="J849" s="2">
        <v>4432</v>
      </c>
      <c r="K849" s="2">
        <v>8</v>
      </c>
      <c r="L849" s="2">
        <v>12232.32</v>
      </c>
    </row>
    <row r="850" spans="1:12" x14ac:dyDescent="0.3">
      <c r="A850" s="2" t="s">
        <v>1497</v>
      </c>
      <c r="B850" s="2" t="s">
        <v>280</v>
      </c>
      <c r="C850" s="2" t="s">
        <v>247</v>
      </c>
      <c r="D850" s="2" t="s">
        <v>53</v>
      </c>
      <c r="E850" s="2" t="s">
        <v>79</v>
      </c>
      <c r="F850" s="2" t="s">
        <v>25</v>
      </c>
      <c r="G850" s="2" t="s">
        <v>54</v>
      </c>
      <c r="H850" s="2" t="s">
        <v>44</v>
      </c>
      <c r="I850" s="2">
        <v>3</v>
      </c>
      <c r="J850" s="2">
        <v>2995</v>
      </c>
      <c r="K850" s="2">
        <v>24</v>
      </c>
      <c r="L850" s="2">
        <v>6828.6</v>
      </c>
    </row>
    <row r="851" spans="1:12" x14ac:dyDescent="0.3">
      <c r="A851" s="2" t="s">
        <v>1498</v>
      </c>
      <c r="B851" s="2" t="s">
        <v>240</v>
      </c>
      <c r="C851" s="2" t="s">
        <v>862</v>
      </c>
      <c r="D851" s="2" t="s">
        <v>30</v>
      </c>
      <c r="E851" s="2" t="s">
        <v>68</v>
      </c>
      <c r="F851" s="2" t="s">
        <v>17</v>
      </c>
      <c r="G851" s="2" t="s">
        <v>40</v>
      </c>
      <c r="H851" s="2" t="s">
        <v>33</v>
      </c>
      <c r="I851" s="2">
        <v>1</v>
      </c>
      <c r="J851" s="2">
        <v>4224</v>
      </c>
      <c r="K851" s="2">
        <v>25</v>
      </c>
      <c r="L851" s="2">
        <v>3168</v>
      </c>
    </row>
    <row r="852" spans="1:12" x14ac:dyDescent="0.3">
      <c r="A852" s="2" t="s">
        <v>1499</v>
      </c>
      <c r="B852" s="2" t="s">
        <v>582</v>
      </c>
      <c r="C852" s="2" t="s">
        <v>124</v>
      </c>
      <c r="D852" s="2" t="s">
        <v>23</v>
      </c>
      <c r="E852" s="2" t="s">
        <v>16</v>
      </c>
      <c r="F852" s="2" t="s">
        <v>49</v>
      </c>
      <c r="G852" s="2" t="s">
        <v>18</v>
      </c>
      <c r="H852" s="2" t="s">
        <v>44</v>
      </c>
      <c r="I852" s="2">
        <v>3</v>
      </c>
      <c r="J852" s="2">
        <v>4731</v>
      </c>
      <c r="K852" s="2">
        <v>29</v>
      </c>
      <c r="L852" s="2">
        <v>10077.030000000001</v>
      </c>
    </row>
    <row r="853" spans="1:12" x14ac:dyDescent="0.3">
      <c r="A853" s="2" t="s">
        <v>1500</v>
      </c>
      <c r="B853" s="2" t="s">
        <v>725</v>
      </c>
      <c r="C853" s="2" t="s">
        <v>1050</v>
      </c>
      <c r="D853" s="2" t="s">
        <v>30</v>
      </c>
      <c r="E853" s="2" t="s">
        <v>24</v>
      </c>
      <c r="F853" s="2" t="s">
        <v>40</v>
      </c>
      <c r="G853" s="2" t="s">
        <v>40</v>
      </c>
      <c r="H853" s="2" t="s">
        <v>33</v>
      </c>
      <c r="I853" s="2">
        <v>1</v>
      </c>
      <c r="J853" s="2">
        <v>4421</v>
      </c>
      <c r="K853" s="2">
        <v>27</v>
      </c>
      <c r="L853" s="2">
        <v>3227.33</v>
      </c>
    </row>
    <row r="854" spans="1:12" x14ac:dyDescent="0.3">
      <c r="A854" s="2" t="s">
        <v>1501</v>
      </c>
      <c r="B854" s="2" t="s">
        <v>90</v>
      </c>
      <c r="C854" s="2" t="s">
        <v>499</v>
      </c>
      <c r="D854" s="2" t="s">
        <v>23</v>
      </c>
      <c r="E854" s="2" t="s">
        <v>48</v>
      </c>
      <c r="F854" s="2" t="s">
        <v>40</v>
      </c>
      <c r="G854" s="2" t="s">
        <v>40</v>
      </c>
      <c r="H854" s="2" t="s">
        <v>75</v>
      </c>
      <c r="I854" s="2">
        <v>5</v>
      </c>
      <c r="J854" s="2">
        <v>376</v>
      </c>
      <c r="K854" s="2">
        <v>27</v>
      </c>
      <c r="L854" s="2">
        <v>1372.4</v>
      </c>
    </row>
    <row r="855" spans="1:12" x14ac:dyDescent="0.3">
      <c r="A855" s="2" t="s">
        <v>1502</v>
      </c>
      <c r="B855" s="2" t="s">
        <v>269</v>
      </c>
      <c r="C855" s="2" t="s">
        <v>780</v>
      </c>
      <c r="D855" s="2" t="s">
        <v>30</v>
      </c>
      <c r="E855" s="2" t="s">
        <v>31</v>
      </c>
      <c r="F855" s="2" t="s">
        <v>49</v>
      </c>
      <c r="G855" s="2" t="s">
        <v>40</v>
      </c>
      <c r="H855" s="2" t="s">
        <v>44</v>
      </c>
      <c r="I855" s="2">
        <v>4</v>
      </c>
      <c r="J855" s="2">
        <v>1792</v>
      </c>
      <c r="K855" s="2">
        <v>1</v>
      </c>
      <c r="L855" s="2">
        <v>7096.32</v>
      </c>
    </row>
    <row r="856" spans="1:12" x14ac:dyDescent="0.3">
      <c r="A856" s="2" t="s">
        <v>1503</v>
      </c>
      <c r="B856" s="2" t="s">
        <v>1504</v>
      </c>
      <c r="C856" s="2" t="s">
        <v>700</v>
      </c>
      <c r="D856" s="2" t="s">
        <v>23</v>
      </c>
      <c r="E856" s="2" t="s">
        <v>58</v>
      </c>
      <c r="F856" s="2" t="s">
        <v>32</v>
      </c>
      <c r="G856" s="2" t="s">
        <v>18</v>
      </c>
      <c r="H856" s="2" t="s">
        <v>19</v>
      </c>
      <c r="I856" s="2">
        <v>1</v>
      </c>
      <c r="J856" s="2">
        <v>2628</v>
      </c>
      <c r="K856" s="2">
        <v>25</v>
      </c>
      <c r="L856" s="2">
        <v>1971</v>
      </c>
    </row>
    <row r="857" spans="1:12" x14ac:dyDescent="0.3">
      <c r="A857" s="2" t="s">
        <v>1505</v>
      </c>
      <c r="B857" s="2" t="s">
        <v>985</v>
      </c>
      <c r="C857" s="2" t="s">
        <v>860</v>
      </c>
      <c r="D857" s="2" t="s">
        <v>53</v>
      </c>
      <c r="E857" s="2" t="s">
        <v>31</v>
      </c>
      <c r="F857" s="2" t="s">
        <v>25</v>
      </c>
      <c r="G857" s="2" t="s">
        <v>18</v>
      </c>
      <c r="H857" s="2" t="s">
        <v>75</v>
      </c>
      <c r="I857" s="2">
        <v>4</v>
      </c>
      <c r="J857" s="2">
        <v>3114</v>
      </c>
      <c r="K857" s="2">
        <v>23</v>
      </c>
      <c r="L857" s="2">
        <v>9591.1200000000008</v>
      </c>
    </row>
    <row r="858" spans="1:12" x14ac:dyDescent="0.3">
      <c r="A858" s="2" t="s">
        <v>1506</v>
      </c>
      <c r="B858" s="2" t="s">
        <v>162</v>
      </c>
      <c r="C858" s="2" t="s">
        <v>436</v>
      </c>
      <c r="D858" s="2" t="s">
        <v>88</v>
      </c>
      <c r="E858" s="2" t="s">
        <v>16</v>
      </c>
      <c r="F858" s="2" t="s">
        <v>49</v>
      </c>
      <c r="G858" s="2" t="s">
        <v>54</v>
      </c>
      <c r="H858" s="2" t="s">
        <v>19</v>
      </c>
      <c r="I858" s="2">
        <v>4</v>
      </c>
      <c r="J858" s="2">
        <v>4965</v>
      </c>
      <c r="K858" s="2">
        <v>5</v>
      </c>
      <c r="L858" s="2">
        <v>18867</v>
      </c>
    </row>
    <row r="859" spans="1:12" x14ac:dyDescent="0.3">
      <c r="A859" s="2" t="s">
        <v>1507</v>
      </c>
      <c r="B859" s="2" t="s">
        <v>551</v>
      </c>
      <c r="C859" s="2" t="s">
        <v>721</v>
      </c>
      <c r="D859" s="2" t="s">
        <v>15</v>
      </c>
      <c r="E859" s="2" t="s">
        <v>31</v>
      </c>
      <c r="F859" s="2" t="s">
        <v>32</v>
      </c>
      <c r="G859" s="2" t="s">
        <v>26</v>
      </c>
      <c r="H859" s="2" t="s">
        <v>75</v>
      </c>
      <c r="I859" s="2">
        <v>5</v>
      </c>
      <c r="J859" s="2">
        <v>1643</v>
      </c>
      <c r="K859" s="2">
        <v>2</v>
      </c>
      <c r="L859" s="2">
        <v>8050.7</v>
      </c>
    </row>
    <row r="860" spans="1:12" x14ac:dyDescent="0.3">
      <c r="A860" s="2" t="s">
        <v>1508</v>
      </c>
      <c r="B860" s="2" t="s">
        <v>83</v>
      </c>
      <c r="C860" s="2" t="s">
        <v>748</v>
      </c>
      <c r="D860" s="2" t="s">
        <v>30</v>
      </c>
      <c r="E860" s="2" t="s">
        <v>31</v>
      </c>
      <c r="F860" s="2" t="s">
        <v>32</v>
      </c>
      <c r="G860" s="2" t="s">
        <v>54</v>
      </c>
      <c r="H860" s="2" t="s">
        <v>44</v>
      </c>
      <c r="I860" s="2">
        <v>5</v>
      </c>
      <c r="J860" s="2">
        <v>4028</v>
      </c>
      <c r="K860" s="2">
        <v>12</v>
      </c>
      <c r="L860" s="2">
        <v>17723.2</v>
      </c>
    </row>
    <row r="861" spans="1:12" x14ac:dyDescent="0.3">
      <c r="A861" s="2" t="s">
        <v>1509</v>
      </c>
      <c r="B861" s="2" t="s">
        <v>1153</v>
      </c>
      <c r="C861" s="2" t="s">
        <v>428</v>
      </c>
      <c r="D861" s="2" t="s">
        <v>23</v>
      </c>
      <c r="E861" s="2" t="s">
        <v>24</v>
      </c>
      <c r="F861" s="2" t="s">
        <v>32</v>
      </c>
      <c r="G861" s="2" t="s">
        <v>62</v>
      </c>
      <c r="H861" s="2" t="s">
        <v>19</v>
      </c>
      <c r="I861" s="2">
        <v>5</v>
      </c>
      <c r="J861" s="2">
        <v>276</v>
      </c>
      <c r="K861" s="2">
        <v>1</v>
      </c>
      <c r="L861" s="2">
        <v>1366.2</v>
      </c>
    </row>
    <row r="862" spans="1:12" x14ac:dyDescent="0.3">
      <c r="A862" s="2" t="s">
        <v>1510</v>
      </c>
      <c r="B862" s="2" t="s">
        <v>358</v>
      </c>
      <c r="C862" s="2" t="s">
        <v>804</v>
      </c>
      <c r="D862" s="2" t="s">
        <v>53</v>
      </c>
      <c r="E862" s="2" t="s">
        <v>79</v>
      </c>
      <c r="F862" s="2" t="s">
        <v>25</v>
      </c>
      <c r="G862" s="2" t="s">
        <v>40</v>
      </c>
      <c r="H862" s="2" t="s">
        <v>44</v>
      </c>
      <c r="I862" s="2">
        <v>5</v>
      </c>
      <c r="J862" s="2">
        <v>1452</v>
      </c>
      <c r="K862" s="2">
        <v>19</v>
      </c>
      <c r="L862" s="2">
        <v>5880.6</v>
      </c>
    </row>
    <row r="863" spans="1:12" x14ac:dyDescent="0.3">
      <c r="A863" s="2" t="s">
        <v>1511</v>
      </c>
      <c r="B863" s="2" t="s">
        <v>779</v>
      </c>
      <c r="C863" s="2" t="s">
        <v>421</v>
      </c>
      <c r="D863" s="2" t="s">
        <v>15</v>
      </c>
      <c r="E863" s="2" t="s">
        <v>48</v>
      </c>
      <c r="F863" s="2" t="s">
        <v>49</v>
      </c>
      <c r="G863" s="2" t="s">
        <v>26</v>
      </c>
      <c r="H863" s="2" t="s">
        <v>44</v>
      </c>
      <c r="I863" s="2">
        <v>5</v>
      </c>
      <c r="J863" s="2">
        <v>798</v>
      </c>
      <c r="K863" s="2">
        <v>25</v>
      </c>
      <c r="L863" s="2">
        <v>2992.5</v>
      </c>
    </row>
    <row r="864" spans="1:12" x14ac:dyDescent="0.3">
      <c r="A864" s="2" t="s">
        <v>1512</v>
      </c>
      <c r="B864" s="2" t="s">
        <v>634</v>
      </c>
      <c r="C864" s="2" t="s">
        <v>385</v>
      </c>
      <c r="D864" s="2" t="s">
        <v>15</v>
      </c>
      <c r="E864" s="2" t="s">
        <v>48</v>
      </c>
      <c r="F864" s="2" t="s">
        <v>17</v>
      </c>
      <c r="G864" s="2" t="s">
        <v>62</v>
      </c>
      <c r="H864" s="2" t="s">
        <v>19</v>
      </c>
      <c r="I864" s="2">
        <v>2</v>
      </c>
      <c r="J864" s="2">
        <v>2150</v>
      </c>
      <c r="K864" s="2">
        <v>3</v>
      </c>
      <c r="L864" s="2">
        <v>4171</v>
      </c>
    </row>
    <row r="865" spans="1:12" x14ac:dyDescent="0.3">
      <c r="A865" s="2" t="s">
        <v>1513</v>
      </c>
      <c r="B865" s="2" t="s">
        <v>255</v>
      </c>
      <c r="C865" s="2" t="s">
        <v>130</v>
      </c>
      <c r="D865" s="2" t="s">
        <v>23</v>
      </c>
      <c r="E865" s="2" t="s">
        <v>79</v>
      </c>
      <c r="F865" s="2" t="s">
        <v>49</v>
      </c>
      <c r="G865" s="2" t="s">
        <v>62</v>
      </c>
      <c r="H865" s="2" t="s">
        <v>44</v>
      </c>
      <c r="I865" s="2">
        <v>3</v>
      </c>
      <c r="J865" s="2">
        <v>2950</v>
      </c>
      <c r="K865" s="2">
        <v>2</v>
      </c>
      <c r="L865" s="2">
        <v>8673</v>
      </c>
    </row>
    <row r="866" spans="1:12" x14ac:dyDescent="0.3">
      <c r="A866" s="2" t="s">
        <v>1514</v>
      </c>
      <c r="B866" s="2" t="s">
        <v>218</v>
      </c>
      <c r="C866" s="2" t="s">
        <v>385</v>
      </c>
      <c r="D866" s="2" t="s">
        <v>88</v>
      </c>
      <c r="E866" s="2" t="s">
        <v>16</v>
      </c>
      <c r="F866" s="2" t="s">
        <v>49</v>
      </c>
      <c r="G866" s="2" t="s">
        <v>26</v>
      </c>
      <c r="H866" s="2" t="s">
        <v>44</v>
      </c>
      <c r="I866" s="2">
        <v>1</v>
      </c>
      <c r="J866" s="2">
        <v>3932</v>
      </c>
      <c r="K866" s="2">
        <v>15</v>
      </c>
      <c r="L866" s="2">
        <v>3342.2</v>
      </c>
    </row>
    <row r="867" spans="1:12" x14ac:dyDescent="0.3">
      <c r="A867" s="2" t="s">
        <v>1515</v>
      </c>
      <c r="B867" s="2" t="s">
        <v>528</v>
      </c>
      <c r="C867" s="2" t="s">
        <v>619</v>
      </c>
      <c r="D867" s="2" t="s">
        <v>53</v>
      </c>
      <c r="E867" s="2" t="s">
        <v>16</v>
      </c>
      <c r="F867" s="2" t="s">
        <v>49</v>
      </c>
      <c r="G867" s="2" t="s">
        <v>54</v>
      </c>
      <c r="H867" s="2" t="s">
        <v>75</v>
      </c>
      <c r="I867" s="2">
        <v>5</v>
      </c>
      <c r="J867" s="2">
        <v>370</v>
      </c>
      <c r="K867" s="2">
        <v>1</v>
      </c>
      <c r="L867" s="2">
        <v>1831.5</v>
      </c>
    </row>
    <row r="868" spans="1:12" x14ac:dyDescent="0.3">
      <c r="A868" s="2" t="s">
        <v>1516</v>
      </c>
      <c r="B868" s="2" t="s">
        <v>174</v>
      </c>
      <c r="C868" s="2" t="s">
        <v>1124</v>
      </c>
      <c r="D868" s="2" t="s">
        <v>15</v>
      </c>
      <c r="E868" s="2" t="s">
        <v>58</v>
      </c>
      <c r="F868" s="2" t="s">
        <v>25</v>
      </c>
      <c r="G868" s="2" t="s">
        <v>54</v>
      </c>
      <c r="H868" s="2" t="s">
        <v>44</v>
      </c>
      <c r="I868" s="2">
        <v>4</v>
      </c>
      <c r="J868" s="2">
        <v>1426</v>
      </c>
      <c r="K868" s="2">
        <v>25</v>
      </c>
      <c r="L868" s="2">
        <v>4278</v>
      </c>
    </row>
    <row r="869" spans="1:12" x14ac:dyDescent="0.3">
      <c r="A869" s="2" t="s">
        <v>1517</v>
      </c>
      <c r="B869" s="2" t="s">
        <v>800</v>
      </c>
      <c r="C869" s="2" t="s">
        <v>836</v>
      </c>
      <c r="D869" s="2" t="s">
        <v>15</v>
      </c>
      <c r="E869" s="2" t="s">
        <v>79</v>
      </c>
      <c r="F869" s="2" t="s">
        <v>25</v>
      </c>
      <c r="G869" s="2" t="s">
        <v>40</v>
      </c>
      <c r="H869" s="2" t="s">
        <v>19</v>
      </c>
      <c r="I869" s="2">
        <v>2</v>
      </c>
      <c r="J869" s="2">
        <v>4172</v>
      </c>
      <c r="K869" s="2">
        <v>17</v>
      </c>
      <c r="L869" s="2">
        <v>6925.52</v>
      </c>
    </row>
    <row r="870" spans="1:12" x14ac:dyDescent="0.3">
      <c r="A870" s="2" t="s">
        <v>1518</v>
      </c>
      <c r="B870" s="2" t="s">
        <v>458</v>
      </c>
      <c r="C870" s="2" t="s">
        <v>705</v>
      </c>
      <c r="D870" s="2" t="s">
        <v>53</v>
      </c>
      <c r="E870" s="2" t="s">
        <v>31</v>
      </c>
      <c r="F870" s="2" t="s">
        <v>32</v>
      </c>
      <c r="G870" s="2" t="s">
        <v>62</v>
      </c>
      <c r="H870" s="2" t="s">
        <v>75</v>
      </c>
      <c r="I870" s="2">
        <v>4</v>
      </c>
      <c r="J870" s="2">
        <v>3993</v>
      </c>
      <c r="K870" s="2">
        <v>16</v>
      </c>
      <c r="L870" s="2">
        <v>13416.48</v>
      </c>
    </row>
    <row r="871" spans="1:12" x14ac:dyDescent="0.3">
      <c r="A871" s="2" t="s">
        <v>1519</v>
      </c>
      <c r="B871" s="2" t="s">
        <v>578</v>
      </c>
      <c r="C871" s="2" t="s">
        <v>1444</v>
      </c>
      <c r="D871" s="2" t="s">
        <v>88</v>
      </c>
      <c r="E871" s="2" t="s">
        <v>58</v>
      </c>
      <c r="F871" s="2" t="s">
        <v>17</v>
      </c>
      <c r="G871" s="2" t="s">
        <v>18</v>
      </c>
      <c r="H871" s="2" t="s">
        <v>44</v>
      </c>
      <c r="I871" s="2">
        <v>5</v>
      </c>
      <c r="J871" s="2">
        <v>3350</v>
      </c>
      <c r="K871" s="2">
        <v>0</v>
      </c>
      <c r="L871" s="2">
        <v>16750</v>
      </c>
    </row>
    <row r="872" spans="1:12" x14ac:dyDescent="0.3">
      <c r="A872" s="2" t="s">
        <v>1520</v>
      </c>
      <c r="B872" s="2" t="s">
        <v>1425</v>
      </c>
      <c r="C872" s="2" t="s">
        <v>461</v>
      </c>
      <c r="D872" s="2" t="s">
        <v>88</v>
      </c>
      <c r="E872" s="2" t="s">
        <v>16</v>
      </c>
      <c r="F872" s="2" t="s">
        <v>40</v>
      </c>
      <c r="G872" s="2" t="s">
        <v>54</v>
      </c>
      <c r="H872" s="2" t="s">
        <v>33</v>
      </c>
      <c r="I872" s="2">
        <v>1</v>
      </c>
      <c r="J872" s="2">
        <v>3180</v>
      </c>
      <c r="K872" s="2">
        <v>12</v>
      </c>
      <c r="L872" s="2">
        <v>2798.4</v>
      </c>
    </row>
    <row r="873" spans="1:12" x14ac:dyDescent="0.3">
      <c r="A873" s="2" t="s">
        <v>1521</v>
      </c>
      <c r="B873" s="2" t="s">
        <v>1394</v>
      </c>
      <c r="C873" s="2" t="s">
        <v>652</v>
      </c>
      <c r="D873" s="2" t="s">
        <v>15</v>
      </c>
      <c r="E873" s="2" t="s">
        <v>79</v>
      </c>
      <c r="F873" s="2" t="s">
        <v>49</v>
      </c>
      <c r="G873" s="2" t="s">
        <v>18</v>
      </c>
      <c r="H873" s="2" t="s">
        <v>44</v>
      </c>
      <c r="I873" s="2">
        <v>2</v>
      </c>
      <c r="J873" s="2">
        <v>4931</v>
      </c>
      <c r="K873" s="2">
        <v>15</v>
      </c>
      <c r="L873" s="2">
        <v>8382.7000000000007</v>
      </c>
    </row>
    <row r="874" spans="1:12" x14ac:dyDescent="0.3">
      <c r="A874" s="2" t="s">
        <v>1522</v>
      </c>
      <c r="B874" s="2" t="s">
        <v>1183</v>
      </c>
      <c r="C874" s="2" t="s">
        <v>99</v>
      </c>
      <c r="D874" s="2" t="s">
        <v>30</v>
      </c>
      <c r="E874" s="2" t="s">
        <v>68</v>
      </c>
      <c r="F874" s="2" t="s">
        <v>40</v>
      </c>
      <c r="G874" s="2" t="s">
        <v>54</v>
      </c>
      <c r="H874" s="2" t="s">
        <v>75</v>
      </c>
      <c r="I874" s="2">
        <v>2</v>
      </c>
      <c r="J874" s="2">
        <v>3636</v>
      </c>
      <c r="K874" s="2">
        <v>28</v>
      </c>
      <c r="L874" s="2">
        <v>5235.84</v>
      </c>
    </row>
    <row r="875" spans="1:12" x14ac:dyDescent="0.3">
      <c r="A875" s="2" t="s">
        <v>1523</v>
      </c>
      <c r="B875" s="2" t="s">
        <v>290</v>
      </c>
      <c r="C875" s="2" t="s">
        <v>94</v>
      </c>
      <c r="D875" s="2" t="s">
        <v>30</v>
      </c>
      <c r="E875" s="2" t="s">
        <v>31</v>
      </c>
      <c r="F875" s="2" t="s">
        <v>49</v>
      </c>
      <c r="G875" s="2" t="s">
        <v>62</v>
      </c>
      <c r="H875" s="2" t="s">
        <v>44</v>
      </c>
      <c r="I875" s="2">
        <v>1</v>
      </c>
      <c r="J875" s="2">
        <v>4775</v>
      </c>
      <c r="K875" s="2">
        <v>14</v>
      </c>
      <c r="L875" s="2">
        <v>4106.5</v>
      </c>
    </row>
    <row r="876" spans="1:12" x14ac:dyDescent="0.3">
      <c r="A876" s="2" t="s">
        <v>1524</v>
      </c>
      <c r="B876" s="2" t="s">
        <v>398</v>
      </c>
      <c r="C876" s="2" t="s">
        <v>502</v>
      </c>
      <c r="D876" s="2" t="s">
        <v>15</v>
      </c>
      <c r="E876" s="2" t="s">
        <v>79</v>
      </c>
      <c r="F876" s="2" t="s">
        <v>49</v>
      </c>
      <c r="G876" s="2" t="s">
        <v>18</v>
      </c>
      <c r="H876" s="2" t="s">
        <v>19</v>
      </c>
      <c r="I876" s="2">
        <v>4</v>
      </c>
      <c r="J876" s="2">
        <v>801</v>
      </c>
      <c r="K876" s="2">
        <v>21</v>
      </c>
      <c r="L876" s="2">
        <v>2531.16</v>
      </c>
    </row>
    <row r="877" spans="1:12" x14ac:dyDescent="0.3">
      <c r="A877" s="2" t="s">
        <v>1525</v>
      </c>
      <c r="B877" s="2" t="s">
        <v>906</v>
      </c>
      <c r="C877" s="2" t="s">
        <v>670</v>
      </c>
      <c r="D877" s="2" t="s">
        <v>23</v>
      </c>
      <c r="E877" s="2" t="s">
        <v>24</v>
      </c>
      <c r="F877" s="2" t="s">
        <v>25</v>
      </c>
      <c r="G877" s="2" t="s">
        <v>62</v>
      </c>
      <c r="H877" s="2" t="s">
        <v>33</v>
      </c>
      <c r="I877" s="2">
        <v>2</v>
      </c>
      <c r="J877" s="2">
        <v>2266</v>
      </c>
      <c r="K877" s="2">
        <v>24</v>
      </c>
      <c r="L877" s="2">
        <v>3444.32</v>
      </c>
    </row>
    <row r="878" spans="1:12" x14ac:dyDescent="0.3">
      <c r="A878" s="2" t="s">
        <v>1526</v>
      </c>
      <c r="B878" s="2" t="s">
        <v>482</v>
      </c>
      <c r="C878" s="2" t="s">
        <v>1243</v>
      </c>
      <c r="D878" s="2" t="s">
        <v>30</v>
      </c>
      <c r="E878" s="2" t="s">
        <v>24</v>
      </c>
      <c r="F878" s="2" t="s">
        <v>17</v>
      </c>
      <c r="G878" s="2" t="s">
        <v>18</v>
      </c>
      <c r="H878" s="2" t="s">
        <v>44</v>
      </c>
      <c r="I878" s="2">
        <v>4</v>
      </c>
      <c r="J878" s="2">
        <v>3839</v>
      </c>
      <c r="K878" s="2">
        <v>13</v>
      </c>
      <c r="L878" s="2">
        <v>13359.72</v>
      </c>
    </row>
    <row r="879" spans="1:12" x14ac:dyDescent="0.3">
      <c r="A879" s="2" t="s">
        <v>1527</v>
      </c>
      <c r="B879" s="2" t="s">
        <v>1528</v>
      </c>
      <c r="C879" s="2" t="s">
        <v>342</v>
      </c>
      <c r="D879" s="2" t="s">
        <v>23</v>
      </c>
      <c r="E879" s="2" t="s">
        <v>79</v>
      </c>
      <c r="F879" s="2" t="s">
        <v>49</v>
      </c>
      <c r="G879" s="2" t="s">
        <v>40</v>
      </c>
      <c r="H879" s="2" t="s">
        <v>75</v>
      </c>
      <c r="I879" s="2">
        <v>5</v>
      </c>
      <c r="J879" s="2">
        <v>2172</v>
      </c>
      <c r="K879" s="2">
        <v>11</v>
      </c>
      <c r="L879" s="2">
        <v>9665.4</v>
      </c>
    </row>
    <row r="880" spans="1:12" x14ac:dyDescent="0.3">
      <c r="A880" s="2" t="s">
        <v>1529</v>
      </c>
      <c r="B880" s="2" t="s">
        <v>1079</v>
      </c>
      <c r="C880" s="2" t="s">
        <v>700</v>
      </c>
      <c r="D880" s="2" t="s">
        <v>53</v>
      </c>
      <c r="E880" s="2" t="s">
        <v>79</v>
      </c>
      <c r="F880" s="2" t="s">
        <v>49</v>
      </c>
      <c r="G880" s="2" t="s">
        <v>54</v>
      </c>
      <c r="H880" s="2" t="s">
        <v>33</v>
      </c>
      <c r="I880" s="2">
        <v>2</v>
      </c>
      <c r="J880" s="2">
        <v>1888</v>
      </c>
      <c r="K880" s="2">
        <v>0</v>
      </c>
      <c r="L880" s="2">
        <v>3776</v>
      </c>
    </row>
    <row r="881" spans="1:12" x14ac:dyDescent="0.3">
      <c r="A881" s="2" t="s">
        <v>1530</v>
      </c>
      <c r="B881" s="2" t="s">
        <v>1211</v>
      </c>
      <c r="C881" s="2" t="s">
        <v>968</v>
      </c>
      <c r="D881" s="2" t="s">
        <v>15</v>
      </c>
      <c r="E881" s="2" t="s">
        <v>31</v>
      </c>
      <c r="F881" s="2" t="s">
        <v>40</v>
      </c>
      <c r="G881" s="2" t="s">
        <v>26</v>
      </c>
      <c r="H881" s="2" t="s">
        <v>33</v>
      </c>
      <c r="I881" s="2">
        <v>5</v>
      </c>
      <c r="J881" s="2">
        <v>2539</v>
      </c>
      <c r="K881" s="2">
        <v>26</v>
      </c>
      <c r="L881" s="2">
        <v>9394.2999999999993</v>
      </c>
    </row>
    <row r="882" spans="1:12" x14ac:dyDescent="0.3">
      <c r="A882" s="2" t="s">
        <v>1531</v>
      </c>
      <c r="B882" s="2" t="s">
        <v>1532</v>
      </c>
      <c r="C882" s="2" t="s">
        <v>43</v>
      </c>
      <c r="D882" s="2" t="s">
        <v>88</v>
      </c>
      <c r="E882" s="2" t="s">
        <v>68</v>
      </c>
      <c r="F882" s="2" t="s">
        <v>32</v>
      </c>
      <c r="G882" s="2" t="s">
        <v>62</v>
      </c>
      <c r="H882" s="2" t="s">
        <v>33</v>
      </c>
      <c r="I882" s="2">
        <v>4</v>
      </c>
      <c r="J882" s="2">
        <v>4337</v>
      </c>
      <c r="K882" s="2">
        <v>30</v>
      </c>
      <c r="L882" s="2">
        <v>12143.6</v>
      </c>
    </row>
    <row r="883" spans="1:12" x14ac:dyDescent="0.3">
      <c r="A883" s="2" t="s">
        <v>1533</v>
      </c>
      <c r="B883" s="2" t="s">
        <v>739</v>
      </c>
      <c r="C883" s="2" t="s">
        <v>441</v>
      </c>
      <c r="D883" s="2" t="s">
        <v>30</v>
      </c>
      <c r="E883" s="2" t="s">
        <v>79</v>
      </c>
      <c r="F883" s="2" t="s">
        <v>49</v>
      </c>
      <c r="G883" s="2" t="s">
        <v>40</v>
      </c>
      <c r="H883" s="2" t="s">
        <v>19</v>
      </c>
      <c r="I883" s="2">
        <v>5</v>
      </c>
      <c r="J883" s="2">
        <v>2557</v>
      </c>
      <c r="K883" s="2">
        <v>28</v>
      </c>
      <c r="L883" s="2">
        <v>9205.2000000000007</v>
      </c>
    </row>
    <row r="884" spans="1:12" x14ac:dyDescent="0.3">
      <c r="A884" s="2" t="s">
        <v>1534</v>
      </c>
      <c r="B884" s="2" t="s">
        <v>369</v>
      </c>
      <c r="C884" s="2" t="s">
        <v>407</v>
      </c>
      <c r="D884" s="2" t="s">
        <v>23</v>
      </c>
      <c r="E884" s="2" t="s">
        <v>48</v>
      </c>
      <c r="F884" s="2" t="s">
        <v>17</v>
      </c>
      <c r="G884" s="2" t="s">
        <v>62</v>
      </c>
      <c r="H884" s="2" t="s">
        <v>44</v>
      </c>
      <c r="I884" s="2">
        <v>2</v>
      </c>
      <c r="J884" s="2">
        <v>451</v>
      </c>
      <c r="K884" s="2">
        <v>0</v>
      </c>
      <c r="L884" s="2">
        <v>902</v>
      </c>
    </row>
    <row r="885" spans="1:12" x14ac:dyDescent="0.3">
      <c r="A885" s="2" t="s">
        <v>1535</v>
      </c>
      <c r="B885" s="2" t="s">
        <v>213</v>
      </c>
      <c r="C885" s="2" t="s">
        <v>305</v>
      </c>
      <c r="D885" s="2" t="s">
        <v>15</v>
      </c>
      <c r="E885" s="2" t="s">
        <v>16</v>
      </c>
      <c r="F885" s="2" t="s">
        <v>17</v>
      </c>
      <c r="G885" s="2" t="s">
        <v>62</v>
      </c>
      <c r="H885" s="2" t="s">
        <v>44</v>
      </c>
      <c r="I885" s="2">
        <v>2</v>
      </c>
      <c r="J885" s="2">
        <v>4100</v>
      </c>
      <c r="K885" s="2">
        <v>22</v>
      </c>
      <c r="L885" s="2">
        <v>6396</v>
      </c>
    </row>
    <row r="886" spans="1:12" x14ac:dyDescent="0.3">
      <c r="A886" s="2" t="s">
        <v>1536</v>
      </c>
      <c r="B886" s="2" t="s">
        <v>1482</v>
      </c>
      <c r="C886" s="2" t="s">
        <v>748</v>
      </c>
      <c r="D886" s="2" t="s">
        <v>23</v>
      </c>
      <c r="E886" s="2" t="s">
        <v>79</v>
      </c>
      <c r="F886" s="2" t="s">
        <v>25</v>
      </c>
      <c r="G886" s="2" t="s">
        <v>62</v>
      </c>
      <c r="H886" s="2" t="s">
        <v>19</v>
      </c>
      <c r="I886" s="2">
        <v>5</v>
      </c>
      <c r="J886" s="2">
        <v>3280</v>
      </c>
      <c r="K886" s="2">
        <v>19</v>
      </c>
      <c r="L886" s="2">
        <v>13284</v>
      </c>
    </row>
    <row r="887" spans="1:12" x14ac:dyDescent="0.3">
      <c r="A887" s="2" t="s">
        <v>1537</v>
      </c>
      <c r="B887" s="2" t="s">
        <v>1144</v>
      </c>
      <c r="C887" s="2" t="s">
        <v>1538</v>
      </c>
      <c r="D887" s="2" t="s">
        <v>23</v>
      </c>
      <c r="E887" s="2" t="s">
        <v>31</v>
      </c>
      <c r="F887" s="2" t="s">
        <v>49</v>
      </c>
      <c r="G887" s="2" t="s">
        <v>40</v>
      </c>
      <c r="H887" s="2" t="s">
        <v>19</v>
      </c>
      <c r="I887" s="2">
        <v>5</v>
      </c>
      <c r="J887" s="2">
        <v>1085</v>
      </c>
      <c r="K887" s="2">
        <v>17</v>
      </c>
      <c r="L887" s="2">
        <v>4502.75</v>
      </c>
    </row>
    <row r="888" spans="1:12" x14ac:dyDescent="0.3">
      <c r="A888" s="2" t="s">
        <v>1539</v>
      </c>
      <c r="B888" s="2" t="s">
        <v>1072</v>
      </c>
      <c r="C888" s="2" t="s">
        <v>1540</v>
      </c>
      <c r="D888" s="2" t="s">
        <v>15</v>
      </c>
      <c r="E888" s="2" t="s">
        <v>24</v>
      </c>
      <c r="F888" s="2" t="s">
        <v>49</v>
      </c>
      <c r="G888" s="2" t="s">
        <v>26</v>
      </c>
      <c r="H888" s="2" t="s">
        <v>19</v>
      </c>
      <c r="I888" s="2">
        <v>3</v>
      </c>
      <c r="J888" s="2">
        <v>934</v>
      </c>
      <c r="K888" s="2">
        <v>15</v>
      </c>
      <c r="L888" s="2">
        <v>2381.6999999999998</v>
      </c>
    </row>
    <row r="889" spans="1:12" x14ac:dyDescent="0.3">
      <c r="A889" s="2" t="s">
        <v>1541</v>
      </c>
      <c r="B889" s="2" t="s">
        <v>752</v>
      </c>
      <c r="C889" s="2" t="s">
        <v>719</v>
      </c>
      <c r="D889" s="2" t="s">
        <v>15</v>
      </c>
      <c r="E889" s="2" t="s">
        <v>16</v>
      </c>
      <c r="F889" s="2" t="s">
        <v>40</v>
      </c>
      <c r="G889" s="2" t="s">
        <v>54</v>
      </c>
      <c r="H889" s="2" t="s">
        <v>19</v>
      </c>
      <c r="I889" s="2">
        <v>3</v>
      </c>
      <c r="J889" s="2">
        <v>549</v>
      </c>
      <c r="K889" s="2">
        <v>8</v>
      </c>
      <c r="L889" s="2">
        <v>1515.24</v>
      </c>
    </row>
    <row r="890" spans="1:12" x14ac:dyDescent="0.3">
      <c r="A890" s="2" t="s">
        <v>1542</v>
      </c>
      <c r="B890" s="2" t="s">
        <v>825</v>
      </c>
      <c r="C890" s="2" t="s">
        <v>878</v>
      </c>
      <c r="D890" s="2" t="s">
        <v>88</v>
      </c>
      <c r="E890" s="2" t="s">
        <v>68</v>
      </c>
      <c r="F890" s="2" t="s">
        <v>49</v>
      </c>
      <c r="G890" s="2" t="s">
        <v>26</v>
      </c>
      <c r="H890" s="2" t="s">
        <v>33</v>
      </c>
      <c r="I890" s="2">
        <v>4</v>
      </c>
      <c r="J890" s="2">
        <v>3242</v>
      </c>
      <c r="K890" s="2">
        <v>23</v>
      </c>
      <c r="L890" s="2">
        <v>9985.36</v>
      </c>
    </row>
    <row r="891" spans="1:12" x14ac:dyDescent="0.3">
      <c r="A891" s="2" t="s">
        <v>1543</v>
      </c>
      <c r="B891" s="2" t="s">
        <v>403</v>
      </c>
      <c r="C891" s="2" t="s">
        <v>124</v>
      </c>
      <c r="D891" s="2" t="s">
        <v>88</v>
      </c>
      <c r="E891" s="2" t="s">
        <v>58</v>
      </c>
      <c r="F891" s="2" t="s">
        <v>17</v>
      </c>
      <c r="G891" s="2" t="s">
        <v>26</v>
      </c>
      <c r="H891" s="2" t="s">
        <v>44</v>
      </c>
      <c r="I891" s="2">
        <v>1</v>
      </c>
      <c r="J891" s="2">
        <v>2208</v>
      </c>
      <c r="K891" s="2">
        <v>8</v>
      </c>
      <c r="L891" s="2">
        <v>2031.36</v>
      </c>
    </row>
    <row r="892" spans="1:12" x14ac:dyDescent="0.3">
      <c r="A892" s="2" t="s">
        <v>1544</v>
      </c>
      <c r="B892" s="2" t="s">
        <v>1545</v>
      </c>
      <c r="C892" s="2" t="s">
        <v>97</v>
      </c>
      <c r="D892" s="2" t="s">
        <v>15</v>
      </c>
      <c r="E892" s="2" t="s">
        <v>24</v>
      </c>
      <c r="F892" s="2" t="s">
        <v>40</v>
      </c>
      <c r="G892" s="2" t="s">
        <v>40</v>
      </c>
      <c r="H892" s="2" t="s">
        <v>33</v>
      </c>
      <c r="I892" s="2">
        <v>5</v>
      </c>
      <c r="J892" s="2">
        <v>484</v>
      </c>
      <c r="K892" s="2">
        <v>26</v>
      </c>
      <c r="L892" s="2">
        <v>1790.8</v>
      </c>
    </row>
    <row r="893" spans="1:12" x14ac:dyDescent="0.3">
      <c r="A893" s="2" t="s">
        <v>1546</v>
      </c>
      <c r="B893" s="2" t="s">
        <v>366</v>
      </c>
      <c r="C893" s="2" t="s">
        <v>342</v>
      </c>
      <c r="D893" s="2" t="s">
        <v>23</v>
      </c>
      <c r="E893" s="2" t="s">
        <v>68</v>
      </c>
      <c r="F893" s="2" t="s">
        <v>49</v>
      </c>
      <c r="G893" s="2" t="s">
        <v>18</v>
      </c>
      <c r="H893" s="2" t="s">
        <v>44</v>
      </c>
      <c r="I893" s="2">
        <v>2</v>
      </c>
      <c r="J893" s="2">
        <v>2600</v>
      </c>
      <c r="K893" s="2">
        <v>20</v>
      </c>
      <c r="L893" s="2">
        <v>4160</v>
      </c>
    </row>
    <row r="894" spans="1:12" x14ac:dyDescent="0.3">
      <c r="A894" s="2" t="s">
        <v>1547</v>
      </c>
      <c r="B894" s="2" t="s">
        <v>21</v>
      </c>
      <c r="C894" s="2" t="s">
        <v>1133</v>
      </c>
      <c r="D894" s="2" t="s">
        <v>88</v>
      </c>
      <c r="E894" s="2" t="s">
        <v>79</v>
      </c>
      <c r="F894" s="2" t="s">
        <v>25</v>
      </c>
      <c r="G894" s="2" t="s">
        <v>26</v>
      </c>
      <c r="H894" s="2" t="s">
        <v>19</v>
      </c>
      <c r="I894" s="2">
        <v>1</v>
      </c>
      <c r="J894" s="2">
        <v>281</v>
      </c>
      <c r="K894" s="2">
        <v>27</v>
      </c>
      <c r="L894" s="2">
        <v>205.13</v>
      </c>
    </row>
    <row r="895" spans="1:12" x14ac:dyDescent="0.3">
      <c r="A895" s="2" t="s">
        <v>1548</v>
      </c>
      <c r="B895" s="2" t="s">
        <v>168</v>
      </c>
      <c r="C895" s="2" t="s">
        <v>493</v>
      </c>
      <c r="D895" s="2" t="s">
        <v>53</v>
      </c>
      <c r="E895" s="2" t="s">
        <v>16</v>
      </c>
      <c r="F895" s="2" t="s">
        <v>40</v>
      </c>
      <c r="G895" s="2" t="s">
        <v>40</v>
      </c>
      <c r="H895" s="2" t="s">
        <v>19</v>
      </c>
      <c r="I895" s="2">
        <v>2</v>
      </c>
      <c r="J895" s="2">
        <v>3233</v>
      </c>
      <c r="K895" s="2">
        <v>0</v>
      </c>
      <c r="L895" s="2">
        <v>6466</v>
      </c>
    </row>
    <row r="896" spans="1:12" x14ac:dyDescent="0.3">
      <c r="A896" s="2" t="s">
        <v>1549</v>
      </c>
      <c r="B896" s="2" t="s">
        <v>645</v>
      </c>
      <c r="C896" s="2" t="s">
        <v>328</v>
      </c>
      <c r="D896" s="2" t="s">
        <v>15</v>
      </c>
      <c r="E896" s="2" t="s">
        <v>31</v>
      </c>
      <c r="F896" s="2" t="s">
        <v>32</v>
      </c>
      <c r="G896" s="2" t="s">
        <v>62</v>
      </c>
      <c r="H896" s="2" t="s">
        <v>33</v>
      </c>
      <c r="I896" s="2">
        <v>4</v>
      </c>
      <c r="J896" s="2">
        <v>1560</v>
      </c>
      <c r="K896" s="2">
        <v>1</v>
      </c>
      <c r="L896" s="2">
        <v>6177.6</v>
      </c>
    </row>
    <row r="897" spans="1:12" x14ac:dyDescent="0.3">
      <c r="A897" s="2" t="s">
        <v>1550</v>
      </c>
      <c r="B897" s="2" t="s">
        <v>498</v>
      </c>
      <c r="C897" s="2" t="s">
        <v>350</v>
      </c>
      <c r="D897" s="2" t="s">
        <v>30</v>
      </c>
      <c r="E897" s="2" t="s">
        <v>48</v>
      </c>
      <c r="F897" s="2" t="s">
        <v>32</v>
      </c>
      <c r="G897" s="2" t="s">
        <v>40</v>
      </c>
      <c r="H897" s="2" t="s">
        <v>44</v>
      </c>
      <c r="I897" s="2">
        <v>1</v>
      </c>
      <c r="J897" s="2">
        <v>604</v>
      </c>
      <c r="K897" s="2">
        <v>28</v>
      </c>
      <c r="L897" s="2">
        <v>434.88</v>
      </c>
    </row>
    <row r="898" spans="1:12" x14ac:dyDescent="0.3">
      <c r="A898" s="2" t="s">
        <v>1551</v>
      </c>
      <c r="B898" s="2" t="s">
        <v>1552</v>
      </c>
      <c r="C898" s="2" t="s">
        <v>1276</v>
      </c>
      <c r="D898" s="2" t="s">
        <v>88</v>
      </c>
      <c r="E898" s="2" t="s">
        <v>31</v>
      </c>
      <c r="F898" s="2" t="s">
        <v>32</v>
      </c>
      <c r="G898" s="2" t="s">
        <v>62</v>
      </c>
      <c r="H898" s="2" t="s">
        <v>44</v>
      </c>
      <c r="I898" s="2">
        <v>4</v>
      </c>
      <c r="J898" s="2">
        <v>4458</v>
      </c>
      <c r="K898" s="2">
        <v>5</v>
      </c>
      <c r="L898" s="2">
        <v>16940.400000000001</v>
      </c>
    </row>
    <row r="899" spans="1:12" x14ac:dyDescent="0.3">
      <c r="A899" s="2" t="s">
        <v>1553</v>
      </c>
      <c r="B899" s="2" t="s">
        <v>300</v>
      </c>
      <c r="C899" s="2" t="s">
        <v>180</v>
      </c>
      <c r="D899" s="2" t="s">
        <v>15</v>
      </c>
      <c r="E899" s="2" t="s">
        <v>68</v>
      </c>
      <c r="F899" s="2" t="s">
        <v>25</v>
      </c>
      <c r="G899" s="2" t="s">
        <v>26</v>
      </c>
      <c r="H899" s="2" t="s">
        <v>75</v>
      </c>
      <c r="I899" s="2">
        <v>1</v>
      </c>
      <c r="J899" s="2">
        <v>2987</v>
      </c>
      <c r="K899" s="2">
        <v>18</v>
      </c>
      <c r="L899" s="2">
        <v>2449.34</v>
      </c>
    </row>
    <row r="900" spans="1:12" x14ac:dyDescent="0.3">
      <c r="A900" s="2" t="s">
        <v>1554</v>
      </c>
      <c r="B900" s="2" t="s">
        <v>38</v>
      </c>
      <c r="C900" s="2" t="s">
        <v>87</v>
      </c>
      <c r="D900" s="2" t="s">
        <v>53</v>
      </c>
      <c r="E900" s="2" t="s">
        <v>79</v>
      </c>
      <c r="F900" s="2" t="s">
        <v>17</v>
      </c>
      <c r="G900" s="2" t="s">
        <v>40</v>
      </c>
      <c r="H900" s="2" t="s">
        <v>33</v>
      </c>
      <c r="I900" s="2">
        <v>3</v>
      </c>
      <c r="J900" s="2">
        <v>3887</v>
      </c>
      <c r="K900" s="2">
        <v>3</v>
      </c>
      <c r="L900" s="2">
        <v>11311.17</v>
      </c>
    </row>
    <row r="901" spans="1:12" x14ac:dyDescent="0.3">
      <c r="A901" s="2" t="s">
        <v>1555</v>
      </c>
      <c r="B901" s="2" t="s">
        <v>572</v>
      </c>
      <c r="C901" s="2" t="s">
        <v>238</v>
      </c>
      <c r="D901" s="2" t="s">
        <v>88</v>
      </c>
      <c r="E901" s="2" t="s">
        <v>31</v>
      </c>
      <c r="F901" s="2" t="s">
        <v>49</v>
      </c>
      <c r="G901" s="2" t="s">
        <v>62</v>
      </c>
      <c r="H901" s="2" t="s">
        <v>75</v>
      </c>
      <c r="I901" s="2">
        <v>4</v>
      </c>
      <c r="J901" s="2">
        <v>406</v>
      </c>
      <c r="K901" s="2">
        <v>3</v>
      </c>
      <c r="L901" s="2">
        <v>1575.28</v>
      </c>
    </row>
    <row r="902" spans="1:12" x14ac:dyDescent="0.3">
      <c r="A902" s="2" t="s">
        <v>1556</v>
      </c>
      <c r="B902" s="2" t="s">
        <v>337</v>
      </c>
      <c r="C902" s="2" t="s">
        <v>468</v>
      </c>
      <c r="D902" s="2" t="s">
        <v>15</v>
      </c>
      <c r="E902" s="2" t="s">
        <v>48</v>
      </c>
      <c r="F902" s="2" t="s">
        <v>32</v>
      </c>
      <c r="G902" s="2" t="s">
        <v>40</v>
      </c>
      <c r="H902" s="2" t="s">
        <v>75</v>
      </c>
      <c r="I902" s="2">
        <v>5</v>
      </c>
      <c r="J902" s="2">
        <v>3756</v>
      </c>
      <c r="K902" s="2">
        <v>14</v>
      </c>
      <c r="L902" s="2">
        <v>16150.8</v>
      </c>
    </row>
    <row r="903" spans="1:12" x14ac:dyDescent="0.3">
      <c r="A903" s="2" t="s">
        <v>1557</v>
      </c>
      <c r="B903" s="2" t="s">
        <v>1265</v>
      </c>
      <c r="C903" s="2" t="s">
        <v>858</v>
      </c>
      <c r="D903" s="2" t="s">
        <v>88</v>
      </c>
      <c r="E903" s="2" t="s">
        <v>68</v>
      </c>
      <c r="F903" s="2" t="s">
        <v>17</v>
      </c>
      <c r="G903" s="2" t="s">
        <v>40</v>
      </c>
      <c r="H903" s="2" t="s">
        <v>19</v>
      </c>
      <c r="I903" s="2">
        <v>1</v>
      </c>
      <c r="J903" s="2">
        <v>4502</v>
      </c>
      <c r="K903" s="2">
        <v>25</v>
      </c>
      <c r="L903" s="2">
        <v>3376.5</v>
      </c>
    </row>
    <row r="904" spans="1:12" x14ac:dyDescent="0.3">
      <c r="A904" s="2" t="s">
        <v>1558</v>
      </c>
      <c r="B904" s="2" t="s">
        <v>677</v>
      </c>
      <c r="C904" s="2" t="s">
        <v>267</v>
      </c>
      <c r="D904" s="2" t="s">
        <v>88</v>
      </c>
      <c r="E904" s="2" t="s">
        <v>24</v>
      </c>
      <c r="F904" s="2" t="s">
        <v>32</v>
      </c>
      <c r="G904" s="2" t="s">
        <v>62</v>
      </c>
      <c r="H904" s="2" t="s">
        <v>19</v>
      </c>
      <c r="I904" s="2">
        <v>1</v>
      </c>
      <c r="J904" s="2">
        <v>4971</v>
      </c>
      <c r="K904" s="2">
        <v>0</v>
      </c>
      <c r="L904" s="2">
        <v>4971</v>
      </c>
    </row>
    <row r="905" spans="1:12" x14ac:dyDescent="0.3">
      <c r="A905" s="2" t="s">
        <v>1559</v>
      </c>
      <c r="B905" s="2" t="s">
        <v>330</v>
      </c>
      <c r="C905" s="2" t="s">
        <v>230</v>
      </c>
      <c r="D905" s="2" t="s">
        <v>23</v>
      </c>
      <c r="E905" s="2" t="s">
        <v>58</v>
      </c>
      <c r="F905" s="2" t="s">
        <v>25</v>
      </c>
      <c r="G905" s="2" t="s">
        <v>62</v>
      </c>
      <c r="H905" s="2" t="s">
        <v>75</v>
      </c>
      <c r="I905" s="2">
        <v>3</v>
      </c>
      <c r="J905" s="2">
        <v>3374</v>
      </c>
      <c r="K905" s="2">
        <v>6</v>
      </c>
      <c r="L905" s="2">
        <v>9514.68</v>
      </c>
    </row>
    <row r="906" spans="1:12" x14ac:dyDescent="0.3">
      <c r="A906" s="2" t="s">
        <v>1560</v>
      </c>
      <c r="B906" s="2" t="s">
        <v>1201</v>
      </c>
      <c r="C906" s="2" t="s">
        <v>1561</v>
      </c>
      <c r="D906" s="2" t="s">
        <v>30</v>
      </c>
      <c r="E906" s="2" t="s">
        <v>58</v>
      </c>
      <c r="F906" s="2" t="s">
        <v>49</v>
      </c>
      <c r="G906" s="2" t="s">
        <v>62</v>
      </c>
      <c r="H906" s="2" t="s">
        <v>44</v>
      </c>
      <c r="I906" s="2">
        <v>5</v>
      </c>
      <c r="J906" s="2">
        <v>1347</v>
      </c>
      <c r="K906" s="2">
        <v>24</v>
      </c>
      <c r="L906" s="2">
        <v>5118.6000000000004</v>
      </c>
    </row>
    <row r="907" spans="1:12" x14ac:dyDescent="0.3">
      <c r="A907" s="2" t="s">
        <v>1562</v>
      </c>
      <c r="B907" s="2" t="s">
        <v>1137</v>
      </c>
      <c r="C907" s="2" t="s">
        <v>814</v>
      </c>
      <c r="D907" s="2" t="s">
        <v>88</v>
      </c>
      <c r="E907" s="2" t="s">
        <v>16</v>
      </c>
      <c r="F907" s="2" t="s">
        <v>32</v>
      </c>
      <c r="G907" s="2" t="s">
        <v>18</v>
      </c>
      <c r="H907" s="2" t="s">
        <v>75</v>
      </c>
      <c r="I907" s="2">
        <v>1</v>
      </c>
      <c r="J907" s="2">
        <v>4223</v>
      </c>
      <c r="K907" s="2">
        <v>24</v>
      </c>
      <c r="L907" s="2">
        <v>3209.48</v>
      </c>
    </row>
    <row r="908" spans="1:12" x14ac:dyDescent="0.3">
      <c r="A908" s="2" t="s">
        <v>1563</v>
      </c>
      <c r="B908" s="2" t="s">
        <v>901</v>
      </c>
      <c r="C908" s="2" t="s">
        <v>955</v>
      </c>
      <c r="D908" s="2" t="s">
        <v>23</v>
      </c>
      <c r="E908" s="2" t="s">
        <v>24</v>
      </c>
      <c r="F908" s="2" t="s">
        <v>40</v>
      </c>
      <c r="G908" s="2" t="s">
        <v>18</v>
      </c>
      <c r="H908" s="2" t="s">
        <v>44</v>
      </c>
      <c r="I908" s="2">
        <v>3</v>
      </c>
      <c r="J908" s="2">
        <v>1342</v>
      </c>
      <c r="K908" s="2">
        <v>22</v>
      </c>
      <c r="L908" s="2">
        <v>3140.28</v>
      </c>
    </row>
    <row r="909" spans="1:12" x14ac:dyDescent="0.3">
      <c r="A909" s="2" t="s">
        <v>1564</v>
      </c>
      <c r="B909" s="2" t="s">
        <v>307</v>
      </c>
      <c r="C909" s="2" t="s">
        <v>1080</v>
      </c>
      <c r="D909" s="2" t="s">
        <v>23</v>
      </c>
      <c r="E909" s="2" t="s">
        <v>31</v>
      </c>
      <c r="F909" s="2" t="s">
        <v>25</v>
      </c>
      <c r="G909" s="2" t="s">
        <v>18</v>
      </c>
      <c r="H909" s="2" t="s">
        <v>33</v>
      </c>
      <c r="I909" s="2">
        <v>1</v>
      </c>
      <c r="J909" s="2">
        <v>803</v>
      </c>
      <c r="K909" s="2">
        <v>16</v>
      </c>
      <c r="L909" s="2">
        <v>674.52</v>
      </c>
    </row>
    <row r="910" spans="1:12" x14ac:dyDescent="0.3">
      <c r="A910" s="2" t="s">
        <v>1565</v>
      </c>
      <c r="B910" s="2" t="s">
        <v>739</v>
      </c>
      <c r="C910" s="2" t="s">
        <v>191</v>
      </c>
      <c r="D910" s="2" t="s">
        <v>53</v>
      </c>
      <c r="E910" s="2" t="s">
        <v>16</v>
      </c>
      <c r="F910" s="2" t="s">
        <v>40</v>
      </c>
      <c r="G910" s="2" t="s">
        <v>26</v>
      </c>
      <c r="H910" s="2" t="s">
        <v>33</v>
      </c>
      <c r="I910" s="2">
        <v>5</v>
      </c>
      <c r="J910" s="2">
        <v>2059</v>
      </c>
      <c r="K910" s="2">
        <v>25</v>
      </c>
      <c r="L910" s="2">
        <v>7721.25</v>
      </c>
    </row>
    <row r="911" spans="1:12" x14ac:dyDescent="0.3">
      <c r="A911" s="2" t="s">
        <v>1566</v>
      </c>
      <c r="B911" s="2" t="s">
        <v>704</v>
      </c>
      <c r="C911" s="2" t="s">
        <v>682</v>
      </c>
      <c r="D911" s="2" t="s">
        <v>23</v>
      </c>
      <c r="E911" s="2" t="s">
        <v>24</v>
      </c>
      <c r="F911" s="2" t="s">
        <v>49</v>
      </c>
      <c r="G911" s="2" t="s">
        <v>26</v>
      </c>
      <c r="H911" s="2" t="s">
        <v>19</v>
      </c>
      <c r="I911" s="2">
        <v>4</v>
      </c>
      <c r="J911" s="2">
        <v>2218</v>
      </c>
      <c r="K911" s="2">
        <v>10</v>
      </c>
      <c r="L911" s="2">
        <v>7984.8</v>
      </c>
    </row>
    <row r="912" spans="1:12" x14ac:dyDescent="0.3">
      <c r="A912" s="2" t="s">
        <v>1567</v>
      </c>
      <c r="B912" s="2" t="s">
        <v>856</v>
      </c>
      <c r="C912" s="2" t="s">
        <v>1057</v>
      </c>
      <c r="D912" s="2" t="s">
        <v>88</v>
      </c>
      <c r="E912" s="2" t="s">
        <v>79</v>
      </c>
      <c r="F912" s="2" t="s">
        <v>17</v>
      </c>
      <c r="G912" s="2" t="s">
        <v>40</v>
      </c>
      <c r="H912" s="2" t="s">
        <v>33</v>
      </c>
      <c r="I912" s="2">
        <v>2</v>
      </c>
      <c r="J912" s="2">
        <v>1147</v>
      </c>
      <c r="K912" s="2">
        <v>21</v>
      </c>
      <c r="L912" s="2">
        <v>1812.26</v>
      </c>
    </row>
    <row r="913" spans="1:12" x14ac:dyDescent="0.3">
      <c r="A913" s="2" t="s">
        <v>1568</v>
      </c>
      <c r="B913" s="2" t="s">
        <v>309</v>
      </c>
      <c r="C913" s="2" t="s">
        <v>331</v>
      </c>
      <c r="D913" s="2" t="s">
        <v>53</v>
      </c>
      <c r="E913" s="2" t="s">
        <v>24</v>
      </c>
      <c r="F913" s="2" t="s">
        <v>17</v>
      </c>
      <c r="G913" s="2" t="s">
        <v>40</v>
      </c>
      <c r="H913" s="2" t="s">
        <v>75</v>
      </c>
      <c r="I913" s="2">
        <v>3</v>
      </c>
      <c r="J913" s="2">
        <v>2519</v>
      </c>
      <c r="K913" s="2">
        <v>10</v>
      </c>
      <c r="L913" s="2">
        <v>6801.3</v>
      </c>
    </row>
    <row r="914" spans="1:12" x14ac:dyDescent="0.3">
      <c r="A914" s="2" t="s">
        <v>1569</v>
      </c>
      <c r="B914" s="2" t="s">
        <v>1338</v>
      </c>
      <c r="C914" s="2" t="s">
        <v>438</v>
      </c>
      <c r="D914" s="2" t="s">
        <v>15</v>
      </c>
      <c r="E914" s="2" t="s">
        <v>58</v>
      </c>
      <c r="F914" s="2" t="s">
        <v>17</v>
      </c>
      <c r="G914" s="2" t="s">
        <v>18</v>
      </c>
      <c r="H914" s="2" t="s">
        <v>33</v>
      </c>
      <c r="I914" s="2">
        <v>4</v>
      </c>
      <c r="J914" s="2">
        <v>1866</v>
      </c>
      <c r="K914" s="2">
        <v>11</v>
      </c>
      <c r="L914" s="2">
        <v>6642.96</v>
      </c>
    </row>
    <row r="915" spans="1:12" x14ac:dyDescent="0.3">
      <c r="A915" s="2" t="s">
        <v>1570</v>
      </c>
      <c r="B915" s="2" t="s">
        <v>1489</v>
      </c>
      <c r="C915" s="2" t="s">
        <v>524</v>
      </c>
      <c r="D915" s="2" t="s">
        <v>30</v>
      </c>
      <c r="E915" s="2" t="s">
        <v>79</v>
      </c>
      <c r="F915" s="2" t="s">
        <v>49</v>
      </c>
      <c r="G915" s="2" t="s">
        <v>62</v>
      </c>
      <c r="H915" s="2" t="s">
        <v>44</v>
      </c>
      <c r="I915" s="2">
        <v>4</v>
      </c>
      <c r="J915" s="2">
        <v>4405</v>
      </c>
      <c r="K915" s="2">
        <v>2</v>
      </c>
      <c r="L915" s="2">
        <v>17267.599999999999</v>
      </c>
    </row>
    <row r="916" spans="1:12" x14ac:dyDescent="0.3">
      <c r="A916" s="2" t="s">
        <v>1571</v>
      </c>
      <c r="B916" s="2" t="s">
        <v>443</v>
      </c>
      <c r="C916" s="2" t="s">
        <v>860</v>
      </c>
      <c r="D916" s="2" t="s">
        <v>15</v>
      </c>
      <c r="E916" s="2" t="s">
        <v>31</v>
      </c>
      <c r="F916" s="2" t="s">
        <v>32</v>
      </c>
      <c r="G916" s="2" t="s">
        <v>62</v>
      </c>
      <c r="H916" s="2" t="s">
        <v>44</v>
      </c>
      <c r="I916" s="2">
        <v>5</v>
      </c>
      <c r="J916" s="2">
        <v>885</v>
      </c>
      <c r="K916" s="2">
        <v>17</v>
      </c>
      <c r="L916" s="2">
        <v>3672.75</v>
      </c>
    </row>
    <row r="917" spans="1:12" x14ac:dyDescent="0.3">
      <c r="A917" s="2" t="s">
        <v>1572</v>
      </c>
      <c r="B917" s="2" t="s">
        <v>1552</v>
      </c>
      <c r="C917" s="2" t="s">
        <v>496</v>
      </c>
      <c r="D917" s="2" t="s">
        <v>23</v>
      </c>
      <c r="E917" s="2" t="s">
        <v>24</v>
      </c>
      <c r="F917" s="2" t="s">
        <v>17</v>
      </c>
      <c r="G917" s="2" t="s">
        <v>18</v>
      </c>
      <c r="H917" s="2" t="s">
        <v>19</v>
      </c>
      <c r="I917" s="2">
        <v>2</v>
      </c>
      <c r="J917" s="2">
        <v>3570</v>
      </c>
      <c r="K917" s="2">
        <v>1</v>
      </c>
      <c r="L917" s="2">
        <v>7068.6</v>
      </c>
    </row>
    <row r="918" spans="1:12" x14ac:dyDescent="0.3">
      <c r="A918" s="2" t="s">
        <v>1573</v>
      </c>
      <c r="B918" s="2" t="s">
        <v>458</v>
      </c>
      <c r="C918" s="2" t="s">
        <v>166</v>
      </c>
      <c r="D918" s="2" t="s">
        <v>15</v>
      </c>
      <c r="E918" s="2" t="s">
        <v>31</v>
      </c>
      <c r="F918" s="2" t="s">
        <v>32</v>
      </c>
      <c r="G918" s="2" t="s">
        <v>40</v>
      </c>
      <c r="H918" s="2" t="s">
        <v>44</v>
      </c>
      <c r="I918" s="2">
        <v>1</v>
      </c>
      <c r="J918" s="2">
        <v>3240</v>
      </c>
      <c r="K918" s="2">
        <v>16</v>
      </c>
      <c r="L918" s="2">
        <v>2721.6</v>
      </c>
    </row>
    <row r="919" spans="1:12" x14ac:dyDescent="0.3">
      <c r="A919" s="2" t="s">
        <v>1574</v>
      </c>
      <c r="B919" s="2" t="s">
        <v>1098</v>
      </c>
      <c r="C919" s="2" t="s">
        <v>291</v>
      </c>
      <c r="D919" s="2" t="s">
        <v>23</v>
      </c>
      <c r="E919" s="2" t="s">
        <v>79</v>
      </c>
      <c r="F919" s="2" t="s">
        <v>25</v>
      </c>
      <c r="G919" s="2" t="s">
        <v>54</v>
      </c>
      <c r="H919" s="2" t="s">
        <v>33</v>
      </c>
      <c r="I919" s="2">
        <v>5</v>
      </c>
      <c r="J919" s="2">
        <v>3955</v>
      </c>
      <c r="K919" s="2">
        <v>25</v>
      </c>
      <c r="L919" s="2">
        <v>14831.25</v>
      </c>
    </row>
    <row r="920" spans="1:12" x14ac:dyDescent="0.3">
      <c r="A920" s="2" t="s">
        <v>1575</v>
      </c>
      <c r="B920" s="2" t="s">
        <v>1025</v>
      </c>
      <c r="C920" s="2" t="s">
        <v>367</v>
      </c>
      <c r="D920" s="2" t="s">
        <v>15</v>
      </c>
      <c r="E920" s="2" t="s">
        <v>68</v>
      </c>
      <c r="F920" s="2" t="s">
        <v>25</v>
      </c>
      <c r="G920" s="2" t="s">
        <v>62</v>
      </c>
      <c r="H920" s="2" t="s">
        <v>33</v>
      </c>
      <c r="I920" s="2">
        <v>1</v>
      </c>
      <c r="J920" s="2">
        <v>2969</v>
      </c>
      <c r="K920" s="2">
        <v>4</v>
      </c>
      <c r="L920" s="2">
        <v>2850.24</v>
      </c>
    </row>
    <row r="921" spans="1:12" x14ac:dyDescent="0.3">
      <c r="A921" s="2" t="s">
        <v>1576</v>
      </c>
      <c r="B921" s="2" t="s">
        <v>1577</v>
      </c>
      <c r="C921" s="2" t="s">
        <v>235</v>
      </c>
      <c r="D921" s="2" t="s">
        <v>23</v>
      </c>
      <c r="E921" s="2" t="s">
        <v>68</v>
      </c>
      <c r="F921" s="2" t="s">
        <v>32</v>
      </c>
      <c r="G921" s="2" t="s">
        <v>26</v>
      </c>
      <c r="H921" s="2" t="s">
        <v>19</v>
      </c>
      <c r="I921" s="2">
        <v>2</v>
      </c>
      <c r="J921" s="2">
        <v>2059</v>
      </c>
      <c r="K921" s="2">
        <v>3</v>
      </c>
      <c r="L921" s="2">
        <v>3994.46</v>
      </c>
    </row>
    <row r="922" spans="1:12" x14ac:dyDescent="0.3">
      <c r="A922" s="2" t="s">
        <v>1578</v>
      </c>
      <c r="B922" s="2" t="s">
        <v>313</v>
      </c>
      <c r="C922" s="2" t="s">
        <v>124</v>
      </c>
      <c r="D922" s="2" t="s">
        <v>30</v>
      </c>
      <c r="E922" s="2" t="s">
        <v>48</v>
      </c>
      <c r="F922" s="2" t="s">
        <v>17</v>
      </c>
      <c r="G922" s="2" t="s">
        <v>62</v>
      </c>
      <c r="H922" s="2" t="s">
        <v>75</v>
      </c>
      <c r="I922" s="2">
        <v>3</v>
      </c>
      <c r="J922" s="2">
        <v>4259</v>
      </c>
      <c r="K922" s="2">
        <v>4</v>
      </c>
      <c r="L922" s="2">
        <v>12265.92</v>
      </c>
    </row>
    <row r="923" spans="1:12" x14ac:dyDescent="0.3">
      <c r="A923" s="2" t="s">
        <v>1579</v>
      </c>
      <c r="B923" s="2" t="s">
        <v>991</v>
      </c>
      <c r="C923" s="2" t="s">
        <v>342</v>
      </c>
      <c r="D923" s="2" t="s">
        <v>30</v>
      </c>
      <c r="E923" s="2" t="s">
        <v>24</v>
      </c>
      <c r="F923" s="2" t="s">
        <v>49</v>
      </c>
      <c r="G923" s="2" t="s">
        <v>40</v>
      </c>
      <c r="H923" s="2" t="s">
        <v>33</v>
      </c>
      <c r="I923" s="2">
        <v>2</v>
      </c>
      <c r="J923" s="2">
        <v>4581</v>
      </c>
      <c r="K923" s="2">
        <v>1</v>
      </c>
      <c r="L923" s="2">
        <v>9070.3799999999992</v>
      </c>
    </row>
    <row r="924" spans="1:12" x14ac:dyDescent="0.3">
      <c r="A924" s="2" t="s">
        <v>1580</v>
      </c>
      <c r="B924" s="2" t="s">
        <v>21</v>
      </c>
      <c r="C924" s="2" t="s">
        <v>635</v>
      </c>
      <c r="D924" s="2" t="s">
        <v>88</v>
      </c>
      <c r="E924" s="2" t="s">
        <v>58</v>
      </c>
      <c r="F924" s="2" t="s">
        <v>32</v>
      </c>
      <c r="G924" s="2" t="s">
        <v>26</v>
      </c>
      <c r="H924" s="2" t="s">
        <v>33</v>
      </c>
      <c r="I924" s="2">
        <v>3</v>
      </c>
      <c r="J924" s="2">
        <v>858</v>
      </c>
      <c r="K924" s="2">
        <v>27</v>
      </c>
      <c r="L924" s="2">
        <v>1879.02</v>
      </c>
    </row>
    <row r="925" spans="1:12" x14ac:dyDescent="0.3">
      <c r="A925" s="2" t="s">
        <v>1581</v>
      </c>
      <c r="B925" s="2" t="s">
        <v>490</v>
      </c>
      <c r="C925" s="2" t="s">
        <v>396</v>
      </c>
      <c r="D925" s="2" t="s">
        <v>53</v>
      </c>
      <c r="E925" s="2" t="s">
        <v>68</v>
      </c>
      <c r="F925" s="2" t="s">
        <v>17</v>
      </c>
      <c r="G925" s="2" t="s">
        <v>40</v>
      </c>
      <c r="H925" s="2" t="s">
        <v>33</v>
      </c>
      <c r="I925" s="2">
        <v>5</v>
      </c>
      <c r="J925" s="2">
        <v>4412</v>
      </c>
      <c r="K925" s="2">
        <v>14</v>
      </c>
      <c r="L925" s="2">
        <v>18971.599999999999</v>
      </c>
    </row>
    <row r="926" spans="1:12" x14ac:dyDescent="0.3">
      <c r="A926" s="2" t="s">
        <v>1582</v>
      </c>
      <c r="B926" s="2" t="s">
        <v>687</v>
      </c>
      <c r="C926" s="2" t="s">
        <v>409</v>
      </c>
      <c r="D926" s="2" t="s">
        <v>15</v>
      </c>
      <c r="E926" s="2" t="s">
        <v>79</v>
      </c>
      <c r="F926" s="2" t="s">
        <v>40</v>
      </c>
      <c r="G926" s="2" t="s">
        <v>62</v>
      </c>
      <c r="H926" s="2" t="s">
        <v>19</v>
      </c>
      <c r="I926" s="2">
        <v>4</v>
      </c>
      <c r="J926" s="2">
        <v>4314</v>
      </c>
      <c r="K926" s="2">
        <v>23</v>
      </c>
      <c r="L926" s="2">
        <v>13287.12</v>
      </c>
    </row>
    <row r="927" spans="1:12" x14ac:dyDescent="0.3">
      <c r="A927" s="2" t="s">
        <v>1583</v>
      </c>
      <c r="B927" s="2" t="s">
        <v>366</v>
      </c>
      <c r="C927" s="2" t="s">
        <v>711</v>
      </c>
      <c r="D927" s="2" t="s">
        <v>30</v>
      </c>
      <c r="E927" s="2" t="s">
        <v>16</v>
      </c>
      <c r="F927" s="2" t="s">
        <v>40</v>
      </c>
      <c r="G927" s="2" t="s">
        <v>54</v>
      </c>
      <c r="H927" s="2" t="s">
        <v>19</v>
      </c>
      <c r="I927" s="2">
        <v>3</v>
      </c>
      <c r="J927" s="2">
        <v>1290</v>
      </c>
      <c r="K927" s="2">
        <v>10</v>
      </c>
      <c r="L927" s="2">
        <v>3483</v>
      </c>
    </row>
    <row r="928" spans="1:12" x14ac:dyDescent="0.3">
      <c r="A928" s="2" t="s">
        <v>1584</v>
      </c>
      <c r="B928" s="2" t="s">
        <v>871</v>
      </c>
      <c r="C928" s="2" t="s">
        <v>1227</v>
      </c>
      <c r="D928" s="2" t="s">
        <v>23</v>
      </c>
      <c r="E928" s="2" t="s">
        <v>68</v>
      </c>
      <c r="F928" s="2" t="s">
        <v>49</v>
      </c>
      <c r="G928" s="2" t="s">
        <v>26</v>
      </c>
      <c r="H928" s="2" t="s">
        <v>19</v>
      </c>
      <c r="I928" s="2">
        <v>2</v>
      </c>
      <c r="J928" s="2">
        <v>2045</v>
      </c>
      <c r="K928" s="2">
        <v>0</v>
      </c>
      <c r="L928" s="2">
        <v>4090</v>
      </c>
    </row>
    <row r="929" spans="1:12" x14ac:dyDescent="0.3">
      <c r="A929" s="2" t="s">
        <v>1585</v>
      </c>
      <c r="B929" s="2" t="s">
        <v>295</v>
      </c>
      <c r="C929" s="2" t="s">
        <v>1296</v>
      </c>
      <c r="D929" s="2" t="s">
        <v>15</v>
      </c>
      <c r="E929" s="2" t="s">
        <v>79</v>
      </c>
      <c r="F929" s="2" t="s">
        <v>32</v>
      </c>
      <c r="G929" s="2" t="s">
        <v>18</v>
      </c>
      <c r="H929" s="2" t="s">
        <v>19</v>
      </c>
      <c r="I929" s="2">
        <v>5</v>
      </c>
      <c r="J929" s="2">
        <v>2347</v>
      </c>
      <c r="K929" s="2">
        <v>30</v>
      </c>
      <c r="L929" s="2">
        <v>8214.5</v>
      </c>
    </row>
    <row r="930" spans="1:12" x14ac:dyDescent="0.3">
      <c r="A930" s="2" t="s">
        <v>1586</v>
      </c>
      <c r="B930" s="2" t="s">
        <v>366</v>
      </c>
      <c r="C930" s="2" t="s">
        <v>127</v>
      </c>
      <c r="D930" s="2" t="s">
        <v>15</v>
      </c>
      <c r="E930" s="2" t="s">
        <v>58</v>
      </c>
      <c r="F930" s="2" t="s">
        <v>40</v>
      </c>
      <c r="G930" s="2" t="s">
        <v>40</v>
      </c>
      <c r="H930" s="2" t="s">
        <v>75</v>
      </c>
      <c r="I930" s="2">
        <v>4</v>
      </c>
      <c r="J930" s="2">
        <v>2370</v>
      </c>
      <c r="K930" s="2">
        <v>6</v>
      </c>
      <c r="L930" s="2">
        <v>8911.2000000000007</v>
      </c>
    </row>
    <row r="931" spans="1:12" x14ac:dyDescent="0.3">
      <c r="A931" s="2" t="s">
        <v>1587</v>
      </c>
      <c r="B931" s="2" t="s">
        <v>501</v>
      </c>
      <c r="C931" s="2" t="s">
        <v>655</v>
      </c>
      <c r="D931" s="2" t="s">
        <v>15</v>
      </c>
      <c r="E931" s="2" t="s">
        <v>16</v>
      </c>
      <c r="F931" s="2" t="s">
        <v>25</v>
      </c>
      <c r="G931" s="2" t="s">
        <v>40</v>
      </c>
      <c r="H931" s="2" t="s">
        <v>33</v>
      </c>
      <c r="I931" s="2">
        <v>1</v>
      </c>
      <c r="J931" s="2">
        <v>3595</v>
      </c>
      <c r="K931" s="2">
        <v>17</v>
      </c>
      <c r="L931" s="2">
        <v>2983.85</v>
      </c>
    </row>
    <row r="932" spans="1:12" x14ac:dyDescent="0.3">
      <c r="A932" s="2" t="s">
        <v>1588</v>
      </c>
      <c r="B932" s="2" t="s">
        <v>787</v>
      </c>
      <c r="C932" s="2" t="s">
        <v>652</v>
      </c>
      <c r="D932" s="2" t="s">
        <v>23</v>
      </c>
      <c r="E932" s="2" t="s">
        <v>16</v>
      </c>
      <c r="F932" s="2" t="s">
        <v>25</v>
      </c>
      <c r="G932" s="2" t="s">
        <v>18</v>
      </c>
      <c r="H932" s="2" t="s">
        <v>33</v>
      </c>
      <c r="I932" s="2">
        <v>3</v>
      </c>
      <c r="J932" s="2">
        <v>541</v>
      </c>
      <c r="K932" s="2">
        <v>25</v>
      </c>
      <c r="L932" s="2">
        <v>1217.25</v>
      </c>
    </row>
    <row r="933" spans="1:12" x14ac:dyDescent="0.3">
      <c r="A933" s="2" t="s">
        <v>1589</v>
      </c>
      <c r="B933" s="2" t="s">
        <v>1163</v>
      </c>
      <c r="C933" s="2" t="s">
        <v>87</v>
      </c>
      <c r="D933" s="2" t="s">
        <v>88</v>
      </c>
      <c r="E933" s="2" t="s">
        <v>31</v>
      </c>
      <c r="F933" s="2" t="s">
        <v>17</v>
      </c>
      <c r="G933" s="2" t="s">
        <v>40</v>
      </c>
      <c r="H933" s="2" t="s">
        <v>75</v>
      </c>
      <c r="I933" s="2">
        <v>1</v>
      </c>
      <c r="J933" s="2">
        <v>4888</v>
      </c>
      <c r="K933" s="2">
        <v>10</v>
      </c>
      <c r="L933" s="2">
        <v>4399.2</v>
      </c>
    </row>
    <row r="934" spans="1:12" x14ac:dyDescent="0.3">
      <c r="A934" s="2" t="s">
        <v>1590</v>
      </c>
      <c r="B934" s="2" t="s">
        <v>665</v>
      </c>
      <c r="C934" s="2" t="s">
        <v>1227</v>
      </c>
      <c r="D934" s="2" t="s">
        <v>53</v>
      </c>
      <c r="E934" s="2" t="s">
        <v>79</v>
      </c>
      <c r="F934" s="2" t="s">
        <v>25</v>
      </c>
      <c r="G934" s="2" t="s">
        <v>54</v>
      </c>
      <c r="H934" s="2" t="s">
        <v>33</v>
      </c>
      <c r="I934" s="2">
        <v>1</v>
      </c>
      <c r="J934" s="2">
        <v>1976</v>
      </c>
      <c r="K934" s="2">
        <v>4</v>
      </c>
      <c r="L934" s="2">
        <v>1896.96</v>
      </c>
    </row>
    <row r="935" spans="1:12" x14ac:dyDescent="0.3">
      <c r="A935" s="2" t="s">
        <v>1591</v>
      </c>
      <c r="B935" s="2" t="s">
        <v>272</v>
      </c>
      <c r="C935" s="2" t="s">
        <v>771</v>
      </c>
      <c r="D935" s="2" t="s">
        <v>53</v>
      </c>
      <c r="E935" s="2" t="s">
        <v>16</v>
      </c>
      <c r="F935" s="2" t="s">
        <v>32</v>
      </c>
      <c r="G935" s="2" t="s">
        <v>26</v>
      </c>
      <c r="H935" s="2" t="s">
        <v>19</v>
      </c>
      <c r="I935" s="2">
        <v>4</v>
      </c>
      <c r="J935" s="2">
        <v>735</v>
      </c>
      <c r="K935" s="2">
        <v>7</v>
      </c>
      <c r="L935" s="2">
        <v>2734.2</v>
      </c>
    </row>
    <row r="936" spans="1:12" x14ac:dyDescent="0.3">
      <c r="A936" s="2" t="s">
        <v>1592</v>
      </c>
      <c r="B936" s="2" t="s">
        <v>667</v>
      </c>
      <c r="C936" s="2" t="s">
        <v>157</v>
      </c>
      <c r="D936" s="2" t="s">
        <v>23</v>
      </c>
      <c r="E936" s="2" t="s">
        <v>58</v>
      </c>
      <c r="F936" s="2" t="s">
        <v>40</v>
      </c>
      <c r="G936" s="2" t="s">
        <v>54</v>
      </c>
      <c r="H936" s="2" t="s">
        <v>33</v>
      </c>
      <c r="I936" s="2">
        <v>1</v>
      </c>
      <c r="J936" s="2">
        <v>291</v>
      </c>
      <c r="K936" s="2">
        <v>21</v>
      </c>
      <c r="L936" s="2">
        <v>229.89</v>
      </c>
    </row>
    <row r="937" spans="1:12" x14ac:dyDescent="0.3">
      <c r="A937" s="2" t="s">
        <v>1593</v>
      </c>
      <c r="B937" s="2" t="s">
        <v>463</v>
      </c>
      <c r="C937" s="2" t="s">
        <v>983</v>
      </c>
      <c r="D937" s="2" t="s">
        <v>15</v>
      </c>
      <c r="E937" s="2" t="s">
        <v>24</v>
      </c>
      <c r="F937" s="2" t="s">
        <v>17</v>
      </c>
      <c r="G937" s="2" t="s">
        <v>62</v>
      </c>
      <c r="H937" s="2" t="s">
        <v>75</v>
      </c>
      <c r="I937" s="2">
        <v>4</v>
      </c>
      <c r="J937" s="2">
        <v>3917</v>
      </c>
      <c r="K937" s="2">
        <v>20</v>
      </c>
      <c r="L937" s="2">
        <v>12534.4</v>
      </c>
    </row>
    <row r="938" spans="1:12" x14ac:dyDescent="0.3">
      <c r="A938" s="2" t="s">
        <v>1594</v>
      </c>
      <c r="B938" s="2" t="s">
        <v>132</v>
      </c>
      <c r="C938" s="2" t="s">
        <v>546</v>
      </c>
      <c r="D938" s="2" t="s">
        <v>15</v>
      </c>
      <c r="E938" s="2" t="s">
        <v>58</v>
      </c>
      <c r="F938" s="2" t="s">
        <v>49</v>
      </c>
      <c r="G938" s="2" t="s">
        <v>40</v>
      </c>
      <c r="H938" s="2" t="s">
        <v>33</v>
      </c>
      <c r="I938" s="2">
        <v>2</v>
      </c>
      <c r="J938" s="2">
        <v>4151</v>
      </c>
      <c r="K938" s="2">
        <v>2</v>
      </c>
      <c r="L938" s="2">
        <v>8135.96</v>
      </c>
    </row>
    <row r="939" spans="1:12" x14ac:dyDescent="0.3">
      <c r="A939" s="2" t="s">
        <v>1595</v>
      </c>
      <c r="B939" s="2" t="s">
        <v>1596</v>
      </c>
      <c r="C939" s="2" t="s">
        <v>61</v>
      </c>
      <c r="D939" s="2" t="s">
        <v>88</v>
      </c>
      <c r="E939" s="2" t="s">
        <v>68</v>
      </c>
      <c r="F939" s="2" t="s">
        <v>32</v>
      </c>
      <c r="G939" s="2" t="s">
        <v>18</v>
      </c>
      <c r="H939" s="2" t="s">
        <v>44</v>
      </c>
      <c r="I939" s="2">
        <v>1</v>
      </c>
      <c r="J939" s="2">
        <v>1392</v>
      </c>
      <c r="K939" s="2">
        <v>26</v>
      </c>
      <c r="L939" s="2">
        <v>1030.08</v>
      </c>
    </row>
    <row r="940" spans="1:12" x14ac:dyDescent="0.3">
      <c r="A940" s="2" t="s">
        <v>1597</v>
      </c>
      <c r="B940" s="2" t="s">
        <v>731</v>
      </c>
      <c r="C940" s="2" t="s">
        <v>1598</v>
      </c>
      <c r="D940" s="2" t="s">
        <v>88</v>
      </c>
      <c r="E940" s="2" t="s">
        <v>68</v>
      </c>
      <c r="F940" s="2" t="s">
        <v>40</v>
      </c>
      <c r="G940" s="2" t="s">
        <v>40</v>
      </c>
      <c r="H940" s="2" t="s">
        <v>33</v>
      </c>
      <c r="I940" s="2">
        <v>1</v>
      </c>
      <c r="J940" s="2">
        <v>4951</v>
      </c>
      <c r="K940" s="2">
        <v>15</v>
      </c>
      <c r="L940" s="2">
        <v>4208.3500000000004</v>
      </c>
    </row>
    <row r="941" spans="1:12" x14ac:dyDescent="0.3">
      <c r="A941" s="2" t="s">
        <v>1599</v>
      </c>
      <c r="B941" s="2" t="s">
        <v>495</v>
      </c>
      <c r="C941" s="2" t="s">
        <v>1600</v>
      </c>
      <c r="D941" s="2" t="s">
        <v>15</v>
      </c>
      <c r="E941" s="2" t="s">
        <v>58</v>
      </c>
      <c r="F941" s="2" t="s">
        <v>49</v>
      </c>
      <c r="G941" s="2" t="s">
        <v>18</v>
      </c>
      <c r="H941" s="2" t="s">
        <v>44</v>
      </c>
      <c r="I941" s="2">
        <v>5</v>
      </c>
      <c r="J941" s="2">
        <v>2150</v>
      </c>
      <c r="K941" s="2">
        <v>23</v>
      </c>
      <c r="L941" s="2">
        <v>8277.5</v>
      </c>
    </row>
    <row r="942" spans="1:12" x14ac:dyDescent="0.3">
      <c r="A942" s="2" t="s">
        <v>1601</v>
      </c>
      <c r="B942" s="2" t="s">
        <v>101</v>
      </c>
      <c r="C942" s="2" t="s">
        <v>899</v>
      </c>
      <c r="D942" s="2" t="s">
        <v>30</v>
      </c>
      <c r="E942" s="2" t="s">
        <v>48</v>
      </c>
      <c r="F942" s="2" t="s">
        <v>17</v>
      </c>
      <c r="G942" s="2" t="s">
        <v>54</v>
      </c>
      <c r="H942" s="2" t="s">
        <v>19</v>
      </c>
      <c r="I942" s="2">
        <v>4</v>
      </c>
      <c r="J942" s="2">
        <v>4047</v>
      </c>
      <c r="K942" s="2">
        <v>5</v>
      </c>
      <c r="L942" s="2">
        <v>15378.6</v>
      </c>
    </row>
    <row r="943" spans="1:12" x14ac:dyDescent="0.3">
      <c r="A943" s="2" t="s">
        <v>1602</v>
      </c>
      <c r="B943" s="2" t="s">
        <v>1169</v>
      </c>
      <c r="C943" s="2" t="s">
        <v>1603</v>
      </c>
      <c r="D943" s="2" t="s">
        <v>30</v>
      </c>
      <c r="E943" s="2" t="s">
        <v>48</v>
      </c>
      <c r="F943" s="2" t="s">
        <v>40</v>
      </c>
      <c r="G943" s="2" t="s">
        <v>18</v>
      </c>
      <c r="H943" s="2" t="s">
        <v>75</v>
      </c>
      <c r="I943" s="2">
        <v>5</v>
      </c>
      <c r="J943" s="2">
        <v>3355</v>
      </c>
      <c r="K943" s="2">
        <v>30</v>
      </c>
      <c r="L943" s="2">
        <v>11742.5</v>
      </c>
    </row>
    <row r="944" spans="1:12" x14ac:dyDescent="0.3">
      <c r="A944" s="2" t="s">
        <v>1604</v>
      </c>
      <c r="B944" s="2" t="s">
        <v>1605</v>
      </c>
      <c r="C944" s="2" t="s">
        <v>936</v>
      </c>
      <c r="D944" s="2" t="s">
        <v>23</v>
      </c>
      <c r="E944" s="2" t="s">
        <v>79</v>
      </c>
      <c r="F944" s="2" t="s">
        <v>25</v>
      </c>
      <c r="G944" s="2" t="s">
        <v>62</v>
      </c>
      <c r="H944" s="2" t="s">
        <v>19</v>
      </c>
      <c r="I944" s="2">
        <v>1</v>
      </c>
      <c r="J944" s="2">
        <v>1589</v>
      </c>
      <c r="K944" s="2">
        <v>4</v>
      </c>
      <c r="L944" s="2">
        <v>1525.44</v>
      </c>
    </row>
    <row r="945" spans="1:12" x14ac:dyDescent="0.3">
      <c r="A945" s="2" t="s">
        <v>1606</v>
      </c>
      <c r="B945" s="2" t="s">
        <v>893</v>
      </c>
      <c r="C945" s="2" t="s">
        <v>880</v>
      </c>
      <c r="D945" s="2" t="s">
        <v>88</v>
      </c>
      <c r="E945" s="2" t="s">
        <v>68</v>
      </c>
      <c r="F945" s="2" t="s">
        <v>32</v>
      </c>
      <c r="G945" s="2" t="s">
        <v>26</v>
      </c>
      <c r="H945" s="2" t="s">
        <v>75</v>
      </c>
      <c r="I945" s="2">
        <v>1</v>
      </c>
      <c r="J945" s="2">
        <v>1438</v>
      </c>
      <c r="K945" s="2">
        <v>14</v>
      </c>
      <c r="L945" s="2">
        <v>1236.68</v>
      </c>
    </row>
    <row r="946" spans="1:12" x14ac:dyDescent="0.3">
      <c r="A946" s="2" t="s">
        <v>1607</v>
      </c>
      <c r="B946" s="2" t="s">
        <v>1049</v>
      </c>
      <c r="C946" s="2" t="s">
        <v>658</v>
      </c>
      <c r="D946" s="2" t="s">
        <v>15</v>
      </c>
      <c r="E946" s="2" t="s">
        <v>68</v>
      </c>
      <c r="F946" s="2" t="s">
        <v>25</v>
      </c>
      <c r="G946" s="2" t="s">
        <v>62</v>
      </c>
      <c r="H946" s="2" t="s">
        <v>75</v>
      </c>
      <c r="I946" s="2">
        <v>2</v>
      </c>
      <c r="J946" s="2">
        <v>1261</v>
      </c>
      <c r="K946" s="2">
        <v>1</v>
      </c>
      <c r="L946" s="2">
        <v>2496.7800000000002</v>
      </c>
    </row>
    <row r="947" spans="1:12" x14ac:dyDescent="0.3">
      <c r="A947" s="2" t="s">
        <v>1608</v>
      </c>
      <c r="B947" s="2" t="s">
        <v>237</v>
      </c>
      <c r="C947" s="2" t="s">
        <v>127</v>
      </c>
      <c r="D947" s="2" t="s">
        <v>30</v>
      </c>
      <c r="E947" s="2" t="s">
        <v>79</v>
      </c>
      <c r="F947" s="2" t="s">
        <v>49</v>
      </c>
      <c r="G947" s="2" t="s">
        <v>18</v>
      </c>
      <c r="H947" s="2" t="s">
        <v>19</v>
      </c>
      <c r="I947" s="2">
        <v>4</v>
      </c>
      <c r="J947" s="2">
        <v>2880</v>
      </c>
      <c r="K947" s="2">
        <v>27</v>
      </c>
      <c r="L947" s="2">
        <v>8409.6</v>
      </c>
    </row>
    <row r="948" spans="1:12" x14ac:dyDescent="0.3">
      <c r="A948" s="2" t="s">
        <v>1609</v>
      </c>
      <c r="B948" s="2" t="s">
        <v>985</v>
      </c>
      <c r="C948" s="2" t="s">
        <v>253</v>
      </c>
      <c r="D948" s="2" t="s">
        <v>23</v>
      </c>
      <c r="E948" s="2" t="s">
        <v>58</v>
      </c>
      <c r="F948" s="2" t="s">
        <v>25</v>
      </c>
      <c r="G948" s="2" t="s">
        <v>26</v>
      </c>
      <c r="H948" s="2" t="s">
        <v>19</v>
      </c>
      <c r="I948" s="2">
        <v>1</v>
      </c>
      <c r="J948" s="2">
        <v>2980</v>
      </c>
      <c r="K948" s="2">
        <v>8</v>
      </c>
      <c r="L948" s="2">
        <v>2741.6</v>
      </c>
    </row>
    <row r="949" spans="1:12" x14ac:dyDescent="0.3">
      <c r="A949" s="2" t="s">
        <v>1610</v>
      </c>
      <c r="B949" s="2" t="s">
        <v>287</v>
      </c>
      <c r="C949" s="2" t="s">
        <v>139</v>
      </c>
      <c r="D949" s="2" t="s">
        <v>23</v>
      </c>
      <c r="E949" s="2" t="s">
        <v>58</v>
      </c>
      <c r="F949" s="2" t="s">
        <v>32</v>
      </c>
      <c r="G949" s="2" t="s">
        <v>62</v>
      </c>
      <c r="H949" s="2" t="s">
        <v>19</v>
      </c>
      <c r="I949" s="2">
        <v>4</v>
      </c>
      <c r="J949" s="2">
        <v>3505</v>
      </c>
      <c r="K949" s="2">
        <v>10</v>
      </c>
      <c r="L949" s="2">
        <v>12618</v>
      </c>
    </row>
    <row r="950" spans="1:12" x14ac:dyDescent="0.3">
      <c r="A950" s="2" t="s">
        <v>1611</v>
      </c>
      <c r="B950" s="2" t="s">
        <v>398</v>
      </c>
      <c r="C950" s="2" t="s">
        <v>136</v>
      </c>
      <c r="D950" s="2" t="s">
        <v>30</v>
      </c>
      <c r="E950" s="2" t="s">
        <v>48</v>
      </c>
      <c r="F950" s="2" t="s">
        <v>17</v>
      </c>
      <c r="G950" s="2" t="s">
        <v>26</v>
      </c>
      <c r="H950" s="2" t="s">
        <v>19</v>
      </c>
      <c r="I950" s="2">
        <v>3</v>
      </c>
      <c r="J950" s="2">
        <v>1908</v>
      </c>
      <c r="K950" s="2">
        <v>27</v>
      </c>
      <c r="L950" s="2">
        <v>4178.5200000000004</v>
      </c>
    </row>
    <row r="951" spans="1:12" x14ac:dyDescent="0.3">
      <c r="A951" s="2" t="s">
        <v>1612</v>
      </c>
      <c r="B951" s="2" t="s">
        <v>575</v>
      </c>
      <c r="C951" s="2" t="s">
        <v>105</v>
      </c>
      <c r="D951" s="2" t="s">
        <v>88</v>
      </c>
      <c r="E951" s="2" t="s">
        <v>68</v>
      </c>
      <c r="F951" s="2" t="s">
        <v>49</v>
      </c>
      <c r="G951" s="2" t="s">
        <v>54</v>
      </c>
      <c r="H951" s="2" t="s">
        <v>19</v>
      </c>
      <c r="I951" s="2">
        <v>2</v>
      </c>
      <c r="J951" s="2">
        <v>771</v>
      </c>
      <c r="K951" s="2">
        <v>29</v>
      </c>
      <c r="L951" s="2">
        <v>1094.82</v>
      </c>
    </row>
    <row r="952" spans="1:12" x14ac:dyDescent="0.3">
      <c r="A952" s="2" t="s">
        <v>1613</v>
      </c>
      <c r="B952" s="2" t="s">
        <v>1153</v>
      </c>
      <c r="C952" s="2" t="s">
        <v>331</v>
      </c>
      <c r="D952" s="2" t="s">
        <v>53</v>
      </c>
      <c r="E952" s="2" t="s">
        <v>48</v>
      </c>
      <c r="F952" s="2" t="s">
        <v>17</v>
      </c>
      <c r="G952" s="2" t="s">
        <v>18</v>
      </c>
      <c r="H952" s="2" t="s">
        <v>44</v>
      </c>
      <c r="I952" s="2">
        <v>3</v>
      </c>
      <c r="J952" s="2">
        <v>3870</v>
      </c>
      <c r="K952" s="2">
        <v>24</v>
      </c>
      <c r="L952" s="2">
        <v>8823.6</v>
      </c>
    </row>
    <row r="953" spans="1:12" x14ac:dyDescent="0.3">
      <c r="A953" s="2" t="s">
        <v>1614</v>
      </c>
      <c r="B953" s="2" t="s">
        <v>377</v>
      </c>
      <c r="C953" s="2" t="s">
        <v>670</v>
      </c>
      <c r="D953" s="2" t="s">
        <v>53</v>
      </c>
      <c r="E953" s="2" t="s">
        <v>16</v>
      </c>
      <c r="F953" s="2" t="s">
        <v>49</v>
      </c>
      <c r="G953" s="2" t="s">
        <v>40</v>
      </c>
      <c r="H953" s="2" t="s">
        <v>44</v>
      </c>
      <c r="I953" s="2">
        <v>4</v>
      </c>
      <c r="J953" s="2">
        <v>4399</v>
      </c>
      <c r="K953" s="2">
        <v>16</v>
      </c>
      <c r="L953" s="2">
        <v>14780.64</v>
      </c>
    </row>
    <row r="954" spans="1:12" x14ac:dyDescent="0.3">
      <c r="A954" s="2" t="s">
        <v>1615</v>
      </c>
      <c r="B954" s="2" t="s">
        <v>645</v>
      </c>
      <c r="C954" s="2" t="s">
        <v>597</v>
      </c>
      <c r="D954" s="2" t="s">
        <v>15</v>
      </c>
      <c r="E954" s="2" t="s">
        <v>48</v>
      </c>
      <c r="F954" s="2" t="s">
        <v>49</v>
      </c>
      <c r="G954" s="2" t="s">
        <v>54</v>
      </c>
      <c r="H954" s="2" t="s">
        <v>75</v>
      </c>
      <c r="I954" s="2">
        <v>3</v>
      </c>
      <c r="J954" s="2">
        <v>2960</v>
      </c>
      <c r="K954" s="2">
        <v>30</v>
      </c>
      <c r="L954" s="2">
        <v>6216</v>
      </c>
    </row>
    <row r="955" spans="1:12" x14ac:dyDescent="0.3">
      <c r="A955" s="2" t="s">
        <v>1616</v>
      </c>
      <c r="B955" s="2" t="s">
        <v>742</v>
      </c>
      <c r="C955" s="2" t="s">
        <v>496</v>
      </c>
      <c r="D955" s="2" t="s">
        <v>23</v>
      </c>
      <c r="E955" s="2" t="s">
        <v>68</v>
      </c>
      <c r="F955" s="2" t="s">
        <v>17</v>
      </c>
      <c r="G955" s="2" t="s">
        <v>40</v>
      </c>
      <c r="H955" s="2" t="s">
        <v>19</v>
      </c>
      <c r="I955" s="2">
        <v>5</v>
      </c>
      <c r="J955" s="2">
        <v>4164</v>
      </c>
      <c r="K955" s="2">
        <v>14</v>
      </c>
      <c r="L955" s="2">
        <v>17905.2</v>
      </c>
    </row>
    <row r="956" spans="1:12" x14ac:dyDescent="0.3">
      <c r="A956" s="2" t="s">
        <v>1617</v>
      </c>
      <c r="B956" s="2" t="s">
        <v>592</v>
      </c>
      <c r="C956" s="2" t="s">
        <v>1618</v>
      </c>
      <c r="D956" s="2" t="s">
        <v>30</v>
      </c>
      <c r="E956" s="2" t="s">
        <v>68</v>
      </c>
      <c r="F956" s="2" t="s">
        <v>25</v>
      </c>
      <c r="G956" s="2" t="s">
        <v>62</v>
      </c>
      <c r="H956" s="2" t="s">
        <v>19</v>
      </c>
      <c r="I956" s="2">
        <v>1</v>
      </c>
      <c r="J956" s="2">
        <v>4444</v>
      </c>
      <c r="K956" s="2">
        <v>19</v>
      </c>
      <c r="L956" s="2">
        <v>3599.64</v>
      </c>
    </row>
    <row r="957" spans="1:12" x14ac:dyDescent="0.3">
      <c r="A957" s="2" t="s">
        <v>1619</v>
      </c>
      <c r="B957" s="2" t="s">
        <v>138</v>
      </c>
      <c r="C957" s="2" t="s">
        <v>258</v>
      </c>
      <c r="D957" s="2" t="s">
        <v>53</v>
      </c>
      <c r="E957" s="2" t="s">
        <v>58</v>
      </c>
      <c r="F957" s="2" t="s">
        <v>25</v>
      </c>
      <c r="G957" s="2" t="s">
        <v>40</v>
      </c>
      <c r="H957" s="2" t="s">
        <v>75</v>
      </c>
      <c r="I957" s="2">
        <v>2</v>
      </c>
      <c r="J957" s="2">
        <v>3759</v>
      </c>
      <c r="K957" s="2">
        <v>29</v>
      </c>
      <c r="L957" s="2">
        <v>5337.78</v>
      </c>
    </row>
    <row r="958" spans="1:12" x14ac:dyDescent="0.3">
      <c r="A958" s="2" t="s">
        <v>1620</v>
      </c>
      <c r="B958" s="2" t="s">
        <v>551</v>
      </c>
      <c r="C958" s="2" t="s">
        <v>576</v>
      </c>
      <c r="D958" s="2" t="s">
        <v>53</v>
      </c>
      <c r="E958" s="2" t="s">
        <v>31</v>
      </c>
      <c r="F958" s="2" t="s">
        <v>17</v>
      </c>
      <c r="G958" s="2" t="s">
        <v>26</v>
      </c>
      <c r="H958" s="2" t="s">
        <v>19</v>
      </c>
      <c r="I958" s="2">
        <v>4</v>
      </c>
      <c r="J958" s="2">
        <v>4160</v>
      </c>
      <c r="K958" s="2">
        <v>1</v>
      </c>
      <c r="L958" s="2">
        <v>16473.599999999999</v>
      </c>
    </row>
    <row r="959" spans="1:12" x14ac:dyDescent="0.3">
      <c r="A959" s="2" t="s">
        <v>1621</v>
      </c>
      <c r="B959" s="2" t="s">
        <v>188</v>
      </c>
      <c r="C959" s="2" t="s">
        <v>845</v>
      </c>
      <c r="D959" s="2" t="s">
        <v>88</v>
      </c>
      <c r="E959" s="2" t="s">
        <v>24</v>
      </c>
      <c r="F959" s="2" t="s">
        <v>40</v>
      </c>
      <c r="G959" s="2" t="s">
        <v>26</v>
      </c>
      <c r="H959" s="2" t="s">
        <v>33</v>
      </c>
      <c r="I959" s="2">
        <v>4</v>
      </c>
      <c r="J959" s="2">
        <v>2249</v>
      </c>
      <c r="K959" s="2">
        <v>2</v>
      </c>
      <c r="L959" s="2">
        <v>8816.08</v>
      </c>
    </row>
    <row r="960" spans="1:12" x14ac:dyDescent="0.3">
      <c r="A960" s="2" t="s">
        <v>1622</v>
      </c>
      <c r="B960" s="2" t="s">
        <v>257</v>
      </c>
      <c r="C960" s="2" t="s">
        <v>700</v>
      </c>
      <c r="D960" s="2" t="s">
        <v>30</v>
      </c>
      <c r="E960" s="2" t="s">
        <v>48</v>
      </c>
      <c r="F960" s="2" t="s">
        <v>40</v>
      </c>
      <c r="G960" s="2" t="s">
        <v>54</v>
      </c>
      <c r="H960" s="2" t="s">
        <v>75</v>
      </c>
      <c r="I960" s="2">
        <v>4</v>
      </c>
      <c r="J960" s="2">
        <v>3794</v>
      </c>
      <c r="K960" s="2">
        <v>25</v>
      </c>
      <c r="L960" s="2">
        <v>11382</v>
      </c>
    </row>
    <row r="961" spans="1:12" x14ac:dyDescent="0.3">
      <c r="A961" s="2" t="s">
        <v>1623</v>
      </c>
      <c r="B961" s="2" t="s">
        <v>440</v>
      </c>
      <c r="C961" s="2" t="s">
        <v>709</v>
      </c>
      <c r="D961" s="2" t="s">
        <v>53</v>
      </c>
      <c r="E961" s="2" t="s">
        <v>31</v>
      </c>
      <c r="F961" s="2" t="s">
        <v>17</v>
      </c>
      <c r="G961" s="2" t="s">
        <v>54</v>
      </c>
      <c r="H961" s="2" t="s">
        <v>19</v>
      </c>
      <c r="I961" s="2">
        <v>4</v>
      </c>
      <c r="J961" s="2">
        <v>3570</v>
      </c>
      <c r="K961" s="2">
        <v>25</v>
      </c>
      <c r="L961" s="2">
        <v>10710</v>
      </c>
    </row>
    <row r="962" spans="1:12" x14ac:dyDescent="0.3">
      <c r="A962" s="2" t="s">
        <v>1624</v>
      </c>
      <c r="B962" s="2" t="s">
        <v>482</v>
      </c>
      <c r="C962" s="2" t="s">
        <v>1618</v>
      </c>
      <c r="D962" s="2" t="s">
        <v>53</v>
      </c>
      <c r="E962" s="2" t="s">
        <v>16</v>
      </c>
      <c r="F962" s="2" t="s">
        <v>17</v>
      </c>
      <c r="G962" s="2" t="s">
        <v>62</v>
      </c>
      <c r="H962" s="2" t="s">
        <v>75</v>
      </c>
      <c r="I962" s="2">
        <v>3</v>
      </c>
      <c r="J962" s="2">
        <v>1950</v>
      </c>
      <c r="K962" s="2">
        <v>2</v>
      </c>
      <c r="L962" s="2">
        <v>5733</v>
      </c>
    </row>
    <row r="963" spans="1:12" x14ac:dyDescent="0.3">
      <c r="A963" s="2" t="s">
        <v>1625</v>
      </c>
      <c r="B963" s="2" t="s">
        <v>904</v>
      </c>
      <c r="C963" s="2" t="s">
        <v>423</v>
      </c>
      <c r="D963" s="2" t="s">
        <v>30</v>
      </c>
      <c r="E963" s="2" t="s">
        <v>24</v>
      </c>
      <c r="F963" s="2" t="s">
        <v>17</v>
      </c>
      <c r="G963" s="2" t="s">
        <v>26</v>
      </c>
      <c r="H963" s="2" t="s">
        <v>19</v>
      </c>
      <c r="I963" s="2">
        <v>5</v>
      </c>
      <c r="J963" s="2">
        <v>968</v>
      </c>
      <c r="K963" s="2">
        <v>24</v>
      </c>
      <c r="L963" s="2">
        <v>3678.4</v>
      </c>
    </row>
    <row r="964" spans="1:12" x14ac:dyDescent="0.3">
      <c r="A964" s="2" t="s">
        <v>1626</v>
      </c>
      <c r="B964" s="2" t="s">
        <v>190</v>
      </c>
      <c r="C964" s="2" t="s">
        <v>1342</v>
      </c>
      <c r="D964" s="2" t="s">
        <v>30</v>
      </c>
      <c r="E964" s="2" t="s">
        <v>24</v>
      </c>
      <c r="F964" s="2" t="s">
        <v>25</v>
      </c>
      <c r="G964" s="2" t="s">
        <v>54</v>
      </c>
      <c r="H964" s="2" t="s">
        <v>33</v>
      </c>
      <c r="I964" s="2">
        <v>2</v>
      </c>
      <c r="J964" s="2">
        <v>2262</v>
      </c>
      <c r="K964" s="2">
        <v>21</v>
      </c>
      <c r="L964" s="2">
        <v>3573.96</v>
      </c>
    </row>
    <row r="965" spans="1:12" x14ac:dyDescent="0.3">
      <c r="A965" s="2" t="s">
        <v>1627</v>
      </c>
      <c r="B965" s="2" t="s">
        <v>889</v>
      </c>
      <c r="C965" s="2" t="s">
        <v>505</v>
      </c>
      <c r="D965" s="2" t="s">
        <v>15</v>
      </c>
      <c r="E965" s="2" t="s">
        <v>24</v>
      </c>
      <c r="F965" s="2" t="s">
        <v>17</v>
      </c>
      <c r="G965" s="2" t="s">
        <v>40</v>
      </c>
      <c r="H965" s="2" t="s">
        <v>33</v>
      </c>
      <c r="I965" s="2">
        <v>4</v>
      </c>
      <c r="J965" s="2">
        <v>1776</v>
      </c>
      <c r="K965" s="2">
        <v>20</v>
      </c>
      <c r="L965" s="2">
        <v>5683.2</v>
      </c>
    </row>
    <row r="966" spans="1:12" x14ac:dyDescent="0.3">
      <c r="A966" s="2" t="s">
        <v>1628</v>
      </c>
      <c r="B966" s="2" t="s">
        <v>324</v>
      </c>
      <c r="C966" s="2" t="s">
        <v>1629</v>
      </c>
      <c r="D966" s="2" t="s">
        <v>23</v>
      </c>
      <c r="E966" s="2" t="s">
        <v>68</v>
      </c>
      <c r="F966" s="2" t="s">
        <v>32</v>
      </c>
      <c r="G966" s="2" t="s">
        <v>18</v>
      </c>
      <c r="H966" s="2" t="s">
        <v>44</v>
      </c>
      <c r="I966" s="2">
        <v>3</v>
      </c>
      <c r="J966" s="2">
        <v>802</v>
      </c>
      <c r="K966" s="2">
        <v>24</v>
      </c>
      <c r="L966" s="2">
        <v>1828.56</v>
      </c>
    </row>
    <row r="967" spans="1:12" x14ac:dyDescent="0.3">
      <c r="A967" s="2" t="s">
        <v>1630</v>
      </c>
      <c r="B967" s="2" t="s">
        <v>852</v>
      </c>
      <c r="C967" s="2" t="s">
        <v>522</v>
      </c>
      <c r="D967" s="2" t="s">
        <v>88</v>
      </c>
      <c r="E967" s="2" t="s">
        <v>16</v>
      </c>
      <c r="F967" s="2" t="s">
        <v>40</v>
      </c>
      <c r="G967" s="2" t="s">
        <v>62</v>
      </c>
      <c r="H967" s="2" t="s">
        <v>75</v>
      </c>
      <c r="I967" s="2">
        <v>4</v>
      </c>
      <c r="J967" s="2">
        <v>2108</v>
      </c>
      <c r="K967" s="2">
        <v>28</v>
      </c>
      <c r="L967" s="2">
        <v>6071.04</v>
      </c>
    </row>
    <row r="968" spans="1:12" x14ac:dyDescent="0.3">
      <c r="A968" s="2" t="s">
        <v>1631</v>
      </c>
      <c r="B968" s="2" t="s">
        <v>578</v>
      </c>
      <c r="C968" s="2" t="s">
        <v>91</v>
      </c>
      <c r="D968" s="2" t="s">
        <v>15</v>
      </c>
      <c r="E968" s="2" t="s">
        <v>48</v>
      </c>
      <c r="F968" s="2" t="s">
        <v>17</v>
      </c>
      <c r="G968" s="2" t="s">
        <v>40</v>
      </c>
      <c r="H968" s="2" t="s">
        <v>44</v>
      </c>
      <c r="I968" s="2">
        <v>4</v>
      </c>
      <c r="J968" s="2">
        <v>4948</v>
      </c>
      <c r="K968" s="2">
        <v>30</v>
      </c>
      <c r="L968" s="2">
        <v>13854.4</v>
      </c>
    </row>
    <row r="969" spans="1:12" x14ac:dyDescent="0.3">
      <c r="A969" s="2" t="s">
        <v>1632</v>
      </c>
      <c r="B969" s="2" t="s">
        <v>634</v>
      </c>
      <c r="C969" s="2" t="s">
        <v>555</v>
      </c>
      <c r="D969" s="2" t="s">
        <v>30</v>
      </c>
      <c r="E969" s="2" t="s">
        <v>31</v>
      </c>
      <c r="F969" s="2" t="s">
        <v>17</v>
      </c>
      <c r="G969" s="2" t="s">
        <v>54</v>
      </c>
      <c r="H969" s="2" t="s">
        <v>33</v>
      </c>
      <c r="I969" s="2">
        <v>2</v>
      </c>
      <c r="J969" s="2">
        <v>2549</v>
      </c>
      <c r="K969" s="2">
        <v>2</v>
      </c>
      <c r="L969" s="2">
        <v>4996.04</v>
      </c>
    </row>
    <row r="970" spans="1:12" x14ac:dyDescent="0.3">
      <c r="A970" s="2" t="s">
        <v>1633</v>
      </c>
      <c r="B970" s="2" t="s">
        <v>263</v>
      </c>
      <c r="C970" s="2" t="s">
        <v>1634</v>
      </c>
      <c r="D970" s="2" t="s">
        <v>88</v>
      </c>
      <c r="E970" s="2" t="s">
        <v>16</v>
      </c>
      <c r="F970" s="2" t="s">
        <v>17</v>
      </c>
      <c r="G970" s="2" t="s">
        <v>54</v>
      </c>
      <c r="H970" s="2" t="s">
        <v>75</v>
      </c>
      <c r="I970" s="2">
        <v>2</v>
      </c>
      <c r="J970" s="2">
        <v>3201</v>
      </c>
      <c r="K970" s="2">
        <v>7</v>
      </c>
      <c r="L970" s="2">
        <v>5953.86</v>
      </c>
    </row>
    <row r="971" spans="1:12" x14ac:dyDescent="0.3">
      <c r="A971" s="2" t="s">
        <v>1635</v>
      </c>
      <c r="B971" s="2" t="s">
        <v>1636</v>
      </c>
      <c r="C971" s="2" t="s">
        <v>1029</v>
      </c>
      <c r="D971" s="2" t="s">
        <v>88</v>
      </c>
      <c r="E971" s="2" t="s">
        <v>48</v>
      </c>
      <c r="F971" s="2" t="s">
        <v>40</v>
      </c>
      <c r="G971" s="2" t="s">
        <v>40</v>
      </c>
      <c r="H971" s="2" t="s">
        <v>44</v>
      </c>
      <c r="I971" s="2">
        <v>2</v>
      </c>
      <c r="J971" s="2">
        <v>3734</v>
      </c>
      <c r="K971" s="2">
        <v>1</v>
      </c>
      <c r="L971" s="2">
        <v>7393.32</v>
      </c>
    </row>
    <row r="972" spans="1:12" x14ac:dyDescent="0.3">
      <c r="A972" s="2" t="s">
        <v>1637</v>
      </c>
      <c r="B972" s="2" t="s">
        <v>834</v>
      </c>
      <c r="C972" s="2" t="s">
        <v>225</v>
      </c>
      <c r="D972" s="2" t="s">
        <v>53</v>
      </c>
      <c r="E972" s="2" t="s">
        <v>24</v>
      </c>
      <c r="F972" s="2" t="s">
        <v>25</v>
      </c>
      <c r="G972" s="2" t="s">
        <v>54</v>
      </c>
      <c r="H972" s="2" t="s">
        <v>19</v>
      </c>
      <c r="I972" s="2">
        <v>2</v>
      </c>
      <c r="J972" s="2">
        <v>4811</v>
      </c>
      <c r="K972" s="2">
        <v>20</v>
      </c>
      <c r="L972" s="2">
        <v>7697.6</v>
      </c>
    </row>
    <row r="973" spans="1:12" x14ac:dyDescent="0.3">
      <c r="A973" s="2" t="s">
        <v>1638</v>
      </c>
      <c r="B973" s="2" t="s">
        <v>1183</v>
      </c>
      <c r="C973" s="2" t="s">
        <v>1342</v>
      </c>
      <c r="D973" s="2" t="s">
        <v>30</v>
      </c>
      <c r="E973" s="2" t="s">
        <v>48</v>
      </c>
      <c r="F973" s="2" t="s">
        <v>32</v>
      </c>
      <c r="G973" s="2" t="s">
        <v>18</v>
      </c>
      <c r="H973" s="2" t="s">
        <v>75</v>
      </c>
      <c r="I973" s="2">
        <v>3</v>
      </c>
      <c r="J973" s="2">
        <v>835</v>
      </c>
      <c r="K973" s="2">
        <v>7</v>
      </c>
      <c r="L973" s="2">
        <v>2329.65</v>
      </c>
    </row>
    <row r="974" spans="1:12" x14ac:dyDescent="0.3">
      <c r="A974" s="2" t="s">
        <v>1639</v>
      </c>
      <c r="B974" s="2" t="s">
        <v>427</v>
      </c>
      <c r="C974" s="2" t="s">
        <v>732</v>
      </c>
      <c r="D974" s="2" t="s">
        <v>30</v>
      </c>
      <c r="E974" s="2" t="s">
        <v>48</v>
      </c>
      <c r="F974" s="2" t="s">
        <v>40</v>
      </c>
      <c r="G974" s="2" t="s">
        <v>40</v>
      </c>
      <c r="H974" s="2" t="s">
        <v>33</v>
      </c>
      <c r="I974" s="2">
        <v>5</v>
      </c>
      <c r="J974" s="2">
        <v>2155</v>
      </c>
      <c r="K974" s="2">
        <v>20</v>
      </c>
      <c r="L974" s="2">
        <v>8620</v>
      </c>
    </row>
    <row r="975" spans="1:12" x14ac:dyDescent="0.3">
      <c r="A975" s="2" t="s">
        <v>1640</v>
      </c>
      <c r="B975" s="2" t="s">
        <v>940</v>
      </c>
      <c r="C975" s="2" t="s">
        <v>858</v>
      </c>
      <c r="D975" s="2" t="s">
        <v>15</v>
      </c>
      <c r="E975" s="2" t="s">
        <v>79</v>
      </c>
      <c r="F975" s="2" t="s">
        <v>49</v>
      </c>
      <c r="G975" s="2" t="s">
        <v>62</v>
      </c>
      <c r="H975" s="2" t="s">
        <v>19</v>
      </c>
      <c r="I975" s="2">
        <v>4</v>
      </c>
      <c r="J975" s="2">
        <v>1084</v>
      </c>
      <c r="K975" s="2">
        <v>16</v>
      </c>
      <c r="L975" s="2">
        <v>3642.24</v>
      </c>
    </row>
    <row r="976" spans="1:12" x14ac:dyDescent="0.3">
      <c r="A976" s="2" t="s">
        <v>1641</v>
      </c>
      <c r="B976" s="2" t="s">
        <v>985</v>
      </c>
      <c r="C976" s="2" t="s">
        <v>994</v>
      </c>
      <c r="D976" s="2" t="s">
        <v>53</v>
      </c>
      <c r="E976" s="2" t="s">
        <v>58</v>
      </c>
      <c r="F976" s="2" t="s">
        <v>49</v>
      </c>
      <c r="G976" s="2" t="s">
        <v>26</v>
      </c>
      <c r="H976" s="2" t="s">
        <v>19</v>
      </c>
      <c r="I976" s="2">
        <v>2</v>
      </c>
      <c r="J976" s="2">
        <v>4662</v>
      </c>
      <c r="K976" s="2">
        <v>6</v>
      </c>
      <c r="L976" s="2">
        <v>8764.56</v>
      </c>
    </row>
    <row r="977" spans="1:12" x14ac:dyDescent="0.3">
      <c r="A977" s="2" t="s">
        <v>1642</v>
      </c>
      <c r="B977" s="2" t="s">
        <v>592</v>
      </c>
      <c r="C977" s="2" t="s">
        <v>228</v>
      </c>
      <c r="D977" s="2" t="s">
        <v>88</v>
      </c>
      <c r="E977" s="2" t="s">
        <v>68</v>
      </c>
      <c r="F977" s="2" t="s">
        <v>49</v>
      </c>
      <c r="G977" s="2" t="s">
        <v>54</v>
      </c>
      <c r="H977" s="2" t="s">
        <v>44</v>
      </c>
      <c r="I977" s="2">
        <v>5</v>
      </c>
      <c r="J977" s="2">
        <v>2616</v>
      </c>
      <c r="K977" s="2">
        <v>15</v>
      </c>
      <c r="L977" s="2">
        <v>11118</v>
      </c>
    </row>
    <row r="978" spans="1:12" x14ac:dyDescent="0.3">
      <c r="A978" s="2" t="s">
        <v>1643</v>
      </c>
      <c r="B978" s="2" t="s">
        <v>1484</v>
      </c>
      <c r="C978" s="2" t="s">
        <v>1249</v>
      </c>
      <c r="D978" s="2" t="s">
        <v>30</v>
      </c>
      <c r="E978" s="2" t="s">
        <v>79</v>
      </c>
      <c r="F978" s="2" t="s">
        <v>40</v>
      </c>
      <c r="G978" s="2" t="s">
        <v>54</v>
      </c>
      <c r="H978" s="2" t="s">
        <v>33</v>
      </c>
      <c r="I978" s="2">
        <v>2</v>
      </c>
      <c r="J978" s="2">
        <v>1390</v>
      </c>
      <c r="K978" s="2">
        <v>28</v>
      </c>
      <c r="L978" s="2">
        <v>2001.6</v>
      </c>
    </row>
    <row r="979" spans="1:12" x14ac:dyDescent="0.3">
      <c r="A979" s="2" t="s">
        <v>1644</v>
      </c>
      <c r="B979" s="2" t="s">
        <v>1021</v>
      </c>
      <c r="C979" s="2" t="s">
        <v>281</v>
      </c>
      <c r="D979" s="2" t="s">
        <v>88</v>
      </c>
      <c r="E979" s="2" t="s">
        <v>58</v>
      </c>
      <c r="F979" s="2" t="s">
        <v>32</v>
      </c>
      <c r="G979" s="2" t="s">
        <v>40</v>
      </c>
      <c r="H979" s="2" t="s">
        <v>75</v>
      </c>
      <c r="I979" s="2">
        <v>2</v>
      </c>
      <c r="J979" s="2">
        <v>4447</v>
      </c>
      <c r="K979" s="2">
        <v>18</v>
      </c>
      <c r="L979" s="2">
        <v>7293.08</v>
      </c>
    </row>
    <row r="980" spans="1:12" x14ac:dyDescent="0.3">
      <c r="A980" s="2" t="s">
        <v>1645</v>
      </c>
      <c r="B980" s="2" t="s">
        <v>561</v>
      </c>
      <c r="C980" s="2" t="s">
        <v>1646</v>
      </c>
      <c r="D980" s="2" t="s">
        <v>53</v>
      </c>
      <c r="E980" s="2" t="s">
        <v>31</v>
      </c>
      <c r="F980" s="2" t="s">
        <v>17</v>
      </c>
      <c r="G980" s="2" t="s">
        <v>26</v>
      </c>
      <c r="H980" s="2" t="s">
        <v>33</v>
      </c>
      <c r="I980" s="2">
        <v>1</v>
      </c>
      <c r="J980" s="2">
        <v>568</v>
      </c>
      <c r="K980" s="2">
        <v>29</v>
      </c>
      <c r="L980" s="2">
        <v>403.28</v>
      </c>
    </row>
    <row r="981" spans="1:12" x14ac:dyDescent="0.3">
      <c r="A981" s="2" t="s">
        <v>1647</v>
      </c>
      <c r="B981" s="2" t="s">
        <v>866</v>
      </c>
      <c r="C981" s="2" t="s">
        <v>91</v>
      </c>
      <c r="D981" s="2" t="s">
        <v>88</v>
      </c>
      <c r="E981" s="2" t="s">
        <v>31</v>
      </c>
      <c r="F981" s="2" t="s">
        <v>17</v>
      </c>
      <c r="G981" s="2" t="s">
        <v>54</v>
      </c>
      <c r="H981" s="2" t="s">
        <v>19</v>
      </c>
      <c r="I981" s="2">
        <v>4</v>
      </c>
      <c r="J981" s="2">
        <v>4347</v>
      </c>
      <c r="K981" s="2">
        <v>10</v>
      </c>
      <c r="L981" s="2">
        <v>15649.2</v>
      </c>
    </row>
    <row r="982" spans="1:12" x14ac:dyDescent="0.3">
      <c r="A982" s="2" t="s">
        <v>1648</v>
      </c>
      <c r="B982" s="2" t="s">
        <v>696</v>
      </c>
      <c r="C982" s="2" t="s">
        <v>1227</v>
      </c>
      <c r="D982" s="2" t="s">
        <v>30</v>
      </c>
      <c r="E982" s="2" t="s">
        <v>16</v>
      </c>
      <c r="F982" s="2" t="s">
        <v>40</v>
      </c>
      <c r="G982" s="2" t="s">
        <v>40</v>
      </c>
      <c r="H982" s="2" t="s">
        <v>75</v>
      </c>
      <c r="I982" s="2">
        <v>2</v>
      </c>
      <c r="J982" s="2">
        <v>4205</v>
      </c>
      <c r="K982" s="2">
        <v>19</v>
      </c>
      <c r="L982" s="2">
        <v>6812.1</v>
      </c>
    </row>
    <row r="983" spans="1:12" x14ac:dyDescent="0.3">
      <c r="A983" s="2" t="s">
        <v>1649</v>
      </c>
      <c r="B983" s="2" t="s">
        <v>728</v>
      </c>
      <c r="C983" s="2" t="s">
        <v>918</v>
      </c>
      <c r="D983" s="2" t="s">
        <v>30</v>
      </c>
      <c r="E983" s="2" t="s">
        <v>24</v>
      </c>
      <c r="F983" s="2" t="s">
        <v>40</v>
      </c>
      <c r="G983" s="2" t="s">
        <v>40</v>
      </c>
      <c r="H983" s="2" t="s">
        <v>19</v>
      </c>
      <c r="I983" s="2">
        <v>2</v>
      </c>
      <c r="J983" s="2">
        <v>4046</v>
      </c>
      <c r="K983" s="2">
        <v>12</v>
      </c>
      <c r="L983" s="2">
        <v>7120.96</v>
      </c>
    </row>
    <row r="984" spans="1:12" x14ac:dyDescent="0.3">
      <c r="A984" s="2" t="s">
        <v>1650</v>
      </c>
      <c r="B984" s="2" t="s">
        <v>1349</v>
      </c>
      <c r="C984" s="2" t="s">
        <v>660</v>
      </c>
      <c r="D984" s="2" t="s">
        <v>88</v>
      </c>
      <c r="E984" s="2" t="s">
        <v>58</v>
      </c>
      <c r="F984" s="2" t="s">
        <v>49</v>
      </c>
      <c r="G984" s="2" t="s">
        <v>18</v>
      </c>
      <c r="H984" s="2" t="s">
        <v>75</v>
      </c>
      <c r="I984" s="2">
        <v>1</v>
      </c>
      <c r="J984" s="2">
        <v>2721</v>
      </c>
      <c r="K984" s="2">
        <v>17</v>
      </c>
      <c r="L984" s="2">
        <v>2258.4299999999998</v>
      </c>
    </row>
    <row r="985" spans="1:12" x14ac:dyDescent="0.3">
      <c r="A985" s="2" t="s">
        <v>1651</v>
      </c>
      <c r="B985" s="2" t="s">
        <v>1045</v>
      </c>
      <c r="C985" s="2" t="s">
        <v>658</v>
      </c>
      <c r="D985" s="2" t="s">
        <v>15</v>
      </c>
      <c r="E985" s="2" t="s">
        <v>68</v>
      </c>
      <c r="F985" s="2" t="s">
        <v>40</v>
      </c>
      <c r="G985" s="2" t="s">
        <v>54</v>
      </c>
      <c r="H985" s="2" t="s">
        <v>44</v>
      </c>
      <c r="I985" s="2">
        <v>5</v>
      </c>
      <c r="J985" s="2">
        <v>2380</v>
      </c>
      <c r="K985" s="2">
        <v>7</v>
      </c>
      <c r="L985" s="2">
        <v>11067</v>
      </c>
    </row>
    <row r="986" spans="1:12" x14ac:dyDescent="0.3">
      <c r="A986" s="2" t="s">
        <v>1652</v>
      </c>
      <c r="B986" s="2" t="s">
        <v>60</v>
      </c>
      <c r="C986" s="2" t="s">
        <v>1653</v>
      </c>
      <c r="D986" s="2" t="s">
        <v>23</v>
      </c>
      <c r="E986" s="2" t="s">
        <v>68</v>
      </c>
      <c r="F986" s="2" t="s">
        <v>25</v>
      </c>
      <c r="G986" s="2" t="s">
        <v>62</v>
      </c>
      <c r="H986" s="2" t="s">
        <v>44</v>
      </c>
      <c r="I986" s="2">
        <v>1</v>
      </c>
      <c r="J986" s="2">
        <v>2103</v>
      </c>
      <c r="K986" s="2">
        <v>13</v>
      </c>
      <c r="L986" s="2">
        <v>1829.61</v>
      </c>
    </row>
    <row r="987" spans="1:12" x14ac:dyDescent="0.3">
      <c r="A987" s="2" t="s">
        <v>1654</v>
      </c>
      <c r="B987" s="2" t="s">
        <v>369</v>
      </c>
      <c r="C987" s="2" t="s">
        <v>1655</v>
      </c>
      <c r="D987" s="2" t="s">
        <v>88</v>
      </c>
      <c r="E987" s="2" t="s">
        <v>79</v>
      </c>
      <c r="F987" s="2" t="s">
        <v>49</v>
      </c>
      <c r="G987" s="2" t="s">
        <v>18</v>
      </c>
      <c r="H987" s="2" t="s">
        <v>75</v>
      </c>
      <c r="I987" s="2">
        <v>2</v>
      </c>
      <c r="J987" s="2">
        <v>2448</v>
      </c>
      <c r="K987" s="2">
        <v>30</v>
      </c>
      <c r="L987" s="2">
        <v>3427.2</v>
      </c>
    </row>
    <row r="988" spans="1:12" x14ac:dyDescent="0.3">
      <c r="A988" s="2" t="s">
        <v>1656</v>
      </c>
      <c r="B988" s="2" t="s">
        <v>66</v>
      </c>
      <c r="C988" s="2" t="s">
        <v>91</v>
      </c>
      <c r="D988" s="2" t="s">
        <v>88</v>
      </c>
      <c r="E988" s="2" t="s">
        <v>79</v>
      </c>
      <c r="F988" s="2" t="s">
        <v>17</v>
      </c>
      <c r="G988" s="2" t="s">
        <v>62</v>
      </c>
      <c r="H988" s="2" t="s">
        <v>44</v>
      </c>
      <c r="I988" s="2">
        <v>3</v>
      </c>
      <c r="J988" s="2">
        <v>943</v>
      </c>
      <c r="K988" s="2">
        <v>7</v>
      </c>
      <c r="L988" s="2">
        <v>2630.97</v>
      </c>
    </row>
    <row r="989" spans="1:12" x14ac:dyDescent="0.3">
      <c r="A989" s="2" t="s">
        <v>1657</v>
      </c>
      <c r="B989" s="2" t="s">
        <v>848</v>
      </c>
      <c r="C989" s="2" t="s">
        <v>1340</v>
      </c>
      <c r="D989" s="2" t="s">
        <v>23</v>
      </c>
      <c r="E989" s="2" t="s">
        <v>48</v>
      </c>
      <c r="F989" s="2" t="s">
        <v>49</v>
      </c>
      <c r="G989" s="2" t="s">
        <v>54</v>
      </c>
      <c r="H989" s="2" t="s">
        <v>75</v>
      </c>
      <c r="I989" s="2">
        <v>1</v>
      </c>
      <c r="J989" s="2">
        <v>3124</v>
      </c>
      <c r="K989" s="2">
        <v>28</v>
      </c>
      <c r="L989" s="2">
        <v>2249.2800000000002</v>
      </c>
    </row>
    <row r="990" spans="1:12" x14ac:dyDescent="0.3">
      <c r="A990" s="2" t="s">
        <v>1658</v>
      </c>
      <c r="B990" s="2" t="s">
        <v>985</v>
      </c>
      <c r="C990" s="2" t="s">
        <v>78</v>
      </c>
      <c r="D990" s="2" t="s">
        <v>88</v>
      </c>
      <c r="E990" s="2" t="s">
        <v>68</v>
      </c>
      <c r="F990" s="2" t="s">
        <v>49</v>
      </c>
      <c r="G990" s="2" t="s">
        <v>54</v>
      </c>
      <c r="H990" s="2" t="s">
        <v>44</v>
      </c>
      <c r="I990" s="2">
        <v>3</v>
      </c>
      <c r="J990" s="2">
        <v>2825</v>
      </c>
      <c r="K990" s="2">
        <v>27</v>
      </c>
      <c r="L990" s="2">
        <v>6186.75</v>
      </c>
    </row>
    <row r="991" spans="1:12" x14ac:dyDescent="0.3">
      <c r="A991" s="2" t="s">
        <v>1659</v>
      </c>
      <c r="B991" s="2" t="s">
        <v>1151</v>
      </c>
      <c r="C991" s="2" t="s">
        <v>225</v>
      </c>
      <c r="D991" s="2" t="s">
        <v>23</v>
      </c>
      <c r="E991" s="2" t="s">
        <v>68</v>
      </c>
      <c r="F991" s="2" t="s">
        <v>40</v>
      </c>
      <c r="G991" s="2" t="s">
        <v>40</v>
      </c>
      <c r="H991" s="2" t="s">
        <v>33</v>
      </c>
      <c r="I991" s="2">
        <v>5</v>
      </c>
      <c r="J991" s="2">
        <v>4129</v>
      </c>
      <c r="K991" s="2">
        <v>12</v>
      </c>
      <c r="L991" s="2">
        <v>18167.599999999999</v>
      </c>
    </row>
    <row r="992" spans="1:12" x14ac:dyDescent="0.3">
      <c r="A992" s="2" t="s">
        <v>1660</v>
      </c>
      <c r="B992" s="2" t="s">
        <v>1661</v>
      </c>
      <c r="C992" s="2" t="s">
        <v>743</v>
      </c>
      <c r="D992" s="2" t="s">
        <v>30</v>
      </c>
      <c r="E992" s="2" t="s">
        <v>24</v>
      </c>
      <c r="F992" s="2" t="s">
        <v>17</v>
      </c>
      <c r="G992" s="2" t="s">
        <v>26</v>
      </c>
      <c r="H992" s="2" t="s">
        <v>75</v>
      </c>
      <c r="I992" s="2">
        <v>4</v>
      </c>
      <c r="J992" s="2">
        <v>2135</v>
      </c>
      <c r="K992" s="2">
        <v>3</v>
      </c>
      <c r="L992" s="2">
        <v>8283.7999999999993</v>
      </c>
    </row>
    <row r="993" spans="1:12" x14ac:dyDescent="0.3">
      <c r="A993" s="2" t="s">
        <v>1662</v>
      </c>
      <c r="B993" s="2" t="s">
        <v>257</v>
      </c>
      <c r="C993" s="2" t="s">
        <v>84</v>
      </c>
      <c r="D993" s="2" t="s">
        <v>30</v>
      </c>
      <c r="E993" s="2" t="s">
        <v>31</v>
      </c>
      <c r="F993" s="2" t="s">
        <v>49</v>
      </c>
      <c r="G993" s="2" t="s">
        <v>18</v>
      </c>
      <c r="H993" s="2" t="s">
        <v>75</v>
      </c>
      <c r="I993" s="2">
        <v>5</v>
      </c>
      <c r="J993" s="2">
        <v>3709</v>
      </c>
      <c r="K993" s="2">
        <v>0</v>
      </c>
      <c r="L993" s="2">
        <v>18545</v>
      </c>
    </row>
    <row r="994" spans="1:12" x14ac:dyDescent="0.3">
      <c r="A994" s="2" t="s">
        <v>1663</v>
      </c>
      <c r="B994" s="2" t="s">
        <v>395</v>
      </c>
      <c r="C994" s="2" t="s">
        <v>878</v>
      </c>
      <c r="D994" s="2" t="s">
        <v>15</v>
      </c>
      <c r="E994" s="2" t="s">
        <v>24</v>
      </c>
      <c r="F994" s="2" t="s">
        <v>40</v>
      </c>
      <c r="G994" s="2" t="s">
        <v>40</v>
      </c>
      <c r="H994" s="2" t="s">
        <v>19</v>
      </c>
      <c r="I994" s="2">
        <v>4</v>
      </c>
      <c r="J994" s="2">
        <v>792</v>
      </c>
      <c r="K994" s="2">
        <v>25</v>
      </c>
      <c r="L994" s="2">
        <v>2376</v>
      </c>
    </row>
    <row r="995" spans="1:12" x14ac:dyDescent="0.3">
      <c r="A995" s="2" t="s">
        <v>1664</v>
      </c>
      <c r="B995" s="2" t="s">
        <v>1410</v>
      </c>
      <c r="C995" s="2" t="s">
        <v>127</v>
      </c>
      <c r="D995" s="2" t="s">
        <v>53</v>
      </c>
      <c r="E995" s="2" t="s">
        <v>16</v>
      </c>
      <c r="F995" s="2" t="s">
        <v>17</v>
      </c>
      <c r="G995" s="2" t="s">
        <v>54</v>
      </c>
      <c r="H995" s="2" t="s">
        <v>75</v>
      </c>
      <c r="I995" s="2">
        <v>3</v>
      </c>
      <c r="J995" s="2">
        <v>2169</v>
      </c>
      <c r="K995" s="2">
        <v>23</v>
      </c>
      <c r="L995" s="2">
        <v>5010.3900000000003</v>
      </c>
    </row>
    <row r="996" spans="1:12" x14ac:dyDescent="0.3">
      <c r="A996" s="2" t="s">
        <v>1665</v>
      </c>
      <c r="B996" s="2" t="s">
        <v>739</v>
      </c>
      <c r="C996" s="2" t="s">
        <v>247</v>
      </c>
      <c r="D996" s="2" t="s">
        <v>53</v>
      </c>
      <c r="E996" s="2" t="s">
        <v>79</v>
      </c>
      <c r="F996" s="2" t="s">
        <v>32</v>
      </c>
      <c r="G996" s="2" t="s">
        <v>54</v>
      </c>
      <c r="H996" s="2" t="s">
        <v>19</v>
      </c>
      <c r="I996" s="2">
        <v>1</v>
      </c>
      <c r="J996" s="2">
        <v>1111</v>
      </c>
      <c r="K996" s="2">
        <v>20</v>
      </c>
      <c r="L996" s="2">
        <v>888.8</v>
      </c>
    </row>
    <row r="997" spans="1:12" x14ac:dyDescent="0.3">
      <c r="A997" s="2" t="s">
        <v>1666</v>
      </c>
      <c r="B997" s="2" t="s">
        <v>300</v>
      </c>
      <c r="C997" s="2" t="s">
        <v>219</v>
      </c>
      <c r="D997" s="2" t="s">
        <v>15</v>
      </c>
      <c r="E997" s="2" t="s">
        <v>48</v>
      </c>
      <c r="F997" s="2" t="s">
        <v>25</v>
      </c>
      <c r="G997" s="2" t="s">
        <v>54</v>
      </c>
      <c r="H997" s="2" t="s">
        <v>44</v>
      </c>
      <c r="I997" s="2">
        <v>5</v>
      </c>
      <c r="J997" s="2">
        <v>983</v>
      </c>
      <c r="K997" s="2">
        <v>5</v>
      </c>
      <c r="L997" s="2">
        <v>4669.25</v>
      </c>
    </row>
    <row r="998" spans="1:12" x14ac:dyDescent="0.3">
      <c r="A998" s="2" t="s">
        <v>1667</v>
      </c>
      <c r="B998" s="2" t="s">
        <v>56</v>
      </c>
      <c r="C998" s="2" t="s">
        <v>160</v>
      </c>
      <c r="D998" s="2" t="s">
        <v>23</v>
      </c>
      <c r="E998" s="2" t="s">
        <v>24</v>
      </c>
      <c r="F998" s="2" t="s">
        <v>49</v>
      </c>
      <c r="G998" s="2" t="s">
        <v>40</v>
      </c>
      <c r="H998" s="2" t="s">
        <v>33</v>
      </c>
      <c r="I998" s="2">
        <v>4</v>
      </c>
      <c r="J998" s="2">
        <v>1378</v>
      </c>
      <c r="K998" s="2">
        <v>30</v>
      </c>
      <c r="L998" s="2">
        <v>3858.4</v>
      </c>
    </row>
    <row r="999" spans="1:12" x14ac:dyDescent="0.3">
      <c r="A999" s="2" t="s">
        <v>1668</v>
      </c>
      <c r="B999" s="2" t="s">
        <v>35</v>
      </c>
      <c r="C999" s="2" t="s">
        <v>1669</v>
      </c>
      <c r="D999" s="2" t="s">
        <v>30</v>
      </c>
      <c r="E999" s="2" t="s">
        <v>24</v>
      </c>
      <c r="F999" s="2" t="s">
        <v>17</v>
      </c>
      <c r="G999" s="2" t="s">
        <v>18</v>
      </c>
      <c r="H999" s="2" t="s">
        <v>19</v>
      </c>
      <c r="I999" s="2">
        <v>4</v>
      </c>
      <c r="J999" s="2">
        <v>4680</v>
      </c>
      <c r="K999" s="2">
        <v>18</v>
      </c>
      <c r="L999" s="2">
        <v>15350.4</v>
      </c>
    </row>
    <row r="1000" spans="1:12" x14ac:dyDescent="0.3">
      <c r="A1000" s="2" t="s">
        <v>1670</v>
      </c>
      <c r="B1000" s="2" t="s">
        <v>810</v>
      </c>
      <c r="C1000" s="2" t="s">
        <v>692</v>
      </c>
      <c r="D1000" s="2" t="s">
        <v>15</v>
      </c>
      <c r="E1000" s="2" t="s">
        <v>68</v>
      </c>
      <c r="F1000" s="2" t="s">
        <v>40</v>
      </c>
      <c r="G1000" s="2" t="s">
        <v>18</v>
      </c>
      <c r="H1000" s="2" t="s">
        <v>75</v>
      </c>
      <c r="I1000" s="2">
        <v>4</v>
      </c>
      <c r="J1000" s="2">
        <v>2553</v>
      </c>
      <c r="K1000" s="2">
        <v>30</v>
      </c>
      <c r="L1000" s="2">
        <v>7148.4</v>
      </c>
    </row>
    <row r="1001" spans="1:12" x14ac:dyDescent="0.3">
      <c r="A1001" s="2" t="s">
        <v>1671</v>
      </c>
      <c r="B1001" s="2" t="s">
        <v>1672</v>
      </c>
      <c r="C1001" s="2" t="s">
        <v>219</v>
      </c>
      <c r="D1001" s="2" t="s">
        <v>53</v>
      </c>
      <c r="E1001" s="2" t="s">
        <v>24</v>
      </c>
      <c r="F1001" s="2" t="s">
        <v>40</v>
      </c>
      <c r="G1001" s="2" t="s">
        <v>26</v>
      </c>
      <c r="H1001" s="2" t="s">
        <v>19</v>
      </c>
      <c r="I1001" s="2">
        <v>1</v>
      </c>
      <c r="J1001" s="2">
        <v>1936</v>
      </c>
      <c r="K1001" s="2">
        <v>8</v>
      </c>
      <c r="L1001" s="2">
        <v>1781.12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13DA-8667-462E-972A-E41D2995DEF1}">
  <dimension ref="A3:L366"/>
  <sheetViews>
    <sheetView topLeftCell="C1" workbookViewId="0">
      <selection activeCell="L21" sqref="L21"/>
    </sheetView>
  </sheetViews>
  <sheetFormatPr defaultRowHeight="14.4" x14ac:dyDescent="0.3"/>
  <cols>
    <col min="1" max="1" width="12.5546875" bestFit="1" customWidth="1"/>
    <col min="2" max="2" width="17" bestFit="1" customWidth="1"/>
    <col min="4" max="4" width="12.5546875" bestFit="1" customWidth="1"/>
    <col min="5" max="5" width="16.6640625" customWidth="1"/>
    <col min="6" max="6" width="17" bestFit="1" customWidth="1"/>
    <col min="7" max="7" width="12.5546875" bestFit="1" customWidth="1"/>
    <col min="8" max="8" width="17.109375" customWidth="1"/>
    <col min="9" max="9" width="17" bestFit="1" customWidth="1"/>
    <col min="10" max="10" width="14.5546875" bestFit="1" customWidth="1"/>
    <col min="11" max="12" width="17" bestFit="1" customWidth="1"/>
  </cols>
  <sheetData>
    <row r="3" spans="1:11" x14ac:dyDescent="0.3">
      <c r="A3" s="14" t="s">
        <v>1673</v>
      </c>
      <c r="B3" t="s">
        <v>1674</v>
      </c>
      <c r="D3" s="14" t="s">
        <v>1673</v>
      </c>
      <c r="E3" t="s">
        <v>1674</v>
      </c>
    </row>
    <row r="4" spans="1:11" x14ac:dyDescent="0.3">
      <c r="A4" s="15" t="s">
        <v>1203</v>
      </c>
      <c r="B4" s="23">
        <v>14581.07</v>
      </c>
      <c r="D4" s="15" t="s">
        <v>68</v>
      </c>
      <c r="E4" s="23">
        <v>934521.81999999948</v>
      </c>
      <c r="G4" s="14" t="s">
        <v>1673</v>
      </c>
      <c r="H4" t="s">
        <v>1674</v>
      </c>
      <c r="J4" s="14" t="s">
        <v>1673</v>
      </c>
      <c r="K4" t="s">
        <v>1674</v>
      </c>
    </row>
    <row r="5" spans="1:11" x14ac:dyDescent="0.3">
      <c r="A5" s="15" t="s">
        <v>820</v>
      </c>
      <c r="B5" s="23">
        <v>6021.48</v>
      </c>
      <c r="D5" s="15" t="s">
        <v>24</v>
      </c>
      <c r="E5" s="23">
        <v>895000.00999999989</v>
      </c>
      <c r="G5" s="15" t="s">
        <v>53</v>
      </c>
      <c r="H5" s="23">
        <v>1276036.9699999995</v>
      </c>
      <c r="J5" s="15" t="s">
        <v>19</v>
      </c>
      <c r="K5" s="23">
        <v>1700141.95</v>
      </c>
    </row>
    <row r="6" spans="1:11" x14ac:dyDescent="0.3">
      <c r="A6" s="15" t="s">
        <v>758</v>
      </c>
      <c r="B6" s="23">
        <v>54557.270000000004</v>
      </c>
      <c r="D6" s="15" t="s">
        <v>16</v>
      </c>
      <c r="E6" s="23">
        <v>980515.01999999979</v>
      </c>
      <c r="G6" s="15" t="s">
        <v>23</v>
      </c>
      <c r="H6" s="23">
        <v>1203010.2400000009</v>
      </c>
      <c r="J6" s="15" t="s">
        <v>44</v>
      </c>
      <c r="K6" s="23">
        <v>1443954.9500000018</v>
      </c>
    </row>
    <row r="7" spans="1:11" x14ac:dyDescent="0.3">
      <c r="A7" s="15" t="s">
        <v>1603</v>
      </c>
      <c r="B7" s="23">
        <v>11742.5</v>
      </c>
      <c r="D7" s="15" t="s">
        <v>79</v>
      </c>
      <c r="E7" s="23">
        <v>861297.64000000013</v>
      </c>
      <c r="G7" s="15" t="s">
        <v>88</v>
      </c>
      <c r="H7" s="23">
        <v>1335970.2300000002</v>
      </c>
      <c r="J7" s="15" t="s">
        <v>75</v>
      </c>
      <c r="K7" s="23">
        <v>1672192.48</v>
      </c>
    </row>
    <row r="8" spans="1:11" x14ac:dyDescent="0.3">
      <c r="A8" s="15" t="s">
        <v>136</v>
      </c>
      <c r="B8" s="23">
        <v>34093.279999999999</v>
      </c>
      <c r="D8" s="15" t="s">
        <v>58</v>
      </c>
      <c r="E8" s="23">
        <v>957518.79000000015</v>
      </c>
      <c r="G8" s="15" t="s">
        <v>15</v>
      </c>
      <c r="H8" s="23">
        <v>1403821.6700000006</v>
      </c>
      <c r="J8" s="15" t="s">
        <v>33</v>
      </c>
      <c r="K8" s="23">
        <v>1690389.3299999998</v>
      </c>
    </row>
    <row r="9" spans="1:11" x14ac:dyDescent="0.3">
      <c r="A9" s="15" t="s">
        <v>317</v>
      </c>
      <c r="B9" s="23">
        <v>70663.900000000009</v>
      </c>
      <c r="D9" s="15" t="s">
        <v>48</v>
      </c>
      <c r="E9" s="23">
        <v>957239.85</v>
      </c>
      <c r="G9" s="15" t="s">
        <v>30</v>
      </c>
      <c r="H9" s="23">
        <v>1287839.5999999996</v>
      </c>
      <c r="J9" s="15" t="s">
        <v>1675</v>
      </c>
      <c r="K9" s="23">
        <v>6506678.7100000018</v>
      </c>
    </row>
    <row r="10" spans="1:11" x14ac:dyDescent="0.3">
      <c r="A10" s="15" t="s">
        <v>47</v>
      </c>
      <c r="B10" s="23">
        <v>38207.58</v>
      </c>
      <c r="D10" s="15" t="s">
        <v>31</v>
      </c>
      <c r="E10" s="23">
        <v>920585.58</v>
      </c>
      <c r="G10" s="15" t="s">
        <v>1675</v>
      </c>
      <c r="H10" s="23">
        <v>6506678.7100000009</v>
      </c>
    </row>
    <row r="11" spans="1:11" x14ac:dyDescent="0.3">
      <c r="A11" s="15" t="s">
        <v>1075</v>
      </c>
      <c r="B11" s="23">
        <v>13573.65</v>
      </c>
      <c r="D11" s="15" t="s">
        <v>1675</v>
      </c>
      <c r="E11" s="23">
        <v>6506678.709999999</v>
      </c>
    </row>
    <row r="12" spans="1:11" x14ac:dyDescent="0.3">
      <c r="A12" s="15" t="s">
        <v>61</v>
      </c>
      <c r="B12" s="23">
        <v>36267.480000000003</v>
      </c>
    </row>
    <row r="13" spans="1:11" x14ac:dyDescent="0.3">
      <c r="A13" s="15" t="s">
        <v>573</v>
      </c>
      <c r="B13" s="23">
        <v>9543.119999999999</v>
      </c>
    </row>
    <row r="14" spans="1:11" x14ac:dyDescent="0.3">
      <c r="A14" s="15" t="s">
        <v>404</v>
      </c>
      <c r="B14" s="23">
        <v>19805.009999999998</v>
      </c>
    </row>
    <row r="15" spans="1:11" x14ac:dyDescent="0.3">
      <c r="A15" s="15" t="s">
        <v>1190</v>
      </c>
      <c r="B15" s="23">
        <v>5869.38</v>
      </c>
    </row>
    <row r="16" spans="1:11" x14ac:dyDescent="0.3">
      <c r="A16" s="15" t="s">
        <v>597</v>
      </c>
      <c r="B16" s="23">
        <v>24953.85</v>
      </c>
    </row>
    <row r="17" spans="1:12" x14ac:dyDescent="0.3">
      <c r="A17" s="15" t="s">
        <v>570</v>
      </c>
      <c r="B17" s="23">
        <v>38146.6</v>
      </c>
      <c r="E17" s="14" t="s">
        <v>1673</v>
      </c>
      <c r="F17" t="s">
        <v>1674</v>
      </c>
    </row>
    <row r="18" spans="1:12" x14ac:dyDescent="0.3">
      <c r="A18" s="15" t="s">
        <v>955</v>
      </c>
      <c r="B18" s="23">
        <v>29604.9</v>
      </c>
      <c r="E18" s="15" t="s">
        <v>25</v>
      </c>
      <c r="F18" s="23">
        <v>1058828.7499999991</v>
      </c>
      <c r="H18" s="14" t="s">
        <v>1673</v>
      </c>
      <c r="I18" t="s">
        <v>1674</v>
      </c>
    </row>
    <row r="19" spans="1:12" x14ac:dyDescent="0.3">
      <c r="A19" s="15" t="s">
        <v>899</v>
      </c>
      <c r="B19" s="23">
        <v>18659.64</v>
      </c>
      <c r="E19" s="15" t="s">
        <v>32</v>
      </c>
      <c r="F19" s="23">
        <v>1325354.2899999989</v>
      </c>
      <c r="H19" s="15" t="s">
        <v>40</v>
      </c>
      <c r="I19" s="23">
        <v>1157746.5399999993</v>
      </c>
      <c r="K19" s="14" t="s">
        <v>1673</v>
      </c>
      <c r="L19" t="s">
        <v>1674</v>
      </c>
    </row>
    <row r="20" spans="1:12" x14ac:dyDescent="0.3">
      <c r="A20" s="15" t="s">
        <v>401</v>
      </c>
      <c r="B20" s="23">
        <v>5469.6</v>
      </c>
      <c r="E20" s="15" t="s">
        <v>40</v>
      </c>
      <c r="F20" s="23">
        <v>1409791.6800000004</v>
      </c>
      <c r="H20" s="15" t="s">
        <v>54</v>
      </c>
      <c r="I20" s="23">
        <v>1301834.4300000004</v>
      </c>
      <c r="K20" s="15" t="s">
        <v>70</v>
      </c>
      <c r="L20" s="23">
        <v>13052.76</v>
      </c>
    </row>
    <row r="21" spans="1:12" x14ac:dyDescent="0.3">
      <c r="A21" s="15" t="s">
        <v>74</v>
      </c>
      <c r="B21" s="23">
        <v>21422.639999999999</v>
      </c>
      <c r="E21" s="15" t="s">
        <v>17</v>
      </c>
      <c r="F21" s="23">
        <v>1305176.8100000005</v>
      </c>
      <c r="H21" s="15" t="s">
        <v>26</v>
      </c>
      <c r="I21" s="23">
        <v>1380971.4799999997</v>
      </c>
      <c r="K21" s="15" t="s">
        <v>307</v>
      </c>
      <c r="L21" s="23">
        <v>10625.32</v>
      </c>
    </row>
    <row r="22" spans="1:12" x14ac:dyDescent="0.3">
      <c r="A22" s="15" t="s">
        <v>543</v>
      </c>
      <c r="B22" s="23">
        <v>25032.65</v>
      </c>
      <c r="E22" s="15" t="s">
        <v>49</v>
      </c>
      <c r="F22" s="23">
        <v>1407527.18</v>
      </c>
      <c r="H22" s="15" t="s">
        <v>62</v>
      </c>
      <c r="I22" s="23">
        <v>1324007.9800000018</v>
      </c>
      <c r="K22" s="15" t="s">
        <v>60</v>
      </c>
      <c r="L22" s="23">
        <v>30946.33</v>
      </c>
    </row>
    <row r="23" spans="1:12" x14ac:dyDescent="0.3">
      <c r="A23" s="15" t="s">
        <v>111</v>
      </c>
      <c r="B23" s="23">
        <v>46316.950000000004</v>
      </c>
      <c r="E23" s="15" t="s">
        <v>1675</v>
      </c>
      <c r="F23" s="23">
        <v>6506678.709999999</v>
      </c>
      <c r="H23" s="15" t="s">
        <v>18</v>
      </c>
      <c r="I23" s="23">
        <v>1342118.2799999998</v>
      </c>
      <c r="K23" s="15" t="s">
        <v>901</v>
      </c>
      <c r="L23" s="23">
        <v>34047.08</v>
      </c>
    </row>
    <row r="24" spans="1:12" x14ac:dyDescent="0.3">
      <c r="A24" s="15" t="s">
        <v>649</v>
      </c>
      <c r="B24" s="23">
        <v>32060.7</v>
      </c>
      <c r="H24" s="15" t="s">
        <v>1675</v>
      </c>
      <c r="I24" s="23">
        <v>6506678.7100000009</v>
      </c>
      <c r="K24" s="15" t="s">
        <v>1307</v>
      </c>
      <c r="L24" s="23">
        <v>4584.8999999999996</v>
      </c>
    </row>
    <row r="25" spans="1:12" x14ac:dyDescent="0.3">
      <c r="A25" s="15" t="s">
        <v>383</v>
      </c>
      <c r="B25" s="23">
        <v>14603.04</v>
      </c>
      <c r="K25" s="15" t="s">
        <v>987</v>
      </c>
      <c r="L25" s="23">
        <v>24167.449999999997</v>
      </c>
    </row>
    <row r="26" spans="1:12" x14ac:dyDescent="0.3">
      <c r="A26" s="15" t="s">
        <v>163</v>
      </c>
      <c r="B26" s="23">
        <v>26728.68</v>
      </c>
      <c r="K26" s="15" t="s">
        <v>1265</v>
      </c>
      <c r="L26" s="23">
        <v>20461.88</v>
      </c>
    </row>
    <row r="27" spans="1:12" x14ac:dyDescent="0.3">
      <c r="A27" s="15" t="s">
        <v>235</v>
      </c>
      <c r="B27" s="23">
        <v>11322.960000000001</v>
      </c>
      <c r="K27" s="15" t="s">
        <v>808</v>
      </c>
      <c r="L27" s="23">
        <v>7159.74</v>
      </c>
    </row>
    <row r="28" spans="1:12" x14ac:dyDescent="0.3">
      <c r="A28" s="15" t="s">
        <v>771</v>
      </c>
      <c r="B28" s="23">
        <v>10848.6</v>
      </c>
      <c r="K28" s="15" t="s">
        <v>269</v>
      </c>
      <c r="L28" s="23">
        <v>22573.46</v>
      </c>
    </row>
    <row r="29" spans="1:12" x14ac:dyDescent="0.3">
      <c r="A29" s="15" t="s">
        <v>1296</v>
      </c>
      <c r="B29" s="23">
        <v>27160.7</v>
      </c>
      <c r="K29" s="15" t="s">
        <v>773</v>
      </c>
      <c r="L29" s="23">
        <v>798.75</v>
      </c>
    </row>
    <row r="30" spans="1:12" x14ac:dyDescent="0.3">
      <c r="A30" s="15" t="s">
        <v>475</v>
      </c>
      <c r="B30" s="23">
        <v>21174.780000000002</v>
      </c>
      <c r="K30" s="15" t="s">
        <v>1144</v>
      </c>
      <c r="L30" s="23">
        <v>19398.32</v>
      </c>
    </row>
    <row r="31" spans="1:12" x14ac:dyDescent="0.3">
      <c r="A31" s="15" t="s">
        <v>421</v>
      </c>
      <c r="B31" s="23">
        <v>12440.88</v>
      </c>
      <c r="K31" s="15" t="s">
        <v>1083</v>
      </c>
      <c r="L31" s="23">
        <v>15432.48</v>
      </c>
    </row>
    <row r="32" spans="1:12" x14ac:dyDescent="0.3">
      <c r="A32" s="15" t="s">
        <v>225</v>
      </c>
      <c r="B32" s="23">
        <v>66402.279999999984</v>
      </c>
      <c r="K32" s="15" t="s">
        <v>779</v>
      </c>
      <c r="L32" s="23">
        <v>10220.300000000001</v>
      </c>
    </row>
    <row r="33" spans="1:12" x14ac:dyDescent="0.3">
      <c r="A33" s="15" t="s">
        <v>1490</v>
      </c>
      <c r="B33" s="23">
        <v>2656.25</v>
      </c>
      <c r="K33" s="15" t="s">
        <v>1484</v>
      </c>
      <c r="L33" s="23">
        <v>9101.76</v>
      </c>
    </row>
    <row r="34" spans="1:12" x14ac:dyDescent="0.3">
      <c r="A34" s="15" t="s">
        <v>438</v>
      </c>
      <c r="B34" s="23">
        <v>20914.440000000002</v>
      </c>
      <c r="K34" s="15" t="s">
        <v>179</v>
      </c>
      <c r="L34" s="23">
        <v>16075</v>
      </c>
    </row>
    <row r="35" spans="1:12" x14ac:dyDescent="0.3">
      <c r="A35" s="15" t="s">
        <v>692</v>
      </c>
      <c r="B35" s="23">
        <v>25463.020000000004</v>
      </c>
      <c r="K35" s="15" t="s">
        <v>746</v>
      </c>
      <c r="L35" s="23">
        <v>23571.9</v>
      </c>
    </row>
    <row r="36" spans="1:12" x14ac:dyDescent="0.3">
      <c r="A36" s="15" t="s">
        <v>491</v>
      </c>
      <c r="B36" s="23">
        <v>36833.799999999996</v>
      </c>
      <c r="K36" s="15" t="s">
        <v>141</v>
      </c>
      <c r="L36" s="23">
        <v>6310.56</v>
      </c>
    </row>
    <row r="37" spans="1:12" x14ac:dyDescent="0.3">
      <c r="A37" s="15" t="s">
        <v>924</v>
      </c>
      <c r="B37" s="23">
        <v>11822.74</v>
      </c>
      <c r="K37" s="15" t="s">
        <v>432</v>
      </c>
      <c r="L37" s="23">
        <v>3630.51</v>
      </c>
    </row>
    <row r="38" spans="1:12" x14ac:dyDescent="0.3">
      <c r="A38" s="15" t="s">
        <v>493</v>
      </c>
      <c r="B38" s="23">
        <v>29561.440000000002</v>
      </c>
      <c r="K38" s="15" t="s">
        <v>769</v>
      </c>
      <c r="L38" s="23">
        <v>28645.019999999997</v>
      </c>
    </row>
    <row r="39" spans="1:12" x14ac:dyDescent="0.3">
      <c r="A39" s="15" t="s">
        <v>945</v>
      </c>
      <c r="B39" s="23">
        <v>10813.93</v>
      </c>
      <c r="K39" s="15" t="s">
        <v>1494</v>
      </c>
      <c r="L39" s="23">
        <v>1477.48</v>
      </c>
    </row>
    <row r="40" spans="1:12" x14ac:dyDescent="0.3">
      <c r="A40" s="15" t="s">
        <v>538</v>
      </c>
      <c r="B40" s="23">
        <v>13529.880000000001</v>
      </c>
      <c r="K40" s="15" t="s">
        <v>1368</v>
      </c>
      <c r="L40" s="23">
        <v>7906.1100000000006</v>
      </c>
    </row>
    <row r="41" spans="1:12" x14ac:dyDescent="0.3">
      <c r="A41" s="15" t="s">
        <v>826</v>
      </c>
      <c r="B41" s="23">
        <v>29829.140000000003</v>
      </c>
      <c r="K41" s="15" t="s">
        <v>321</v>
      </c>
      <c r="L41" s="23">
        <v>16517.23</v>
      </c>
    </row>
    <row r="42" spans="1:12" x14ac:dyDescent="0.3">
      <c r="A42" s="15" t="s">
        <v>705</v>
      </c>
      <c r="B42" s="23">
        <v>17181.939999999999</v>
      </c>
      <c r="K42" s="15" t="s">
        <v>707</v>
      </c>
      <c r="L42" s="23">
        <v>10798.26</v>
      </c>
    </row>
    <row r="43" spans="1:12" x14ac:dyDescent="0.3">
      <c r="A43" s="15" t="s">
        <v>154</v>
      </c>
      <c r="B43" s="23">
        <v>4916.16</v>
      </c>
      <c r="K43" s="15" t="s">
        <v>38</v>
      </c>
      <c r="L43" s="23">
        <v>27448.42</v>
      </c>
    </row>
    <row r="44" spans="1:12" x14ac:dyDescent="0.3">
      <c r="A44" s="15" t="s">
        <v>535</v>
      </c>
      <c r="B44" s="23">
        <v>45914.250000000007</v>
      </c>
      <c r="K44" s="15" t="s">
        <v>135</v>
      </c>
      <c r="L44" s="23">
        <v>6343.4800000000005</v>
      </c>
    </row>
    <row r="45" spans="1:12" x14ac:dyDescent="0.3">
      <c r="A45" s="15" t="s">
        <v>84</v>
      </c>
      <c r="B45" s="23">
        <v>37110.5</v>
      </c>
      <c r="K45" s="15" t="s">
        <v>667</v>
      </c>
      <c r="L45" s="23">
        <v>27558.909999999996</v>
      </c>
    </row>
    <row r="46" spans="1:12" x14ac:dyDescent="0.3">
      <c r="A46" s="15" t="s">
        <v>1340</v>
      </c>
      <c r="B46" s="23">
        <v>7682.3600000000006</v>
      </c>
      <c r="K46" s="15" t="s">
        <v>369</v>
      </c>
      <c r="L46" s="23">
        <v>45629.560000000005</v>
      </c>
    </row>
    <row r="47" spans="1:12" x14ac:dyDescent="0.3">
      <c r="A47" s="15" t="s">
        <v>996</v>
      </c>
      <c r="B47" s="23">
        <v>2011.8799999999999</v>
      </c>
      <c r="K47" s="15" t="s">
        <v>400</v>
      </c>
      <c r="L47" s="23">
        <v>5469.6</v>
      </c>
    </row>
    <row r="48" spans="1:12" x14ac:dyDescent="0.3">
      <c r="A48" s="15" t="s">
        <v>858</v>
      </c>
      <c r="B48" s="23">
        <v>23518.38</v>
      </c>
      <c r="K48" s="15" t="s">
        <v>621</v>
      </c>
      <c r="L48" s="23">
        <v>8949</v>
      </c>
    </row>
    <row r="49" spans="1:12" x14ac:dyDescent="0.3">
      <c r="A49" s="15" t="s">
        <v>67</v>
      </c>
      <c r="B49" s="23">
        <v>27676</v>
      </c>
      <c r="K49" s="15" t="s">
        <v>193</v>
      </c>
      <c r="L49" s="23">
        <v>315.24</v>
      </c>
    </row>
    <row r="50" spans="1:12" x14ac:dyDescent="0.3">
      <c r="A50" s="15" t="s">
        <v>468</v>
      </c>
      <c r="B50" s="23">
        <v>26301.649999999998</v>
      </c>
      <c r="K50" s="15" t="s">
        <v>582</v>
      </c>
      <c r="L50" s="23">
        <v>36985.83</v>
      </c>
    </row>
    <row r="51" spans="1:12" x14ac:dyDescent="0.3">
      <c r="A51" s="15" t="s">
        <v>288</v>
      </c>
      <c r="B51" s="23">
        <v>21401.33</v>
      </c>
      <c r="K51" s="15" t="s">
        <v>171</v>
      </c>
      <c r="L51" s="23">
        <v>39351.440000000002</v>
      </c>
    </row>
    <row r="52" spans="1:12" x14ac:dyDescent="0.3">
      <c r="A52" s="15" t="s">
        <v>338</v>
      </c>
      <c r="B52" s="23">
        <v>11368.739999999998</v>
      </c>
      <c r="K52" s="15" t="s">
        <v>737</v>
      </c>
      <c r="L52" s="23">
        <v>3521.28</v>
      </c>
    </row>
    <row r="53" spans="1:12" x14ac:dyDescent="0.3">
      <c r="A53" s="15" t="s">
        <v>804</v>
      </c>
      <c r="B53" s="23">
        <v>37230.959999999999</v>
      </c>
      <c r="K53" s="15" t="s">
        <v>144</v>
      </c>
      <c r="L53" s="23">
        <v>13906.779999999999</v>
      </c>
    </row>
    <row r="54" spans="1:12" x14ac:dyDescent="0.3">
      <c r="A54" s="15" t="s">
        <v>502</v>
      </c>
      <c r="B54" s="23">
        <v>30406.7</v>
      </c>
      <c r="K54" s="15" t="s">
        <v>1079</v>
      </c>
      <c r="L54" s="23">
        <v>17236</v>
      </c>
    </row>
    <row r="55" spans="1:12" x14ac:dyDescent="0.3">
      <c r="A55" s="15" t="s">
        <v>14</v>
      </c>
      <c r="B55" s="23">
        <v>1400.08</v>
      </c>
      <c r="K55" s="15" t="s">
        <v>665</v>
      </c>
      <c r="L55" s="23">
        <v>9604.11</v>
      </c>
    </row>
    <row r="56" spans="1:12" x14ac:dyDescent="0.3">
      <c r="A56" s="15" t="s">
        <v>913</v>
      </c>
      <c r="B56" s="23">
        <v>16157.4</v>
      </c>
      <c r="K56" s="15" t="s">
        <v>1577</v>
      </c>
      <c r="L56" s="23">
        <v>3994.46</v>
      </c>
    </row>
    <row r="57" spans="1:12" x14ac:dyDescent="0.3">
      <c r="A57" s="15" t="s">
        <v>342</v>
      </c>
      <c r="B57" s="23">
        <v>52968.18</v>
      </c>
      <c r="K57" s="15" t="s">
        <v>1027</v>
      </c>
      <c r="L57" s="23">
        <v>13762.14</v>
      </c>
    </row>
    <row r="58" spans="1:12" x14ac:dyDescent="0.3">
      <c r="A58" s="15" t="s">
        <v>1080</v>
      </c>
      <c r="B58" s="23">
        <v>14134.52</v>
      </c>
      <c r="K58" s="15" t="s">
        <v>132</v>
      </c>
      <c r="L58" s="23">
        <v>13252.04</v>
      </c>
    </row>
    <row r="59" spans="1:12" x14ac:dyDescent="0.3">
      <c r="A59" s="15" t="s">
        <v>87</v>
      </c>
      <c r="B59" s="23">
        <v>50366.93</v>
      </c>
      <c r="K59" s="15" t="s">
        <v>602</v>
      </c>
      <c r="L59" s="23">
        <v>1140.76</v>
      </c>
    </row>
    <row r="60" spans="1:12" x14ac:dyDescent="0.3">
      <c r="A60" s="15" t="s">
        <v>186</v>
      </c>
      <c r="B60" s="23">
        <v>27134.480000000003</v>
      </c>
      <c r="K60" s="15" t="s">
        <v>1146</v>
      </c>
      <c r="L60" s="23">
        <v>6867.7599999999993</v>
      </c>
    </row>
    <row r="61" spans="1:12" x14ac:dyDescent="0.3">
      <c r="A61" s="15" t="s">
        <v>108</v>
      </c>
      <c r="B61" s="23">
        <v>11932.240000000002</v>
      </c>
      <c r="K61" s="15" t="s">
        <v>1476</v>
      </c>
      <c r="L61" s="23">
        <v>2561.1999999999998</v>
      </c>
    </row>
    <row r="62" spans="1:12" x14ac:dyDescent="0.3">
      <c r="A62" s="15" t="s">
        <v>396</v>
      </c>
      <c r="B62" s="23">
        <v>52738.559999999998</v>
      </c>
      <c r="K62" s="15" t="s">
        <v>392</v>
      </c>
      <c r="L62" s="23">
        <v>18715.71</v>
      </c>
    </row>
    <row r="63" spans="1:12" x14ac:dyDescent="0.3">
      <c r="A63" s="15" t="s">
        <v>1655</v>
      </c>
      <c r="B63" s="23">
        <v>3427.2</v>
      </c>
      <c r="K63" s="15" t="s">
        <v>1087</v>
      </c>
      <c r="L63" s="23">
        <v>5616.4400000000005</v>
      </c>
    </row>
    <row r="64" spans="1:12" x14ac:dyDescent="0.3">
      <c r="A64" s="15" t="s">
        <v>505</v>
      </c>
      <c r="B64" s="23">
        <v>24521.350000000002</v>
      </c>
      <c r="K64" s="15" t="s">
        <v>651</v>
      </c>
      <c r="L64" s="23">
        <v>12780.960000000001</v>
      </c>
    </row>
    <row r="65" spans="1:12" x14ac:dyDescent="0.3">
      <c r="A65" s="15" t="s">
        <v>588</v>
      </c>
      <c r="B65" s="23">
        <v>6735.52</v>
      </c>
      <c r="K65" s="15" t="s">
        <v>1394</v>
      </c>
      <c r="L65" s="23">
        <v>24426</v>
      </c>
    </row>
    <row r="66" spans="1:12" x14ac:dyDescent="0.3">
      <c r="A66" s="15" t="s">
        <v>276</v>
      </c>
      <c r="B66" s="23">
        <v>36208.36</v>
      </c>
      <c r="K66" s="15" t="s">
        <v>1333</v>
      </c>
      <c r="L66" s="23">
        <v>8828.82</v>
      </c>
    </row>
    <row r="67" spans="1:12" x14ac:dyDescent="0.3">
      <c r="A67" s="15" t="s">
        <v>322</v>
      </c>
      <c r="B67" s="23">
        <v>16115.999999999998</v>
      </c>
      <c r="K67" s="15" t="s">
        <v>255</v>
      </c>
      <c r="L67" s="23">
        <v>31609.719999999998</v>
      </c>
    </row>
    <row r="68" spans="1:12" x14ac:dyDescent="0.3">
      <c r="A68" s="15" t="s">
        <v>1276</v>
      </c>
      <c r="B68" s="23">
        <v>30020.100000000002</v>
      </c>
      <c r="K68" s="15" t="s">
        <v>64</v>
      </c>
      <c r="L68" s="23">
        <v>28834.760000000002</v>
      </c>
    </row>
    <row r="69" spans="1:12" x14ac:dyDescent="0.3">
      <c r="A69" s="15" t="s">
        <v>216</v>
      </c>
      <c r="B69" s="23">
        <v>22724.94</v>
      </c>
      <c r="K69" s="15" t="s">
        <v>449</v>
      </c>
      <c r="L69" s="23">
        <v>18775.64</v>
      </c>
    </row>
    <row r="70" spans="1:12" x14ac:dyDescent="0.3">
      <c r="A70" s="15" t="s">
        <v>409</v>
      </c>
      <c r="B70" s="23">
        <v>68771.25</v>
      </c>
      <c r="K70" s="15" t="s">
        <v>304</v>
      </c>
      <c r="L70" s="23">
        <v>59656.17</v>
      </c>
    </row>
    <row r="71" spans="1:12" x14ac:dyDescent="0.3">
      <c r="A71" s="15" t="s">
        <v>328</v>
      </c>
      <c r="B71" s="23">
        <v>27925.850000000002</v>
      </c>
      <c r="K71" s="15" t="s">
        <v>825</v>
      </c>
      <c r="L71" s="23">
        <v>18379.39</v>
      </c>
    </row>
    <row r="72" spans="1:12" x14ac:dyDescent="0.3">
      <c r="A72" s="15" t="s">
        <v>1243</v>
      </c>
      <c r="B72" s="23">
        <v>29901.77</v>
      </c>
      <c r="K72" s="15" t="s">
        <v>113</v>
      </c>
      <c r="L72" s="23">
        <v>29487.1</v>
      </c>
    </row>
    <row r="73" spans="1:12" x14ac:dyDescent="0.3">
      <c r="A73" s="15" t="s">
        <v>1047</v>
      </c>
      <c r="B73" s="23">
        <v>4922.4799999999996</v>
      </c>
      <c r="K73" s="15" t="s">
        <v>101</v>
      </c>
      <c r="L73" s="23">
        <v>22095.67</v>
      </c>
    </row>
    <row r="74" spans="1:12" x14ac:dyDescent="0.3">
      <c r="A74" s="15" t="s">
        <v>546</v>
      </c>
      <c r="B74" s="23">
        <v>33544.58</v>
      </c>
      <c r="K74" s="15" t="s">
        <v>66</v>
      </c>
      <c r="L74" s="23">
        <v>15642.109999999999</v>
      </c>
    </row>
    <row r="75" spans="1:12" x14ac:dyDescent="0.3">
      <c r="A75" s="15" t="s">
        <v>721</v>
      </c>
      <c r="B75" s="23">
        <v>15275.48</v>
      </c>
      <c r="K75" s="15" t="s">
        <v>509</v>
      </c>
      <c r="L75" s="23">
        <v>46514.009999999995</v>
      </c>
    </row>
    <row r="76" spans="1:12" x14ac:dyDescent="0.3">
      <c r="A76" s="15" t="s">
        <v>200</v>
      </c>
      <c r="B76" s="23">
        <v>18207.740000000002</v>
      </c>
      <c r="K76" s="15" t="s">
        <v>366</v>
      </c>
      <c r="L76" s="23">
        <v>41679.32</v>
      </c>
    </row>
    <row r="77" spans="1:12" x14ac:dyDescent="0.3">
      <c r="A77" s="15" t="s">
        <v>169</v>
      </c>
      <c r="B77" s="23">
        <v>50066.549999999996</v>
      </c>
      <c r="K77" s="15" t="s">
        <v>362</v>
      </c>
      <c r="L77" s="23">
        <v>11679.45</v>
      </c>
    </row>
    <row r="78" spans="1:12" x14ac:dyDescent="0.3">
      <c r="A78" s="15" t="s">
        <v>1126</v>
      </c>
      <c r="B78" s="23">
        <v>7819.5</v>
      </c>
      <c r="K78" s="15" t="s">
        <v>168</v>
      </c>
      <c r="L78" s="23">
        <v>19311.78</v>
      </c>
    </row>
    <row r="79" spans="1:12" x14ac:dyDescent="0.3">
      <c r="A79" s="15" t="s">
        <v>872</v>
      </c>
      <c r="B79" s="23">
        <v>14018.83</v>
      </c>
      <c r="K79" s="15" t="s">
        <v>1382</v>
      </c>
      <c r="L79" s="23">
        <v>1992.8</v>
      </c>
    </row>
    <row r="80" spans="1:12" x14ac:dyDescent="0.3">
      <c r="A80" s="15" t="s">
        <v>1444</v>
      </c>
      <c r="B80" s="23">
        <v>24280.32</v>
      </c>
      <c r="K80" s="15" t="s">
        <v>1068</v>
      </c>
      <c r="L80" s="23">
        <v>34045.270000000004</v>
      </c>
    </row>
    <row r="81" spans="1:12" x14ac:dyDescent="0.3">
      <c r="A81" s="15" t="s">
        <v>360</v>
      </c>
      <c r="B81" s="23">
        <v>27345.54</v>
      </c>
      <c r="K81" s="15" t="s">
        <v>1120</v>
      </c>
      <c r="L81" s="23">
        <v>8870.4</v>
      </c>
    </row>
    <row r="82" spans="1:12" x14ac:dyDescent="0.3">
      <c r="A82" s="15" t="s">
        <v>670</v>
      </c>
      <c r="B82" s="23">
        <v>36514.36</v>
      </c>
      <c r="K82" s="15" t="s">
        <v>56</v>
      </c>
      <c r="L82" s="23">
        <v>4572.75</v>
      </c>
    </row>
    <row r="83" spans="1:12" x14ac:dyDescent="0.3">
      <c r="A83" s="15" t="s">
        <v>968</v>
      </c>
      <c r="B83" s="23">
        <v>20850.259999999998</v>
      </c>
      <c r="K83" s="15" t="s">
        <v>976</v>
      </c>
      <c r="L83" s="23">
        <v>4569.7199999999993</v>
      </c>
    </row>
    <row r="84" spans="1:12" x14ac:dyDescent="0.3">
      <c r="A84" s="15" t="s">
        <v>1342</v>
      </c>
      <c r="B84" s="23">
        <v>11811.85</v>
      </c>
      <c r="K84" s="15" t="s">
        <v>1435</v>
      </c>
      <c r="L84" s="23">
        <v>3859.2</v>
      </c>
    </row>
    <row r="85" spans="1:12" x14ac:dyDescent="0.3">
      <c r="A85" s="15" t="s">
        <v>1232</v>
      </c>
      <c r="B85" s="23">
        <v>509.6</v>
      </c>
      <c r="K85" s="15" t="s">
        <v>467</v>
      </c>
      <c r="L85" s="23">
        <v>32342.04</v>
      </c>
    </row>
    <row r="86" spans="1:12" x14ac:dyDescent="0.3">
      <c r="A86" s="15" t="s">
        <v>91</v>
      </c>
      <c r="B86" s="23">
        <v>61304.47</v>
      </c>
      <c r="K86" s="15" t="s">
        <v>295</v>
      </c>
      <c r="L86" s="23">
        <v>33606.559999999998</v>
      </c>
    </row>
    <row r="87" spans="1:12" x14ac:dyDescent="0.3">
      <c r="A87" s="15" t="s">
        <v>1280</v>
      </c>
      <c r="B87" s="23">
        <v>8514.6</v>
      </c>
      <c r="K87" s="15" t="s">
        <v>575</v>
      </c>
      <c r="L87" s="23">
        <v>29975.919999999998</v>
      </c>
    </row>
    <row r="88" spans="1:12" x14ac:dyDescent="0.3">
      <c r="A88" s="15" t="s">
        <v>114</v>
      </c>
      <c r="B88" s="23">
        <v>7052.5</v>
      </c>
      <c r="K88" s="15" t="s">
        <v>674</v>
      </c>
      <c r="L88" s="23">
        <v>12075.39</v>
      </c>
    </row>
    <row r="89" spans="1:12" x14ac:dyDescent="0.3">
      <c r="A89" s="15" t="s">
        <v>1278</v>
      </c>
      <c r="B89" s="23">
        <v>30918.28</v>
      </c>
      <c r="K89" s="15" t="s">
        <v>1052</v>
      </c>
      <c r="L89" s="23">
        <v>31363.200000000001</v>
      </c>
    </row>
    <row r="90" spans="1:12" x14ac:dyDescent="0.3">
      <c r="A90" s="15" t="s">
        <v>1088</v>
      </c>
      <c r="B90" s="23">
        <v>4178.3099999999995</v>
      </c>
      <c r="K90" s="15" t="s">
        <v>677</v>
      </c>
      <c r="L90" s="23">
        <v>9770.52</v>
      </c>
    </row>
    <row r="91" spans="1:12" x14ac:dyDescent="0.3">
      <c r="A91" s="15" t="s">
        <v>814</v>
      </c>
      <c r="B91" s="23">
        <v>12037</v>
      </c>
      <c r="K91" s="15" t="s">
        <v>897</v>
      </c>
      <c r="L91" s="23">
        <v>2601.92</v>
      </c>
    </row>
    <row r="92" spans="1:12" x14ac:dyDescent="0.3">
      <c r="A92" s="15" t="s">
        <v>626</v>
      </c>
      <c r="B92" s="23">
        <v>2786.31</v>
      </c>
      <c r="K92" s="15" t="s">
        <v>1338</v>
      </c>
      <c r="L92" s="23">
        <v>14006.44</v>
      </c>
    </row>
    <row r="93" spans="1:12" x14ac:dyDescent="0.3">
      <c r="A93" s="15" t="s">
        <v>1386</v>
      </c>
      <c r="B93" s="23">
        <v>2590.65</v>
      </c>
      <c r="K93" s="15" t="s">
        <v>991</v>
      </c>
      <c r="L93" s="23">
        <v>31513.189999999995</v>
      </c>
    </row>
    <row r="94" spans="1:12" x14ac:dyDescent="0.3">
      <c r="A94" s="15" t="s">
        <v>977</v>
      </c>
      <c r="B94" s="23">
        <v>9100.98</v>
      </c>
      <c r="K94" s="15" t="s">
        <v>1151</v>
      </c>
      <c r="L94" s="23">
        <v>23352.28</v>
      </c>
    </row>
    <row r="95" spans="1:12" x14ac:dyDescent="0.3">
      <c r="A95" s="15" t="s">
        <v>157</v>
      </c>
      <c r="B95" s="23">
        <v>13503.369999999999</v>
      </c>
      <c r="K95" s="15" t="s">
        <v>1605</v>
      </c>
      <c r="L95" s="23">
        <v>1525.44</v>
      </c>
    </row>
    <row r="96" spans="1:12" x14ac:dyDescent="0.3">
      <c r="A96" s="15" t="s">
        <v>1266</v>
      </c>
      <c r="B96" s="23">
        <v>24971.190000000002</v>
      </c>
      <c r="K96" s="15" t="s">
        <v>224</v>
      </c>
      <c r="L96" s="23">
        <v>24653.5</v>
      </c>
    </row>
    <row r="97" spans="1:12" x14ac:dyDescent="0.3">
      <c r="A97" s="15" t="s">
        <v>350</v>
      </c>
      <c r="B97" s="23">
        <v>17896.350000000002</v>
      </c>
      <c r="K97" s="15" t="s">
        <v>569</v>
      </c>
      <c r="L97" s="23">
        <v>27750.760000000002</v>
      </c>
    </row>
    <row r="98" spans="1:12" x14ac:dyDescent="0.3">
      <c r="A98" s="15" t="s">
        <v>515</v>
      </c>
      <c r="B98" s="23">
        <v>13480.5</v>
      </c>
      <c r="K98" s="15" t="s">
        <v>147</v>
      </c>
      <c r="L98" s="23">
        <v>29618.68</v>
      </c>
    </row>
    <row r="99" spans="1:12" x14ac:dyDescent="0.3">
      <c r="A99" s="15" t="s">
        <v>675</v>
      </c>
      <c r="B99" s="23">
        <v>19865.509999999998</v>
      </c>
      <c r="K99" s="15" t="s">
        <v>287</v>
      </c>
      <c r="L99" s="23">
        <v>24768.299999999996</v>
      </c>
    </row>
    <row r="100" spans="1:12" x14ac:dyDescent="0.3">
      <c r="A100" s="15" t="s">
        <v>1161</v>
      </c>
      <c r="B100" s="23">
        <v>3741.13</v>
      </c>
      <c r="K100" s="15" t="s">
        <v>77</v>
      </c>
      <c r="L100" s="23">
        <v>5850.9</v>
      </c>
    </row>
    <row r="101" spans="1:12" x14ac:dyDescent="0.3">
      <c r="A101" s="15" t="s">
        <v>39</v>
      </c>
      <c r="B101" s="23">
        <v>39479.370000000003</v>
      </c>
      <c r="K101" s="15" t="s">
        <v>843</v>
      </c>
      <c r="L101" s="23">
        <v>22210.559999999998</v>
      </c>
    </row>
    <row r="102" spans="1:12" x14ac:dyDescent="0.3">
      <c r="A102" s="15" t="s">
        <v>261</v>
      </c>
      <c r="B102" s="23">
        <v>9107.2800000000007</v>
      </c>
      <c r="K102" s="15" t="s">
        <v>613</v>
      </c>
      <c r="L102" s="23">
        <v>34152.879999999997</v>
      </c>
    </row>
    <row r="103" spans="1:12" x14ac:dyDescent="0.3">
      <c r="A103" s="15" t="s">
        <v>94</v>
      </c>
      <c r="B103" s="23">
        <v>27089.309999999998</v>
      </c>
      <c r="K103" s="15" t="s">
        <v>1114</v>
      </c>
      <c r="L103" s="23">
        <v>9159</v>
      </c>
    </row>
    <row r="104" spans="1:12" x14ac:dyDescent="0.3">
      <c r="A104" s="15" t="s">
        <v>52</v>
      </c>
      <c r="B104" s="23">
        <v>23243.64</v>
      </c>
      <c r="K104" s="15" t="s">
        <v>998</v>
      </c>
      <c r="L104" s="23">
        <v>11753.79</v>
      </c>
    </row>
    <row r="105" spans="1:12" x14ac:dyDescent="0.3">
      <c r="A105" s="15" t="s">
        <v>436</v>
      </c>
      <c r="B105" s="23">
        <v>36321.72</v>
      </c>
      <c r="K105" s="15" t="s">
        <v>415</v>
      </c>
      <c r="L105" s="23">
        <v>18959.84</v>
      </c>
    </row>
    <row r="106" spans="1:12" x14ac:dyDescent="0.3">
      <c r="A106" s="15" t="s">
        <v>191</v>
      </c>
      <c r="B106" s="23">
        <v>51182.15</v>
      </c>
      <c r="K106" s="15" t="s">
        <v>958</v>
      </c>
      <c r="L106" s="23">
        <v>4105.34</v>
      </c>
    </row>
    <row r="107" spans="1:12" x14ac:dyDescent="0.3">
      <c r="A107" s="15" t="s">
        <v>172</v>
      </c>
      <c r="B107" s="23">
        <v>27251.800000000003</v>
      </c>
      <c r="K107" s="15" t="s">
        <v>430</v>
      </c>
      <c r="L107" s="23">
        <v>2331</v>
      </c>
    </row>
    <row r="108" spans="1:12" x14ac:dyDescent="0.3">
      <c r="A108" s="15" t="s">
        <v>499</v>
      </c>
      <c r="B108" s="23">
        <v>24412.11</v>
      </c>
      <c r="K108" s="15" t="s">
        <v>1072</v>
      </c>
      <c r="L108" s="23">
        <v>16898.62</v>
      </c>
    </row>
    <row r="109" spans="1:12" x14ac:dyDescent="0.3">
      <c r="A109" s="15" t="s">
        <v>818</v>
      </c>
      <c r="B109" s="23">
        <v>19971.599999999999</v>
      </c>
      <c r="K109" s="15" t="s">
        <v>327</v>
      </c>
      <c r="L109" s="23">
        <v>5166.75</v>
      </c>
    </row>
    <row r="110" spans="1:12" x14ac:dyDescent="0.3">
      <c r="A110" s="15" t="s">
        <v>356</v>
      </c>
      <c r="B110" s="23">
        <v>12043.32</v>
      </c>
      <c r="K110" s="15" t="s">
        <v>962</v>
      </c>
      <c r="L110" s="23">
        <v>28236.780000000002</v>
      </c>
    </row>
    <row r="111" spans="1:12" x14ac:dyDescent="0.3">
      <c r="A111" s="15" t="s">
        <v>105</v>
      </c>
      <c r="B111" s="23">
        <v>11177.7</v>
      </c>
      <c r="K111" s="15" t="s">
        <v>121</v>
      </c>
      <c r="L111" s="23">
        <v>20464.05</v>
      </c>
    </row>
    <row r="112" spans="1:12" x14ac:dyDescent="0.3">
      <c r="A112" s="15" t="s">
        <v>273</v>
      </c>
      <c r="B112" s="23">
        <v>32238.71</v>
      </c>
      <c r="K112" s="15" t="s">
        <v>834</v>
      </c>
      <c r="L112" s="23">
        <v>22912.6</v>
      </c>
    </row>
    <row r="113" spans="1:12" x14ac:dyDescent="0.3">
      <c r="A113" s="15" t="s">
        <v>390</v>
      </c>
      <c r="B113" s="23">
        <v>27004.46</v>
      </c>
      <c r="K113" s="15" t="s">
        <v>337</v>
      </c>
      <c r="L113" s="23">
        <v>23490.82</v>
      </c>
    </row>
    <row r="114" spans="1:12" x14ac:dyDescent="0.3">
      <c r="A114" s="15" t="s">
        <v>298</v>
      </c>
      <c r="B114" s="23">
        <v>9976.75</v>
      </c>
      <c r="K114" s="15" t="s">
        <v>355</v>
      </c>
      <c r="L114" s="23">
        <v>13226.759999999998</v>
      </c>
    </row>
    <row r="115" spans="1:12" x14ac:dyDescent="0.3">
      <c r="A115" s="15" t="s">
        <v>921</v>
      </c>
      <c r="B115" s="23">
        <v>10741.49</v>
      </c>
      <c r="K115" s="15" t="s">
        <v>681</v>
      </c>
      <c r="L115" s="23">
        <v>42734.31</v>
      </c>
    </row>
    <row r="116" spans="1:12" x14ac:dyDescent="0.3">
      <c r="A116" s="15" t="s">
        <v>1249</v>
      </c>
      <c r="B116" s="23">
        <v>28186.16</v>
      </c>
      <c r="K116" s="15" t="s">
        <v>129</v>
      </c>
      <c r="L116" s="23">
        <v>18943.55</v>
      </c>
    </row>
    <row r="117" spans="1:12" x14ac:dyDescent="0.3">
      <c r="A117" s="15" t="s">
        <v>1561</v>
      </c>
      <c r="B117" s="23">
        <v>5118.6000000000004</v>
      </c>
      <c r="K117" s="15" t="s">
        <v>928</v>
      </c>
      <c r="L117" s="23">
        <v>14421.6</v>
      </c>
    </row>
    <row r="118" spans="1:12" x14ac:dyDescent="0.3">
      <c r="A118" s="15" t="s">
        <v>678</v>
      </c>
      <c r="B118" s="23">
        <v>9109.2400000000016</v>
      </c>
      <c r="K118" s="15" t="s">
        <v>623</v>
      </c>
      <c r="L118" s="23">
        <v>1659.96</v>
      </c>
    </row>
    <row r="119" spans="1:12" x14ac:dyDescent="0.3">
      <c r="A119" s="15" t="s">
        <v>552</v>
      </c>
      <c r="B119" s="23">
        <v>25940.239999999998</v>
      </c>
      <c r="K119" s="15" t="s">
        <v>213</v>
      </c>
      <c r="L119" s="23">
        <v>25796.92</v>
      </c>
    </row>
    <row r="120" spans="1:12" x14ac:dyDescent="0.3">
      <c r="A120" s="15" t="s">
        <v>576</v>
      </c>
      <c r="B120" s="23">
        <v>22693.599999999999</v>
      </c>
      <c r="K120" s="15" t="s">
        <v>1273</v>
      </c>
      <c r="L120" s="23">
        <v>1184.94</v>
      </c>
    </row>
    <row r="121" spans="1:12" x14ac:dyDescent="0.3">
      <c r="A121" s="15" t="s">
        <v>743</v>
      </c>
      <c r="B121" s="23">
        <v>20125.099999999999</v>
      </c>
      <c r="K121" s="15" t="s">
        <v>1003</v>
      </c>
      <c r="L121" s="23">
        <v>22064.080000000002</v>
      </c>
    </row>
    <row r="122" spans="1:12" x14ac:dyDescent="0.3">
      <c r="A122" s="15" t="s">
        <v>880</v>
      </c>
      <c r="B122" s="23">
        <v>33691.81</v>
      </c>
      <c r="K122" s="15" t="s">
        <v>1211</v>
      </c>
      <c r="L122" s="23">
        <v>27472.3</v>
      </c>
    </row>
    <row r="123" spans="1:12" x14ac:dyDescent="0.3">
      <c r="A123" s="15" t="s">
        <v>247</v>
      </c>
      <c r="B123" s="23">
        <v>30839.8</v>
      </c>
      <c r="K123" s="15" t="s">
        <v>411</v>
      </c>
      <c r="L123" s="23">
        <v>20870.8</v>
      </c>
    </row>
    <row r="124" spans="1:12" x14ac:dyDescent="0.3">
      <c r="A124" s="15" t="s">
        <v>311</v>
      </c>
      <c r="B124" s="23">
        <v>76191.62</v>
      </c>
      <c r="K124" s="15" t="s">
        <v>1045</v>
      </c>
      <c r="L124" s="23">
        <v>18331.650000000001</v>
      </c>
    </row>
    <row r="125" spans="1:12" x14ac:dyDescent="0.3">
      <c r="A125" s="15" t="s">
        <v>264</v>
      </c>
      <c r="B125" s="23">
        <v>34332.060000000005</v>
      </c>
      <c r="K125" s="15" t="s">
        <v>637</v>
      </c>
      <c r="L125" s="23">
        <v>36316.619999999995</v>
      </c>
    </row>
    <row r="126" spans="1:12" x14ac:dyDescent="0.3">
      <c r="A126" s="15" t="s">
        <v>832</v>
      </c>
      <c r="B126" s="23">
        <v>4320.3</v>
      </c>
      <c r="K126" s="15" t="s">
        <v>800</v>
      </c>
      <c r="L126" s="23">
        <v>8749.52</v>
      </c>
    </row>
    <row r="127" spans="1:12" x14ac:dyDescent="0.3">
      <c r="A127" s="15" t="s">
        <v>999</v>
      </c>
      <c r="B127" s="23">
        <v>19898.29</v>
      </c>
      <c r="K127" s="15" t="s">
        <v>174</v>
      </c>
      <c r="L127" s="23">
        <v>29186.7</v>
      </c>
    </row>
    <row r="128" spans="1:12" x14ac:dyDescent="0.3">
      <c r="A128" s="15" t="s">
        <v>635</v>
      </c>
      <c r="B128" s="23">
        <v>13744.820000000002</v>
      </c>
      <c r="K128" s="15" t="s">
        <v>1636</v>
      </c>
      <c r="L128" s="23">
        <v>7393.32</v>
      </c>
    </row>
    <row r="129" spans="1:12" x14ac:dyDescent="0.3">
      <c r="A129" s="15" t="s">
        <v>151</v>
      </c>
      <c r="B129" s="23">
        <v>27096.83</v>
      </c>
      <c r="K129" s="15" t="s">
        <v>1449</v>
      </c>
      <c r="L129" s="23">
        <v>12944.15</v>
      </c>
    </row>
    <row r="130" spans="1:12" x14ac:dyDescent="0.3">
      <c r="A130" s="15" t="s">
        <v>960</v>
      </c>
      <c r="B130" s="23">
        <v>11997.84</v>
      </c>
      <c r="K130" s="15" t="s">
        <v>278</v>
      </c>
      <c r="L130" s="23">
        <v>8198.99</v>
      </c>
    </row>
    <row r="131" spans="1:12" x14ac:dyDescent="0.3">
      <c r="A131" s="15" t="s">
        <v>524</v>
      </c>
      <c r="B131" s="23">
        <v>56658.499999999993</v>
      </c>
      <c r="K131" s="15" t="s">
        <v>440</v>
      </c>
      <c r="L131" s="23">
        <v>54146.31</v>
      </c>
    </row>
    <row r="132" spans="1:12" x14ac:dyDescent="0.3">
      <c r="A132" s="15" t="s">
        <v>1124</v>
      </c>
      <c r="B132" s="23">
        <v>36223.199999999997</v>
      </c>
      <c r="K132" s="15" t="s">
        <v>615</v>
      </c>
      <c r="L132" s="23">
        <v>3893.8199999999997</v>
      </c>
    </row>
    <row r="133" spans="1:12" x14ac:dyDescent="0.3">
      <c r="A133" s="15" t="s">
        <v>936</v>
      </c>
      <c r="B133" s="23">
        <v>10469.14</v>
      </c>
      <c r="K133" s="15" t="s">
        <v>1090</v>
      </c>
      <c r="L133" s="23">
        <v>1594.1</v>
      </c>
    </row>
    <row r="134" spans="1:12" x14ac:dyDescent="0.3">
      <c r="A134" s="15" t="s">
        <v>1371</v>
      </c>
      <c r="B134" s="23">
        <v>8848.7999999999993</v>
      </c>
      <c r="K134" s="15" t="s">
        <v>1194</v>
      </c>
      <c r="L134" s="23">
        <v>13184.93</v>
      </c>
    </row>
    <row r="135" spans="1:12" x14ac:dyDescent="0.3">
      <c r="A135" s="15" t="s">
        <v>1653</v>
      </c>
      <c r="B135" s="23">
        <v>1829.61</v>
      </c>
      <c r="K135" s="15" t="s">
        <v>227</v>
      </c>
      <c r="L135" s="23">
        <v>43206.530000000006</v>
      </c>
    </row>
    <row r="136" spans="1:12" x14ac:dyDescent="0.3">
      <c r="A136" s="15" t="s">
        <v>296</v>
      </c>
      <c r="B136" s="23">
        <v>9586.9900000000016</v>
      </c>
      <c r="K136" s="15" t="s">
        <v>446</v>
      </c>
      <c r="L136" s="23">
        <v>19594.03</v>
      </c>
    </row>
    <row r="137" spans="1:12" x14ac:dyDescent="0.3">
      <c r="A137" s="15" t="s">
        <v>139</v>
      </c>
      <c r="B137" s="23">
        <v>26202.85</v>
      </c>
      <c r="K137" s="15" t="s">
        <v>403</v>
      </c>
      <c r="L137" s="23">
        <v>22906</v>
      </c>
    </row>
    <row r="138" spans="1:12" x14ac:dyDescent="0.3">
      <c r="A138" s="15" t="s">
        <v>124</v>
      </c>
      <c r="B138" s="23">
        <v>41213.35</v>
      </c>
      <c r="K138" s="15" t="s">
        <v>548</v>
      </c>
      <c r="L138" s="23">
        <v>38618.1</v>
      </c>
    </row>
    <row r="139" spans="1:12" x14ac:dyDescent="0.3">
      <c r="A139" s="15" t="s">
        <v>416</v>
      </c>
      <c r="B139" s="23">
        <v>38309.350000000006</v>
      </c>
      <c r="K139" s="15" t="s">
        <v>1268</v>
      </c>
      <c r="L139" s="23">
        <v>443.84</v>
      </c>
    </row>
    <row r="140" spans="1:12" x14ac:dyDescent="0.3">
      <c r="A140" s="15" t="s">
        <v>441</v>
      </c>
      <c r="B140" s="23">
        <v>38586.11</v>
      </c>
      <c r="K140" s="15" t="s">
        <v>349</v>
      </c>
      <c r="L140" s="23">
        <v>15224.95</v>
      </c>
    </row>
    <row r="141" spans="1:12" x14ac:dyDescent="0.3">
      <c r="A141" s="15" t="s">
        <v>1600</v>
      </c>
      <c r="B141" s="23">
        <v>8277.5</v>
      </c>
      <c r="K141" s="15" t="s">
        <v>1410</v>
      </c>
      <c r="L141" s="23">
        <v>9913.7100000000009</v>
      </c>
    </row>
    <row r="142" spans="1:12" x14ac:dyDescent="0.3">
      <c r="A142" s="15" t="s">
        <v>130</v>
      </c>
      <c r="B142" s="23">
        <v>28929.95</v>
      </c>
      <c r="K142" s="15" t="s">
        <v>1478</v>
      </c>
      <c r="L142" s="23">
        <v>5518.8</v>
      </c>
    </row>
    <row r="143" spans="1:12" x14ac:dyDescent="0.3">
      <c r="A143" s="15" t="s">
        <v>211</v>
      </c>
      <c r="B143" s="23">
        <v>14155.8</v>
      </c>
      <c r="K143" s="15" t="s">
        <v>1402</v>
      </c>
      <c r="L143" s="23">
        <v>4712.59</v>
      </c>
    </row>
    <row r="144" spans="1:12" x14ac:dyDescent="0.3">
      <c r="A144" s="15" t="s">
        <v>267</v>
      </c>
      <c r="B144" s="23">
        <v>49290.9</v>
      </c>
      <c r="K144" s="15" t="s">
        <v>1014</v>
      </c>
      <c r="L144" s="23">
        <v>7085.1</v>
      </c>
    </row>
    <row r="145" spans="1:12" x14ac:dyDescent="0.3">
      <c r="A145" s="15" t="s">
        <v>590</v>
      </c>
      <c r="B145" s="23">
        <v>40978</v>
      </c>
      <c r="K145" s="15" t="s">
        <v>797</v>
      </c>
      <c r="L145" s="23">
        <v>9984.39</v>
      </c>
    </row>
    <row r="146" spans="1:12" x14ac:dyDescent="0.3">
      <c r="A146" s="15" t="s">
        <v>713</v>
      </c>
      <c r="B146" s="23">
        <v>6208.3</v>
      </c>
      <c r="K146" s="15" t="s">
        <v>418</v>
      </c>
      <c r="L146" s="23">
        <v>11785.76</v>
      </c>
    </row>
    <row r="147" spans="1:12" x14ac:dyDescent="0.3">
      <c r="A147" s="15" t="s">
        <v>419</v>
      </c>
      <c r="B147" s="23">
        <v>19926.550000000003</v>
      </c>
      <c r="K147" s="15" t="s">
        <v>472</v>
      </c>
      <c r="L147" s="23">
        <v>3706.5</v>
      </c>
    </row>
    <row r="148" spans="1:12" x14ac:dyDescent="0.3">
      <c r="A148" s="15" t="s">
        <v>838</v>
      </c>
      <c r="B148" s="23">
        <v>24822.6</v>
      </c>
      <c r="K148" s="15" t="s">
        <v>1061</v>
      </c>
      <c r="L148" s="23">
        <v>3081.78</v>
      </c>
    </row>
    <row r="149" spans="1:12" x14ac:dyDescent="0.3">
      <c r="A149" s="15" t="s">
        <v>719</v>
      </c>
      <c r="B149" s="23">
        <v>35055.97</v>
      </c>
      <c r="K149" s="15" t="s">
        <v>1242</v>
      </c>
      <c r="L149" s="23">
        <v>10102.25</v>
      </c>
    </row>
    <row r="150" spans="1:12" x14ac:dyDescent="0.3">
      <c r="A150" s="15" t="s">
        <v>465</v>
      </c>
      <c r="B150" s="23">
        <v>14005.71</v>
      </c>
      <c r="K150" s="15" t="s">
        <v>119</v>
      </c>
      <c r="L150" s="23">
        <v>29905.54</v>
      </c>
    </row>
    <row r="151" spans="1:12" x14ac:dyDescent="0.3">
      <c r="A151" s="15" t="s">
        <v>878</v>
      </c>
      <c r="B151" s="23">
        <v>27264.019999999997</v>
      </c>
      <c r="K151" s="15" t="s">
        <v>813</v>
      </c>
      <c r="L151" s="23">
        <v>17156.900000000001</v>
      </c>
    </row>
    <row r="152" spans="1:12" x14ac:dyDescent="0.3">
      <c r="A152" s="15" t="s">
        <v>305</v>
      </c>
      <c r="B152" s="23">
        <v>18678.919999999998</v>
      </c>
      <c r="K152" s="15" t="s">
        <v>876</v>
      </c>
      <c r="L152" s="23">
        <v>17574.34</v>
      </c>
    </row>
    <row r="153" spans="1:12" x14ac:dyDescent="0.3">
      <c r="A153" s="15" t="s">
        <v>370</v>
      </c>
      <c r="B153" s="23">
        <v>33235.560000000005</v>
      </c>
      <c r="K153" s="15" t="s">
        <v>752</v>
      </c>
      <c r="L153" s="23">
        <v>11382.44</v>
      </c>
    </row>
    <row r="154" spans="1:12" x14ac:dyDescent="0.3">
      <c r="A154" s="15" t="s">
        <v>519</v>
      </c>
      <c r="B154" s="23">
        <v>7479</v>
      </c>
      <c r="K154" s="15" t="s">
        <v>787</v>
      </c>
      <c r="L154" s="23">
        <v>3915</v>
      </c>
    </row>
    <row r="155" spans="1:12" x14ac:dyDescent="0.3">
      <c r="A155" s="15" t="s">
        <v>860</v>
      </c>
      <c r="B155" s="23">
        <v>41500.83</v>
      </c>
      <c r="K155" s="15" t="s">
        <v>218</v>
      </c>
      <c r="L155" s="23">
        <v>58611.359999999993</v>
      </c>
    </row>
    <row r="156" spans="1:12" x14ac:dyDescent="0.3">
      <c r="A156" s="15" t="s">
        <v>755</v>
      </c>
      <c r="B156" s="23">
        <v>26983.079999999998</v>
      </c>
      <c r="K156" s="15" t="s">
        <v>302</v>
      </c>
      <c r="L156" s="23">
        <v>1098.79</v>
      </c>
    </row>
    <row r="157" spans="1:12" x14ac:dyDescent="0.3">
      <c r="A157" s="15" t="s">
        <v>230</v>
      </c>
      <c r="B157" s="23">
        <v>38992.720000000001</v>
      </c>
      <c r="K157" s="15" t="s">
        <v>716</v>
      </c>
      <c r="L157" s="23">
        <v>18418.98</v>
      </c>
    </row>
    <row r="158" spans="1:12" x14ac:dyDescent="0.3">
      <c r="A158" s="15" t="s">
        <v>983</v>
      </c>
      <c r="B158" s="23">
        <v>60218.229999999996</v>
      </c>
      <c r="K158" s="15" t="s">
        <v>1552</v>
      </c>
      <c r="L158" s="23">
        <v>24009</v>
      </c>
    </row>
    <row r="159" spans="1:12" x14ac:dyDescent="0.3">
      <c r="A159" s="15" t="s">
        <v>700</v>
      </c>
      <c r="B159" s="23">
        <v>32875.25</v>
      </c>
      <c r="K159" s="15" t="s">
        <v>341</v>
      </c>
      <c r="L159" s="23">
        <v>14804.07</v>
      </c>
    </row>
    <row r="160" spans="1:12" x14ac:dyDescent="0.3">
      <c r="A160" s="15" t="s">
        <v>281</v>
      </c>
      <c r="B160" s="23">
        <v>22692.500000000004</v>
      </c>
      <c r="K160" s="15" t="s">
        <v>1018</v>
      </c>
      <c r="L160" s="23">
        <v>10140.66</v>
      </c>
    </row>
    <row r="161" spans="1:12" x14ac:dyDescent="0.3">
      <c r="A161" s="15" t="s">
        <v>160</v>
      </c>
      <c r="B161" s="23">
        <v>53457.15</v>
      </c>
      <c r="K161" s="15" t="s">
        <v>257</v>
      </c>
      <c r="L161" s="23">
        <v>51584.18</v>
      </c>
    </row>
    <row r="162" spans="1:12" x14ac:dyDescent="0.3">
      <c r="A162" s="15" t="s">
        <v>250</v>
      </c>
      <c r="B162" s="23">
        <v>17869.36</v>
      </c>
      <c r="K162" s="15" t="s">
        <v>734</v>
      </c>
      <c r="L162" s="23">
        <v>40014.409999999996</v>
      </c>
    </row>
    <row r="163" spans="1:12" x14ac:dyDescent="0.3">
      <c r="A163" s="15" t="s">
        <v>428</v>
      </c>
      <c r="B163" s="23">
        <v>26390.969999999998</v>
      </c>
      <c r="K163" s="15" t="s">
        <v>330</v>
      </c>
      <c r="L163" s="23">
        <v>25390.86</v>
      </c>
    </row>
    <row r="164" spans="1:12" x14ac:dyDescent="0.3">
      <c r="A164" s="15" t="s">
        <v>22</v>
      </c>
      <c r="B164" s="23">
        <v>43757.4</v>
      </c>
      <c r="K164" s="15" t="s">
        <v>816</v>
      </c>
      <c r="L164" s="23">
        <v>3535.29</v>
      </c>
    </row>
    <row r="165" spans="1:12" x14ac:dyDescent="0.3">
      <c r="A165" s="15" t="s">
        <v>407</v>
      </c>
      <c r="B165" s="23">
        <v>26569.63</v>
      </c>
      <c r="K165" s="15" t="s">
        <v>1077</v>
      </c>
      <c r="L165" s="23">
        <v>10527.25</v>
      </c>
    </row>
    <row r="166" spans="1:12" x14ac:dyDescent="0.3">
      <c r="A166" s="15" t="s">
        <v>175</v>
      </c>
      <c r="B166" s="23">
        <v>31061.75</v>
      </c>
      <c r="K166" s="15" t="s">
        <v>51</v>
      </c>
      <c r="L166" s="23">
        <v>40491.9</v>
      </c>
    </row>
    <row r="167" spans="1:12" x14ac:dyDescent="0.3">
      <c r="A167" s="15" t="s">
        <v>780</v>
      </c>
      <c r="B167" s="23">
        <v>15478.22</v>
      </c>
      <c r="K167" s="15" t="s">
        <v>83</v>
      </c>
      <c r="L167" s="23">
        <v>29191.83</v>
      </c>
    </row>
    <row r="168" spans="1:12" x14ac:dyDescent="0.3">
      <c r="A168" s="15" t="s">
        <v>480</v>
      </c>
      <c r="B168" s="23">
        <v>24223.699999999997</v>
      </c>
      <c r="K168" s="15" t="s">
        <v>980</v>
      </c>
      <c r="L168" s="23">
        <v>24082.080000000002</v>
      </c>
    </row>
    <row r="169" spans="1:12" x14ac:dyDescent="0.3">
      <c r="A169" s="15" t="s">
        <v>244</v>
      </c>
      <c r="B169" s="23">
        <v>11167.25</v>
      </c>
      <c r="K169" s="15" t="s">
        <v>498</v>
      </c>
      <c r="L169" s="23">
        <v>36505.42</v>
      </c>
    </row>
    <row r="170" spans="1:12" x14ac:dyDescent="0.3">
      <c r="A170" s="15" t="s">
        <v>668</v>
      </c>
      <c r="B170" s="23">
        <v>6733.96</v>
      </c>
      <c r="K170" s="15" t="s">
        <v>554</v>
      </c>
      <c r="L170" s="23">
        <v>6168.2000000000007</v>
      </c>
    </row>
    <row r="171" spans="1:12" x14ac:dyDescent="0.3">
      <c r="A171" s="15" t="s">
        <v>253</v>
      </c>
      <c r="B171" s="23">
        <v>42668.82</v>
      </c>
      <c r="K171" s="15" t="s">
        <v>1397</v>
      </c>
      <c r="L171" s="23">
        <v>7602</v>
      </c>
    </row>
    <row r="172" spans="1:12" x14ac:dyDescent="0.3">
      <c r="A172" s="15" t="s">
        <v>729</v>
      </c>
      <c r="B172" s="23">
        <v>21011.480000000003</v>
      </c>
      <c r="K172" s="15" t="s">
        <v>1489</v>
      </c>
      <c r="L172" s="23">
        <v>19923.849999999999</v>
      </c>
    </row>
    <row r="173" spans="1:12" x14ac:dyDescent="0.3">
      <c r="A173" s="15" t="s">
        <v>1179</v>
      </c>
      <c r="B173" s="23">
        <v>4007.2000000000003</v>
      </c>
      <c r="K173" s="15" t="s">
        <v>1129</v>
      </c>
      <c r="L173" s="23">
        <v>1023.4</v>
      </c>
    </row>
    <row r="174" spans="1:12" x14ac:dyDescent="0.3">
      <c r="A174" s="15" t="s">
        <v>1041</v>
      </c>
      <c r="B174" s="23">
        <v>8508.52</v>
      </c>
      <c r="K174" s="15" t="s">
        <v>940</v>
      </c>
      <c r="L174" s="23">
        <v>33194.189999999995</v>
      </c>
    </row>
    <row r="175" spans="1:12" x14ac:dyDescent="0.3">
      <c r="A175" s="15" t="s">
        <v>532</v>
      </c>
      <c r="B175" s="23">
        <v>11944.38</v>
      </c>
      <c r="K175" s="15" t="s">
        <v>275</v>
      </c>
      <c r="L175" s="23">
        <v>18589.77</v>
      </c>
    </row>
    <row r="176" spans="1:12" x14ac:dyDescent="0.3">
      <c r="A176" s="15" t="s">
        <v>334</v>
      </c>
      <c r="B176" s="23">
        <v>14558.46</v>
      </c>
      <c r="K176" s="15" t="s">
        <v>904</v>
      </c>
      <c r="L176" s="23">
        <v>10536.439999999999</v>
      </c>
    </row>
    <row r="177" spans="1:12" x14ac:dyDescent="0.3">
      <c r="A177" s="15" t="s">
        <v>194</v>
      </c>
      <c r="B177" s="23">
        <v>30021.06</v>
      </c>
      <c r="K177" s="15" t="s">
        <v>1169</v>
      </c>
      <c r="L177" s="23">
        <v>14120.58</v>
      </c>
    </row>
    <row r="178" spans="1:12" x14ac:dyDescent="0.3">
      <c r="A178" s="15" t="s">
        <v>142</v>
      </c>
      <c r="B178" s="23">
        <v>16438.89</v>
      </c>
      <c r="K178" s="15" t="s">
        <v>1532</v>
      </c>
      <c r="L178" s="23">
        <v>12143.6</v>
      </c>
    </row>
    <row r="179" spans="1:12" x14ac:dyDescent="0.3">
      <c r="A179" s="15" t="s">
        <v>882</v>
      </c>
      <c r="B179" s="23">
        <v>12855.6</v>
      </c>
      <c r="K179" s="15" t="s">
        <v>1545</v>
      </c>
      <c r="L179" s="23">
        <v>1790.8</v>
      </c>
    </row>
    <row r="180" spans="1:12" x14ac:dyDescent="0.3">
      <c r="A180" s="15" t="s">
        <v>709</v>
      </c>
      <c r="B180" s="23">
        <v>16466.96</v>
      </c>
      <c r="K180" s="15" t="s">
        <v>1254</v>
      </c>
      <c r="L180" s="23">
        <v>10669.2</v>
      </c>
    </row>
    <row r="181" spans="1:12" x14ac:dyDescent="0.3">
      <c r="A181" s="15" t="s">
        <v>845</v>
      </c>
      <c r="B181" s="23">
        <v>21075.4</v>
      </c>
      <c r="K181" s="15" t="s">
        <v>46</v>
      </c>
      <c r="L181" s="23">
        <v>7595.65</v>
      </c>
    </row>
    <row r="182" spans="1:12" x14ac:dyDescent="0.3">
      <c r="A182" s="15" t="s">
        <v>801</v>
      </c>
      <c r="B182" s="23">
        <v>1824</v>
      </c>
      <c r="K182" s="15" t="s">
        <v>290</v>
      </c>
      <c r="L182" s="23">
        <v>32992.519999999997</v>
      </c>
    </row>
    <row r="183" spans="1:12" x14ac:dyDescent="0.3">
      <c r="A183" s="15" t="s">
        <v>373</v>
      </c>
      <c r="B183" s="23">
        <v>2060.56</v>
      </c>
      <c r="K183" s="15" t="s">
        <v>514</v>
      </c>
      <c r="L183" s="23">
        <v>18000.350000000002</v>
      </c>
    </row>
    <row r="184" spans="1:12" x14ac:dyDescent="0.3">
      <c r="A184" s="15" t="s">
        <v>1008</v>
      </c>
      <c r="B184" s="23">
        <v>5853.04</v>
      </c>
      <c r="K184" s="15" t="s">
        <v>750</v>
      </c>
      <c r="L184" s="23">
        <v>16074.25</v>
      </c>
    </row>
    <row r="185" spans="1:12" x14ac:dyDescent="0.3">
      <c r="A185" s="15" t="s">
        <v>477</v>
      </c>
      <c r="B185" s="23">
        <v>25025.8</v>
      </c>
      <c r="K185" s="15" t="s">
        <v>662</v>
      </c>
      <c r="L185" s="23">
        <v>39451.479999999996</v>
      </c>
    </row>
    <row r="186" spans="1:12" x14ac:dyDescent="0.3">
      <c r="A186" s="15" t="s">
        <v>496</v>
      </c>
      <c r="B186" s="23">
        <v>51139.8</v>
      </c>
      <c r="K186" s="15" t="s">
        <v>1199</v>
      </c>
      <c r="L186" s="23">
        <v>9537.36</v>
      </c>
    </row>
    <row r="187" spans="1:12" x14ac:dyDescent="0.3">
      <c r="A187" s="15" t="s">
        <v>461</v>
      </c>
      <c r="B187" s="23">
        <v>8428.2800000000007</v>
      </c>
      <c r="K187" s="15" t="s">
        <v>537</v>
      </c>
      <c r="L187" s="23">
        <v>29277.08</v>
      </c>
    </row>
    <row r="188" spans="1:12" x14ac:dyDescent="0.3">
      <c r="A188" s="15" t="s">
        <v>1057</v>
      </c>
      <c r="B188" s="23">
        <v>19764.169999999998</v>
      </c>
      <c r="K188" s="15" t="s">
        <v>487</v>
      </c>
      <c r="L188" s="23">
        <v>24714.93</v>
      </c>
    </row>
    <row r="189" spans="1:12" x14ac:dyDescent="0.3">
      <c r="A189" s="15" t="s">
        <v>1629</v>
      </c>
      <c r="B189" s="23">
        <v>1828.56</v>
      </c>
      <c r="K189" s="15" t="s">
        <v>107</v>
      </c>
      <c r="L189" s="23">
        <v>11557.71</v>
      </c>
    </row>
    <row r="190" spans="1:12" x14ac:dyDescent="0.3">
      <c r="A190" s="15" t="s">
        <v>29</v>
      </c>
      <c r="B190" s="23">
        <v>38662.620000000003</v>
      </c>
      <c r="K190" s="15" t="s">
        <v>377</v>
      </c>
      <c r="L190" s="23">
        <v>18908.939999999999</v>
      </c>
    </row>
    <row r="191" spans="1:12" x14ac:dyDescent="0.3">
      <c r="A191" s="15" t="s">
        <v>97</v>
      </c>
      <c r="B191" s="23">
        <v>24449.829999999998</v>
      </c>
      <c r="K191" s="15" t="s">
        <v>123</v>
      </c>
      <c r="L191" s="23">
        <v>13422.64</v>
      </c>
    </row>
    <row r="192" spans="1:12" x14ac:dyDescent="0.3">
      <c r="A192" s="15" t="s">
        <v>219</v>
      </c>
      <c r="B192" s="23">
        <v>29038.589999999997</v>
      </c>
      <c r="K192" s="15" t="s">
        <v>592</v>
      </c>
      <c r="L192" s="23">
        <v>23498.98</v>
      </c>
    </row>
    <row r="193" spans="1:12" x14ac:dyDescent="0.3">
      <c r="A193" s="15" t="s">
        <v>423</v>
      </c>
      <c r="B193" s="23">
        <v>10026.84</v>
      </c>
      <c r="K193" s="15" t="s">
        <v>375</v>
      </c>
      <c r="L193" s="23">
        <v>7473.45</v>
      </c>
    </row>
    <row r="194" spans="1:12" x14ac:dyDescent="0.3">
      <c r="A194" s="15" t="s">
        <v>1133</v>
      </c>
      <c r="B194" s="23">
        <v>13473.319999999998</v>
      </c>
      <c r="K194" s="15" t="s">
        <v>742</v>
      </c>
      <c r="L194" s="23">
        <v>22390.74</v>
      </c>
    </row>
    <row r="195" spans="1:12" x14ac:dyDescent="0.3">
      <c r="A195" s="15" t="s">
        <v>526</v>
      </c>
      <c r="B195" s="23">
        <v>16422.3</v>
      </c>
      <c r="K195" s="15" t="s">
        <v>854</v>
      </c>
      <c r="L195" s="23">
        <v>13454.34</v>
      </c>
    </row>
    <row r="196" spans="1:12" x14ac:dyDescent="0.3">
      <c r="A196" s="15" t="s">
        <v>180</v>
      </c>
      <c r="B196" s="23">
        <v>15147.34</v>
      </c>
      <c r="K196" s="15" t="s">
        <v>237</v>
      </c>
      <c r="L196" s="23">
        <v>33288.400000000001</v>
      </c>
    </row>
    <row r="197" spans="1:12" x14ac:dyDescent="0.3">
      <c r="A197" s="15" t="s">
        <v>660</v>
      </c>
      <c r="B197" s="23">
        <v>9264.51</v>
      </c>
      <c r="K197" s="15" t="s">
        <v>266</v>
      </c>
      <c r="L197" s="23">
        <v>33447.050000000003</v>
      </c>
    </row>
    <row r="198" spans="1:12" x14ac:dyDescent="0.3">
      <c r="A198" s="15" t="s">
        <v>1598</v>
      </c>
      <c r="B198" s="23">
        <v>4208.3500000000004</v>
      </c>
      <c r="K198" s="15" t="s">
        <v>479</v>
      </c>
      <c r="L198" s="23">
        <v>8382.42</v>
      </c>
    </row>
    <row r="199" spans="1:12" x14ac:dyDescent="0.3">
      <c r="A199" s="15" t="s">
        <v>1208</v>
      </c>
      <c r="B199" s="23">
        <v>573</v>
      </c>
      <c r="K199" s="15" t="s">
        <v>1270</v>
      </c>
      <c r="L199" s="23">
        <v>9873.0299999999988</v>
      </c>
    </row>
    <row r="200" spans="1:12" x14ac:dyDescent="0.3">
      <c r="A200" s="15" t="s">
        <v>862</v>
      </c>
      <c r="B200" s="23">
        <v>13252.35</v>
      </c>
      <c r="K200" s="15" t="s">
        <v>346</v>
      </c>
      <c r="L200" s="23">
        <v>22227.82</v>
      </c>
    </row>
    <row r="201" spans="1:12" x14ac:dyDescent="0.3">
      <c r="A201" s="15" t="s">
        <v>99</v>
      </c>
      <c r="B201" s="23">
        <v>14394.25</v>
      </c>
      <c r="K201" s="15" t="s">
        <v>372</v>
      </c>
      <c r="L201" s="23">
        <v>15383.02</v>
      </c>
    </row>
    <row r="202" spans="1:12" x14ac:dyDescent="0.3">
      <c r="A202" s="15" t="s">
        <v>117</v>
      </c>
      <c r="B202" s="23">
        <v>54330.710000000006</v>
      </c>
      <c r="K202" s="15" t="s">
        <v>86</v>
      </c>
      <c r="L202" s="23">
        <v>33090.659999999996</v>
      </c>
    </row>
    <row r="203" spans="1:12" x14ac:dyDescent="0.3">
      <c r="A203" s="15" t="s">
        <v>641</v>
      </c>
      <c r="B203" s="23">
        <v>21972.5</v>
      </c>
      <c r="K203" s="15" t="s">
        <v>1153</v>
      </c>
      <c r="L203" s="23">
        <v>29689</v>
      </c>
    </row>
    <row r="204" spans="1:12" x14ac:dyDescent="0.3">
      <c r="A204" s="15" t="s">
        <v>791</v>
      </c>
      <c r="B204" s="23">
        <v>24747.690000000002</v>
      </c>
      <c r="K204" s="15" t="s">
        <v>485</v>
      </c>
      <c r="L204" s="23">
        <v>8825.56</v>
      </c>
    </row>
    <row r="205" spans="1:12" x14ac:dyDescent="0.3">
      <c r="A205" s="15" t="s">
        <v>765</v>
      </c>
      <c r="B205" s="23">
        <v>9461.7199999999993</v>
      </c>
      <c r="K205" s="15" t="s">
        <v>110</v>
      </c>
      <c r="L205" s="23">
        <v>39664.719999999994</v>
      </c>
    </row>
    <row r="206" spans="1:12" x14ac:dyDescent="0.3">
      <c r="A206" s="15" t="s">
        <v>183</v>
      </c>
      <c r="B206" s="23">
        <v>8168.9500000000007</v>
      </c>
      <c r="K206" s="15" t="s">
        <v>482</v>
      </c>
      <c r="L206" s="23">
        <v>55104.780000000006</v>
      </c>
    </row>
    <row r="207" spans="1:12" x14ac:dyDescent="0.3">
      <c r="A207" s="15" t="s">
        <v>203</v>
      </c>
      <c r="B207" s="23">
        <v>9061.48</v>
      </c>
      <c r="K207" s="15" t="s">
        <v>906</v>
      </c>
      <c r="L207" s="23">
        <v>19220.3</v>
      </c>
    </row>
    <row r="208" spans="1:12" x14ac:dyDescent="0.3">
      <c r="A208" s="15" t="s">
        <v>258</v>
      </c>
      <c r="B208" s="23">
        <v>27433.53</v>
      </c>
      <c r="K208" s="15" t="s">
        <v>162</v>
      </c>
      <c r="L208" s="23">
        <v>38288.44</v>
      </c>
    </row>
    <row r="209" spans="1:12" x14ac:dyDescent="0.3">
      <c r="A209" s="15" t="s">
        <v>241</v>
      </c>
      <c r="B209" s="23">
        <v>40988.160000000003</v>
      </c>
      <c r="K209" s="15" t="s">
        <v>647</v>
      </c>
      <c r="L209" s="23">
        <v>15132.63</v>
      </c>
    </row>
    <row r="210" spans="1:12" x14ac:dyDescent="0.3">
      <c r="A210" s="15" t="s">
        <v>794</v>
      </c>
      <c r="B210" s="23">
        <v>17136.93</v>
      </c>
      <c r="K210" s="15" t="s">
        <v>852</v>
      </c>
      <c r="L210" s="23">
        <v>34380.120000000003</v>
      </c>
    </row>
    <row r="211" spans="1:12" x14ac:dyDescent="0.3">
      <c r="A211" s="15" t="s">
        <v>454</v>
      </c>
      <c r="B211" s="23">
        <v>29947.800000000003</v>
      </c>
      <c r="K211" s="15" t="s">
        <v>159</v>
      </c>
      <c r="L211" s="23">
        <v>41948.12</v>
      </c>
    </row>
    <row r="212" spans="1:12" x14ac:dyDescent="0.3">
      <c r="A212" s="15" t="s">
        <v>1469</v>
      </c>
      <c r="B212" s="23">
        <v>7781.36</v>
      </c>
      <c r="K212" s="15" t="s">
        <v>315</v>
      </c>
      <c r="L212" s="23">
        <v>22729.16</v>
      </c>
    </row>
    <row r="213" spans="1:12" x14ac:dyDescent="0.3">
      <c r="A213" s="15" t="s">
        <v>344</v>
      </c>
      <c r="B213" s="23">
        <v>24307.620000000003</v>
      </c>
      <c r="K213" s="15" t="s">
        <v>1021</v>
      </c>
      <c r="L213" s="23">
        <v>17554.599999999999</v>
      </c>
    </row>
    <row r="214" spans="1:12" x14ac:dyDescent="0.3">
      <c r="A214" s="15" t="s">
        <v>1618</v>
      </c>
      <c r="B214" s="23">
        <v>9332.64</v>
      </c>
      <c r="K214" s="15" t="s">
        <v>1183</v>
      </c>
      <c r="L214" s="23">
        <v>28382.080000000002</v>
      </c>
    </row>
    <row r="215" spans="1:12" x14ac:dyDescent="0.3">
      <c r="A215" s="15" t="s">
        <v>902</v>
      </c>
      <c r="B215" s="23">
        <v>32337.1</v>
      </c>
      <c r="K215" s="15" t="s">
        <v>96</v>
      </c>
      <c r="L215" s="23">
        <v>26773.01</v>
      </c>
    </row>
    <row r="216" spans="1:12" x14ac:dyDescent="0.3">
      <c r="A216" s="15" t="s">
        <v>470</v>
      </c>
      <c r="B216" s="23">
        <v>23936.33</v>
      </c>
      <c r="K216" s="15" t="s">
        <v>443</v>
      </c>
      <c r="L216" s="23">
        <v>27475.119999999995</v>
      </c>
    </row>
    <row r="217" spans="1:12" x14ac:dyDescent="0.3">
      <c r="A217" s="15" t="s">
        <v>1540</v>
      </c>
      <c r="B217" s="23">
        <v>2381.6999999999998</v>
      </c>
      <c r="K217" s="15" t="s">
        <v>249</v>
      </c>
      <c r="L217" s="23">
        <v>14890.76</v>
      </c>
    </row>
    <row r="218" spans="1:12" x14ac:dyDescent="0.3">
      <c r="A218" s="15" t="s">
        <v>555</v>
      </c>
      <c r="B218" s="23">
        <v>18589.760000000002</v>
      </c>
      <c r="K218" s="15" t="s">
        <v>252</v>
      </c>
      <c r="L218" s="23">
        <v>25312.649999999998</v>
      </c>
    </row>
    <row r="219" spans="1:12" x14ac:dyDescent="0.3">
      <c r="A219" s="15" t="s">
        <v>1331</v>
      </c>
      <c r="B219" s="23">
        <v>16697.2</v>
      </c>
      <c r="K219" s="15" t="s">
        <v>1230</v>
      </c>
      <c r="L219" s="23">
        <v>2263.48</v>
      </c>
    </row>
    <row r="220" spans="1:12" x14ac:dyDescent="0.3">
      <c r="A220" s="15" t="s">
        <v>942</v>
      </c>
      <c r="B220" s="23">
        <v>31855.82</v>
      </c>
      <c r="K220" s="15" t="s">
        <v>739</v>
      </c>
      <c r="L220" s="23">
        <v>54763.780000000006</v>
      </c>
    </row>
    <row r="221" spans="1:12" x14ac:dyDescent="0.3">
      <c r="A221" s="15" t="s">
        <v>331</v>
      </c>
      <c r="B221" s="23">
        <v>23190.260000000002</v>
      </c>
      <c r="K221" s="15" t="s">
        <v>81</v>
      </c>
      <c r="L221" s="23">
        <v>29032.65</v>
      </c>
    </row>
    <row r="222" spans="1:12" x14ac:dyDescent="0.3">
      <c r="A222" s="15" t="s">
        <v>270</v>
      </c>
      <c r="B222" s="23">
        <v>39341.78</v>
      </c>
      <c r="K222" s="15" t="s">
        <v>561</v>
      </c>
      <c r="L222" s="23">
        <v>14884.890000000001</v>
      </c>
    </row>
    <row r="223" spans="1:12" x14ac:dyDescent="0.3">
      <c r="A223" s="15" t="s">
        <v>1374</v>
      </c>
      <c r="B223" s="23">
        <v>7912.12</v>
      </c>
      <c r="K223" s="15" t="s">
        <v>1349</v>
      </c>
      <c r="L223" s="23">
        <v>10468.23</v>
      </c>
    </row>
    <row r="224" spans="1:12" x14ac:dyDescent="0.3">
      <c r="A224" s="15" t="s">
        <v>1181</v>
      </c>
      <c r="B224" s="23">
        <v>15299.28</v>
      </c>
      <c r="K224" s="15" t="s">
        <v>309</v>
      </c>
      <c r="L224" s="23">
        <v>43409.78</v>
      </c>
    </row>
    <row r="225" spans="1:12" x14ac:dyDescent="0.3">
      <c r="A225" s="15" t="s">
        <v>549</v>
      </c>
      <c r="B225" s="23">
        <v>47601.729999999996</v>
      </c>
      <c r="K225" s="15" t="s">
        <v>1163</v>
      </c>
      <c r="L225" s="23">
        <v>5314.8099999999995</v>
      </c>
    </row>
    <row r="226" spans="1:12" x14ac:dyDescent="0.3">
      <c r="A226" s="15" t="s">
        <v>748</v>
      </c>
      <c r="B226" s="23">
        <v>41504.39</v>
      </c>
      <c r="K226" s="15" t="s">
        <v>578</v>
      </c>
      <c r="L226" s="23">
        <v>35574.400000000001</v>
      </c>
    </row>
    <row r="227" spans="1:12" x14ac:dyDescent="0.3">
      <c r="A227" s="15" t="s">
        <v>1404</v>
      </c>
      <c r="B227" s="23">
        <v>4167.6000000000004</v>
      </c>
      <c r="K227" s="15" t="s">
        <v>453</v>
      </c>
      <c r="L227" s="23">
        <v>10801.35</v>
      </c>
    </row>
    <row r="228" spans="1:12" x14ac:dyDescent="0.3">
      <c r="A228" s="15" t="s">
        <v>447</v>
      </c>
      <c r="B228" s="23">
        <v>3550.6</v>
      </c>
      <c r="K228" s="15" t="s">
        <v>42</v>
      </c>
      <c r="L228" s="23">
        <v>32537.640000000003</v>
      </c>
    </row>
    <row r="229" spans="1:12" x14ac:dyDescent="0.3">
      <c r="A229" s="15" t="s">
        <v>619</v>
      </c>
      <c r="B229" s="23">
        <v>21368.430000000004</v>
      </c>
      <c r="K229" s="15" t="s">
        <v>205</v>
      </c>
      <c r="L229" s="23">
        <v>30458.250000000004</v>
      </c>
    </row>
    <row r="230" spans="1:12" x14ac:dyDescent="0.3">
      <c r="A230" s="15" t="s">
        <v>57</v>
      </c>
      <c r="B230" s="23">
        <v>2632.43</v>
      </c>
      <c r="K230" s="15" t="s">
        <v>1109</v>
      </c>
      <c r="L230" s="23">
        <v>6867.5</v>
      </c>
    </row>
    <row r="231" spans="1:12" x14ac:dyDescent="0.3">
      <c r="A231" s="15" t="s">
        <v>43</v>
      </c>
      <c r="B231" s="23">
        <v>25940.080000000002</v>
      </c>
      <c r="K231" s="15" t="s">
        <v>1314</v>
      </c>
      <c r="L231" s="23">
        <v>10306.799999999999</v>
      </c>
    </row>
    <row r="232" spans="1:12" x14ac:dyDescent="0.3">
      <c r="A232" s="15" t="s">
        <v>127</v>
      </c>
      <c r="B232" s="23">
        <v>36860</v>
      </c>
      <c r="K232" s="15" t="s">
        <v>260</v>
      </c>
      <c r="L232" s="23">
        <v>32900.880000000005</v>
      </c>
    </row>
    <row r="233" spans="1:12" x14ac:dyDescent="0.3">
      <c r="A233" s="15" t="s">
        <v>1301</v>
      </c>
      <c r="B233" s="23">
        <v>6290.46</v>
      </c>
      <c r="K233" s="15" t="s">
        <v>790</v>
      </c>
      <c r="L233" s="23">
        <v>12711</v>
      </c>
    </row>
    <row r="234" spans="1:12" x14ac:dyDescent="0.3">
      <c r="A234" s="15" t="s">
        <v>36</v>
      </c>
      <c r="B234" s="23">
        <v>27054.25</v>
      </c>
      <c r="K234" s="15" t="s">
        <v>534</v>
      </c>
      <c r="L234" s="23">
        <v>8265.64</v>
      </c>
    </row>
    <row r="235" spans="1:12" x14ac:dyDescent="0.3">
      <c r="A235" s="15" t="s">
        <v>1004</v>
      </c>
      <c r="B235" s="23">
        <v>26158.48</v>
      </c>
      <c r="K235" s="15" t="s">
        <v>989</v>
      </c>
      <c r="L235" s="23">
        <v>15049.04</v>
      </c>
    </row>
    <row r="236" spans="1:12" x14ac:dyDescent="0.3">
      <c r="A236" s="15" t="s">
        <v>652</v>
      </c>
      <c r="B236" s="23">
        <v>20802.050000000003</v>
      </c>
      <c r="K236" s="15" t="s">
        <v>974</v>
      </c>
      <c r="L236" s="23">
        <v>34856.6</v>
      </c>
    </row>
    <row r="237" spans="1:12" x14ac:dyDescent="0.3">
      <c r="A237" s="15" t="s">
        <v>291</v>
      </c>
      <c r="B237" s="23">
        <v>59568.62</v>
      </c>
      <c r="K237" s="15" t="s">
        <v>1049</v>
      </c>
      <c r="L237" s="23">
        <v>8551.08</v>
      </c>
    </row>
    <row r="238" spans="1:12" x14ac:dyDescent="0.3">
      <c r="A238" s="15" t="s">
        <v>166</v>
      </c>
      <c r="B238" s="23">
        <v>31144.729999999996</v>
      </c>
      <c r="K238" s="15" t="s">
        <v>463</v>
      </c>
      <c r="L238" s="23">
        <v>22149.08</v>
      </c>
    </row>
    <row r="239" spans="1:12" x14ac:dyDescent="0.3">
      <c r="A239" s="15" t="s">
        <v>78</v>
      </c>
      <c r="B239" s="23">
        <v>25092.530000000002</v>
      </c>
      <c r="K239" s="15" t="s">
        <v>1238</v>
      </c>
      <c r="L239" s="23">
        <v>12535.2</v>
      </c>
    </row>
    <row r="240" spans="1:12" x14ac:dyDescent="0.3">
      <c r="A240" s="15" t="s">
        <v>663</v>
      </c>
      <c r="B240" s="23">
        <v>25499.72</v>
      </c>
      <c r="K240" s="15" t="s">
        <v>243</v>
      </c>
      <c r="L240" s="23">
        <v>31097.360000000001</v>
      </c>
    </row>
    <row r="241" spans="1:12" x14ac:dyDescent="0.3">
      <c r="A241" s="15" t="s">
        <v>222</v>
      </c>
      <c r="B241" s="23">
        <v>20911.710000000003</v>
      </c>
      <c r="K241" s="15" t="s">
        <v>760</v>
      </c>
      <c r="L241" s="23">
        <v>24609.91</v>
      </c>
    </row>
    <row r="242" spans="1:12" x14ac:dyDescent="0.3">
      <c r="A242" s="15" t="s">
        <v>367</v>
      </c>
      <c r="B242" s="23">
        <v>37006.619999999995</v>
      </c>
      <c r="K242" s="15" t="s">
        <v>202</v>
      </c>
      <c r="L242" s="23">
        <v>19809.109999999997</v>
      </c>
    </row>
    <row r="243" spans="1:12" x14ac:dyDescent="0.3">
      <c r="A243" s="15" t="s">
        <v>145</v>
      </c>
      <c r="B243" s="23">
        <v>28026.829999999998</v>
      </c>
      <c r="K243" s="15" t="s">
        <v>1596</v>
      </c>
      <c r="L243" s="23">
        <v>1030.08</v>
      </c>
    </row>
    <row r="244" spans="1:12" x14ac:dyDescent="0.3">
      <c r="A244" s="15" t="s">
        <v>353</v>
      </c>
      <c r="B244" s="23">
        <v>8997.56</v>
      </c>
      <c r="K244" s="15" t="s">
        <v>165</v>
      </c>
      <c r="L244" s="23">
        <v>54293.48</v>
      </c>
    </row>
    <row r="245" spans="1:12" x14ac:dyDescent="0.3">
      <c r="A245" s="15" t="s">
        <v>915</v>
      </c>
      <c r="B245" s="23">
        <v>26657.949999999997</v>
      </c>
      <c r="K245" s="15" t="s">
        <v>1106</v>
      </c>
      <c r="L245" s="23">
        <v>5568.48</v>
      </c>
    </row>
    <row r="246" spans="1:12" x14ac:dyDescent="0.3">
      <c r="A246" s="15" t="s">
        <v>381</v>
      </c>
      <c r="B246" s="23">
        <v>22316.480000000003</v>
      </c>
      <c r="K246" s="15" t="s">
        <v>395</v>
      </c>
      <c r="L246" s="23">
        <v>9985.16</v>
      </c>
    </row>
    <row r="247" spans="1:12" x14ac:dyDescent="0.3">
      <c r="A247" s="15" t="s">
        <v>732</v>
      </c>
      <c r="B247" s="23">
        <v>23158.840000000004</v>
      </c>
      <c r="K247" s="15" t="s">
        <v>352</v>
      </c>
      <c r="L247" s="23">
        <v>15132.36</v>
      </c>
    </row>
    <row r="248" spans="1:12" x14ac:dyDescent="0.3">
      <c r="A248" s="15" t="s">
        <v>413</v>
      </c>
      <c r="B248" s="23">
        <v>55917.93</v>
      </c>
      <c r="K248" s="15" t="s">
        <v>725</v>
      </c>
      <c r="L248" s="23">
        <v>6497.2999999999993</v>
      </c>
    </row>
    <row r="249" spans="1:12" x14ac:dyDescent="0.3">
      <c r="A249" s="15" t="s">
        <v>522</v>
      </c>
      <c r="B249" s="23">
        <v>27304.36</v>
      </c>
      <c r="K249" s="15" t="s">
        <v>687</v>
      </c>
      <c r="L249" s="23">
        <v>51047.28</v>
      </c>
    </row>
    <row r="250" spans="1:12" x14ac:dyDescent="0.3">
      <c r="A250" s="15" t="s">
        <v>1029</v>
      </c>
      <c r="B250" s="23">
        <v>11036.029999999999</v>
      </c>
      <c r="K250" s="15" t="s">
        <v>1482</v>
      </c>
      <c r="L250" s="23">
        <v>18705.599999999999</v>
      </c>
    </row>
    <row r="251" spans="1:12" x14ac:dyDescent="0.3">
      <c r="A251" s="15" t="s">
        <v>228</v>
      </c>
      <c r="B251" s="23">
        <v>24644.720000000001</v>
      </c>
      <c r="K251" s="15" t="s">
        <v>1425</v>
      </c>
      <c r="L251" s="23">
        <v>11334.72</v>
      </c>
    </row>
    <row r="252" spans="1:12" x14ac:dyDescent="0.3">
      <c r="A252" s="15" t="s">
        <v>1634</v>
      </c>
      <c r="B252" s="23">
        <v>5953.86</v>
      </c>
      <c r="K252" s="15" t="s">
        <v>1201</v>
      </c>
      <c r="L252" s="23">
        <v>19814.68</v>
      </c>
    </row>
    <row r="253" spans="1:12" x14ac:dyDescent="0.3">
      <c r="A253" s="15" t="s">
        <v>690</v>
      </c>
      <c r="B253" s="23">
        <v>11993</v>
      </c>
      <c r="K253" s="15" t="s">
        <v>723</v>
      </c>
      <c r="L253" s="23">
        <v>34002.799999999996</v>
      </c>
    </row>
    <row r="254" spans="1:12" x14ac:dyDescent="0.3">
      <c r="A254" s="15" t="s">
        <v>609</v>
      </c>
      <c r="B254" s="23">
        <v>10596.58</v>
      </c>
      <c r="K254" s="15" t="s">
        <v>848</v>
      </c>
      <c r="L254" s="23">
        <v>9075.33</v>
      </c>
    </row>
    <row r="255" spans="1:12" x14ac:dyDescent="0.3">
      <c r="A255" s="15" t="s">
        <v>1646</v>
      </c>
      <c r="B255" s="23">
        <v>403.28</v>
      </c>
      <c r="K255" s="15" t="s">
        <v>234</v>
      </c>
      <c r="L255" s="23">
        <v>13575.27</v>
      </c>
    </row>
    <row r="256" spans="1:12" x14ac:dyDescent="0.3">
      <c r="A256" s="15" t="s">
        <v>102</v>
      </c>
      <c r="B256" s="23">
        <v>17944.03</v>
      </c>
      <c r="K256" s="15" t="s">
        <v>1431</v>
      </c>
      <c r="L256" s="23">
        <v>9364</v>
      </c>
    </row>
    <row r="257" spans="1:12" x14ac:dyDescent="0.3">
      <c r="A257" s="15" t="s">
        <v>214</v>
      </c>
      <c r="B257" s="23">
        <v>31880.080000000002</v>
      </c>
      <c r="K257" s="15" t="s">
        <v>1504</v>
      </c>
      <c r="L257" s="23">
        <v>1971</v>
      </c>
    </row>
    <row r="258" spans="1:12" x14ac:dyDescent="0.3">
      <c r="A258" s="15" t="s">
        <v>682</v>
      </c>
      <c r="B258" s="23">
        <v>25948.71</v>
      </c>
      <c r="K258" s="15" t="s">
        <v>985</v>
      </c>
      <c r="L258" s="23">
        <v>33784.19</v>
      </c>
    </row>
    <row r="259" spans="1:12" x14ac:dyDescent="0.3">
      <c r="A259" s="15" t="s">
        <v>71</v>
      </c>
      <c r="B259" s="23">
        <v>36047.71</v>
      </c>
      <c r="K259" s="15" t="s">
        <v>1355</v>
      </c>
      <c r="L259" s="23">
        <v>822.8</v>
      </c>
    </row>
    <row r="260" spans="1:12" x14ac:dyDescent="0.3">
      <c r="A260" s="15" t="s">
        <v>238</v>
      </c>
      <c r="B260" s="23">
        <v>17466.8</v>
      </c>
      <c r="K260" s="15" t="s">
        <v>272</v>
      </c>
      <c r="L260" s="23">
        <v>22810.65</v>
      </c>
    </row>
    <row r="261" spans="1:12" x14ac:dyDescent="0.3">
      <c r="A261" s="15" t="s">
        <v>385</v>
      </c>
      <c r="B261" s="23">
        <v>23058.87</v>
      </c>
      <c r="K261" s="15" t="s">
        <v>185</v>
      </c>
      <c r="L261" s="23">
        <v>15521.24</v>
      </c>
    </row>
    <row r="262" spans="1:12" x14ac:dyDescent="0.3">
      <c r="A262" s="15" t="s">
        <v>658</v>
      </c>
      <c r="B262" s="23">
        <v>13770.980000000001</v>
      </c>
      <c r="K262" s="15" t="s">
        <v>657</v>
      </c>
      <c r="L262" s="23">
        <v>207.2</v>
      </c>
    </row>
    <row r="263" spans="1:12" x14ac:dyDescent="0.3">
      <c r="A263" s="15" t="s">
        <v>777</v>
      </c>
      <c r="B263" s="23">
        <v>30832.639999999999</v>
      </c>
      <c r="K263" s="15" t="s">
        <v>731</v>
      </c>
      <c r="L263" s="23">
        <v>16435.150000000001</v>
      </c>
    </row>
    <row r="264" spans="1:12" x14ac:dyDescent="0.3">
      <c r="A264" s="15" t="s">
        <v>393</v>
      </c>
      <c r="B264" s="23">
        <v>12675.14</v>
      </c>
      <c r="K264" s="15" t="s">
        <v>406</v>
      </c>
      <c r="L264" s="23">
        <v>14346.470000000001</v>
      </c>
    </row>
    <row r="265" spans="1:12" x14ac:dyDescent="0.3">
      <c r="A265" s="15" t="s">
        <v>363</v>
      </c>
      <c r="B265" s="23">
        <v>5168.91</v>
      </c>
      <c r="K265" s="15" t="s">
        <v>1324</v>
      </c>
      <c r="L265" s="23">
        <v>18076.28</v>
      </c>
    </row>
    <row r="266" spans="1:12" x14ac:dyDescent="0.3">
      <c r="A266" s="15" t="s">
        <v>325</v>
      </c>
      <c r="B266" s="23">
        <v>21534.809999999998</v>
      </c>
      <c r="K266" s="15" t="s">
        <v>949</v>
      </c>
      <c r="L266" s="23">
        <v>3974.0600000000004</v>
      </c>
    </row>
    <row r="267" spans="1:12" x14ac:dyDescent="0.3">
      <c r="A267" s="15" t="s">
        <v>632</v>
      </c>
      <c r="B267" s="23">
        <v>14537.39</v>
      </c>
      <c r="K267" s="15" t="s">
        <v>246</v>
      </c>
      <c r="L267" s="23">
        <v>17064.280000000002</v>
      </c>
    </row>
    <row r="268" spans="1:12" x14ac:dyDescent="0.3">
      <c r="A268" s="15" t="s">
        <v>698</v>
      </c>
      <c r="B268" s="23">
        <v>11109.6</v>
      </c>
      <c r="K268" s="15" t="s">
        <v>379</v>
      </c>
      <c r="L268" s="23">
        <v>29810.199999999997</v>
      </c>
    </row>
    <row r="269" spans="1:12" x14ac:dyDescent="0.3">
      <c r="A269" s="15" t="s">
        <v>510</v>
      </c>
      <c r="B269" s="23">
        <v>18495.849999999999</v>
      </c>
      <c r="K269" s="15" t="s">
        <v>585</v>
      </c>
      <c r="L269" s="23">
        <v>2092.48</v>
      </c>
    </row>
    <row r="270" spans="1:12" x14ac:dyDescent="0.3">
      <c r="A270" s="15" t="s">
        <v>931</v>
      </c>
      <c r="B270" s="23">
        <v>17383.05</v>
      </c>
      <c r="K270" s="15" t="s">
        <v>764</v>
      </c>
      <c r="L270" s="23">
        <v>18408.960000000003</v>
      </c>
    </row>
    <row r="271" spans="1:12" x14ac:dyDescent="0.3">
      <c r="A271" s="15" t="s">
        <v>994</v>
      </c>
      <c r="B271" s="23">
        <v>10393.109999999999</v>
      </c>
      <c r="K271" s="15" t="s">
        <v>150</v>
      </c>
      <c r="L271" s="23">
        <v>11836.47</v>
      </c>
    </row>
    <row r="272" spans="1:12" x14ac:dyDescent="0.3">
      <c r="A272" s="15" t="s">
        <v>1298</v>
      </c>
      <c r="B272" s="23">
        <v>3620</v>
      </c>
      <c r="K272" s="15" t="s">
        <v>293</v>
      </c>
      <c r="L272" s="23">
        <v>20026.05</v>
      </c>
    </row>
    <row r="273" spans="1:12" x14ac:dyDescent="0.3">
      <c r="A273" s="15" t="s">
        <v>284</v>
      </c>
      <c r="B273" s="23">
        <v>31526.409999999996</v>
      </c>
      <c r="K273" s="15" t="s">
        <v>1176</v>
      </c>
      <c r="L273" s="23">
        <v>16446.060000000001</v>
      </c>
    </row>
    <row r="274" spans="1:12" x14ac:dyDescent="0.3">
      <c r="A274" s="15" t="s">
        <v>849</v>
      </c>
      <c r="B274" s="23">
        <v>16287.36</v>
      </c>
      <c r="K274" s="15" t="s">
        <v>572</v>
      </c>
      <c r="L274" s="23">
        <v>14749.18</v>
      </c>
    </row>
    <row r="275" spans="1:12" x14ac:dyDescent="0.3">
      <c r="A275" s="15" t="s">
        <v>1669</v>
      </c>
      <c r="B275" s="23">
        <v>15350.4</v>
      </c>
      <c r="K275" s="15" t="s">
        <v>324</v>
      </c>
      <c r="L275" s="23">
        <v>15176.58</v>
      </c>
    </row>
    <row r="276" spans="1:12" x14ac:dyDescent="0.3">
      <c r="A276" s="15" t="s">
        <v>451</v>
      </c>
      <c r="B276" s="23">
        <v>22163.279999999999</v>
      </c>
      <c r="K276" s="15" t="s">
        <v>188</v>
      </c>
      <c r="L276" s="23">
        <v>11971.42</v>
      </c>
    </row>
    <row r="277" spans="1:12" x14ac:dyDescent="0.3">
      <c r="A277" s="15" t="s">
        <v>512</v>
      </c>
      <c r="B277" s="23">
        <v>27399.23</v>
      </c>
      <c r="K277" s="15" t="s">
        <v>757</v>
      </c>
      <c r="L277" s="23">
        <v>4386.55</v>
      </c>
    </row>
    <row r="278" spans="1:12" x14ac:dyDescent="0.3">
      <c r="A278" s="15" t="s">
        <v>562</v>
      </c>
      <c r="B278" s="23">
        <v>14702.820000000002</v>
      </c>
      <c r="K278" s="15" t="s">
        <v>594</v>
      </c>
      <c r="L278" s="23">
        <v>51741.15</v>
      </c>
    </row>
    <row r="279" spans="1:12" x14ac:dyDescent="0.3">
      <c r="A279" s="15" t="s">
        <v>836</v>
      </c>
      <c r="B279" s="23">
        <v>22111.73</v>
      </c>
      <c r="K279" s="15" t="s">
        <v>35</v>
      </c>
      <c r="L279" s="23">
        <v>20227.349999999999</v>
      </c>
    </row>
    <row r="280" spans="1:12" x14ac:dyDescent="0.3">
      <c r="A280" s="15" t="s">
        <v>567</v>
      </c>
      <c r="B280" s="23">
        <v>28895.229999999996</v>
      </c>
      <c r="K280" s="15" t="s">
        <v>965</v>
      </c>
      <c r="L280" s="23">
        <v>35465.310000000005</v>
      </c>
    </row>
    <row r="281" spans="1:12" x14ac:dyDescent="0.3">
      <c r="A281" s="15" t="s">
        <v>206</v>
      </c>
      <c r="B281" s="23">
        <v>25801.040000000001</v>
      </c>
      <c r="K281" s="15" t="s">
        <v>893</v>
      </c>
      <c r="L281" s="23">
        <v>13359.02</v>
      </c>
    </row>
    <row r="282" spans="1:12" x14ac:dyDescent="0.3">
      <c r="A282" s="15" t="s">
        <v>1050</v>
      </c>
      <c r="B282" s="23">
        <v>9281.630000000001</v>
      </c>
      <c r="K282" s="15" t="s">
        <v>1039</v>
      </c>
      <c r="L282" s="23">
        <v>9216.9</v>
      </c>
    </row>
    <row r="283" spans="1:12" x14ac:dyDescent="0.3">
      <c r="A283" s="15" t="s">
        <v>197</v>
      </c>
      <c r="B283" s="23">
        <v>33582.829999999994</v>
      </c>
      <c r="K283" s="15" t="s">
        <v>1025</v>
      </c>
      <c r="L283" s="23">
        <v>8725.1</v>
      </c>
    </row>
    <row r="284" spans="1:12" x14ac:dyDescent="0.3">
      <c r="A284" s="15" t="s">
        <v>655</v>
      </c>
      <c r="B284" s="23">
        <v>33941.33</v>
      </c>
      <c r="K284" s="15" t="s">
        <v>684</v>
      </c>
      <c r="L284" s="23">
        <v>8978.76</v>
      </c>
    </row>
    <row r="285" spans="1:12" x14ac:dyDescent="0.3">
      <c r="A285" s="15" t="s">
        <v>133</v>
      </c>
      <c r="B285" s="23">
        <v>23463</v>
      </c>
      <c r="K285" s="15" t="s">
        <v>618</v>
      </c>
      <c r="L285" s="23">
        <v>1915.65</v>
      </c>
    </row>
    <row r="286" spans="1:12" x14ac:dyDescent="0.3">
      <c r="A286" s="15" t="s">
        <v>711</v>
      </c>
      <c r="B286" s="23">
        <v>35344.179999999993</v>
      </c>
      <c r="K286" s="15" t="s">
        <v>208</v>
      </c>
      <c r="L286" s="23">
        <v>44512.520000000004</v>
      </c>
    </row>
    <row r="287" spans="1:12" x14ac:dyDescent="0.3">
      <c r="A287" s="15" t="s">
        <v>628</v>
      </c>
      <c r="B287" s="23">
        <v>4556.9699999999993</v>
      </c>
      <c r="K287" s="15" t="s">
        <v>425</v>
      </c>
      <c r="L287" s="23">
        <v>11241.24</v>
      </c>
    </row>
    <row r="288" spans="1:12" x14ac:dyDescent="0.3">
      <c r="A288" s="15" t="s">
        <v>558</v>
      </c>
      <c r="B288" s="23">
        <v>23773.65</v>
      </c>
      <c r="K288" s="15" t="s">
        <v>358</v>
      </c>
      <c r="L288" s="23">
        <v>26103.96</v>
      </c>
    </row>
    <row r="289" spans="1:12" x14ac:dyDescent="0.3">
      <c r="A289" s="15" t="s">
        <v>148</v>
      </c>
      <c r="B289" s="23">
        <v>16075.119999999999</v>
      </c>
      <c r="K289" s="15" t="s">
        <v>599</v>
      </c>
      <c r="L289" s="23">
        <v>16359.2</v>
      </c>
    </row>
    <row r="290" spans="1:12" x14ac:dyDescent="0.3">
      <c r="A290" s="15" t="s">
        <v>1130</v>
      </c>
      <c r="B290" s="23">
        <v>24062.340000000004</v>
      </c>
      <c r="K290" s="15" t="s">
        <v>221</v>
      </c>
      <c r="L290" s="23">
        <v>12541.52</v>
      </c>
    </row>
    <row r="291" spans="1:12" x14ac:dyDescent="0.3">
      <c r="A291" s="15" t="s">
        <v>1538</v>
      </c>
      <c r="B291" s="23">
        <v>4502.75</v>
      </c>
      <c r="K291" s="15" t="s">
        <v>90</v>
      </c>
      <c r="L291" s="23">
        <v>22612.52</v>
      </c>
    </row>
    <row r="292" spans="1:12" x14ac:dyDescent="0.3">
      <c r="A292" s="15" t="s">
        <v>1227</v>
      </c>
      <c r="B292" s="23">
        <v>14415.220000000001</v>
      </c>
      <c r="K292" s="15" t="s">
        <v>776</v>
      </c>
      <c r="L292" s="23">
        <v>23909.46</v>
      </c>
    </row>
    <row r="293" spans="1:12" x14ac:dyDescent="0.3">
      <c r="A293" s="15" t="s">
        <v>918</v>
      </c>
      <c r="B293" s="23">
        <v>34355.909999999996</v>
      </c>
      <c r="K293" s="15" t="s">
        <v>490</v>
      </c>
      <c r="L293" s="23">
        <v>27493.539999999997</v>
      </c>
    </row>
    <row r="294" spans="1:12" x14ac:dyDescent="0.3">
      <c r="A294" s="15" t="s">
        <v>1675</v>
      </c>
      <c r="B294" s="23">
        <v>6506678.7100000028</v>
      </c>
      <c r="K294" s="15" t="s">
        <v>1528</v>
      </c>
      <c r="L294" s="23">
        <v>9665.4</v>
      </c>
    </row>
    <row r="295" spans="1:12" x14ac:dyDescent="0.3">
      <c r="K295" s="15" t="s">
        <v>456</v>
      </c>
      <c r="L295" s="23">
        <v>19602.689999999999</v>
      </c>
    </row>
    <row r="296" spans="1:12" x14ac:dyDescent="0.3">
      <c r="K296" s="15" t="s">
        <v>283</v>
      </c>
      <c r="L296" s="23">
        <v>9799.5</v>
      </c>
    </row>
    <row r="297" spans="1:12" x14ac:dyDescent="0.3">
      <c r="K297" s="15" t="s">
        <v>871</v>
      </c>
      <c r="L297" s="23">
        <v>48921</v>
      </c>
    </row>
    <row r="298" spans="1:12" x14ac:dyDescent="0.3">
      <c r="K298" s="15" t="s">
        <v>501</v>
      </c>
      <c r="L298" s="23">
        <v>11568.990000000002</v>
      </c>
    </row>
    <row r="299" spans="1:12" x14ac:dyDescent="0.3">
      <c r="K299" s="15" t="s">
        <v>1098</v>
      </c>
      <c r="L299" s="23">
        <v>21196.05</v>
      </c>
    </row>
    <row r="300" spans="1:12" x14ac:dyDescent="0.3">
      <c r="K300" s="15" t="s">
        <v>696</v>
      </c>
      <c r="L300" s="23">
        <v>41089.310000000005</v>
      </c>
    </row>
    <row r="301" spans="1:12" x14ac:dyDescent="0.3">
      <c r="K301" s="15" t="s">
        <v>435</v>
      </c>
      <c r="L301" s="23">
        <v>6131.52</v>
      </c>
    </row>
    <row r="302" spans="1:12" x14ac:dyDescent="0.3">
      <c r="K302" s="15" t="s">
        <v>517</v>
      </c>
      <c r="L302" s="23">
        <v>22968.6</v>
      </c>
    </row>
    <row r="303" spans="1:12" x14ac:dyDescent="0.3">
      <c r="K303" s="15" t="s">
        <v>319</v>
      </c>
      <c r="L303" s="23">
        <v>2401.7199999999998</v>
      </c>
    </row>
    <row r="304" spans="1:12" x14ac:dyDescent="0.3">
      <c r="K304" s="15" t="s">
        <v>605</v>
      </c>
      <c r="L304" s="23">
        <v>21430.179999999997</v>
      </c>
    </row>
    <row r="305" spans="11:12" x14ac:dyDescent="0.3">
      <c r="K305" s="15" t="s">
        <v>521</v>
      </c>
      <c r="L305" s="23">
        <v>2751.48</v>
      </c>
    </row>
    <row r="306" spans="11:12" x14ac:dyDescent="0.3">
      <c r="K306" s="15" t="s">
        <v>596</v>
      </c>
      <c r="L306" s="23">
        <v>3150.6</v>
      </c>
    </row>
    <row r="307" spans="11:12" x14ac:dyDescent="0.3">
      <c r="K307" s="15" t="s">
        <v>73</v>
      </c>
      <c r="L307" s="23">
        <v>75465.679999999993</v>
      </c>
    </row>
    <row r="308" spans="11:12" x14ac:dyDescent="0.3">
      <c r="K308" s="15" t="s">
        <v>474</v>
      </c>
      <c r="L308" s="23">
        <v>31950.289999999997</v>
      </c>
    </row>
    <row r="309" spans="11:12" x14ac:dyDescent="0.3">
      <c r="K309" s="15" t="s">
        <v>28</v>
      </c>
      <c r="L309" s="23">
        <v>28169.050000000003</v>
      </c>
    </row>
    <row r="310" spans="11:12" x14ac:dyDescent="0.3">
      <c r="K310" s="15" t="s">
        <v>104</v>
      </c>
      <c r="L310" s="23">
        <v>12708.900000000001</v>
      </c>
    </row>
    <row r="311" spans="11:12" x14ac:dyDescent="0.3">
      <c r="K311" s="15" t="s">
        <v>240</v>
      </c>
      <c r="L311" s="23">
        <v>15909.16</v>
      </c>
    </row>
    <row r="312" spans="11:12" x14ac:dyDescent="0.3">
      <c r="K312" s="15" t="s">
        <v>280</v>
      </c>
      <c r="L312" s="23">
        <v>8331.66</v>
      </c>
    </row>
    <row r="313" spans="11:12" x14ac:dyDescent="0.3">
      <c r="K313" s="15" t="s">
        <v>495</v>
      </c>
      <c r="L313" s="23">
        <v>32375.809999999998</v>
      </c>
    </row>
    <row r="314" spans="11:12" x14ac:dyDescent="0.3">
      <c r="K314" s="15" t="s">
        <v>1240</v>
      </c>
      <c r="L314" s="23">
        <v>6281.4</v>
      </c>
    </row>
    <row r="315" spans="11:12" x14ac:dyDescent="0.3">
      <c r="K315" s="15" t="s">
        <v>1365</v>
      </c>
      <c r="L315" s="23">
        <v>1650.94</v>
      </c>
    </row>
    <row r="316" spans="11:12" x14ac:dyDescent="0.3">
      <c r="K316" s="15" t="s">
        <v>634</v>
      </c>
      <c r="L316" s="23">
        <v>10322.740000000002</v>
      </c>
    </row>
    <row r="317" spans="11:12" x14ac:dyDescent="0.3">
      <c r="K317" s="15" t="s">
        <v>313</v>
      </c>
      <c r="L317" s="23">
        <v>16350</v>
      </c>
    </row>
    <row r="318" spans="11:12" x14ac:dyDescent="0.3">
      <c r="K318" s="15" t="s">
        <v>528</v>
      </c>
      <c r="L318" s="23">
        <v>17311.719999999998</v>
      </c>
    </row>
    <row r="319" spans="11:12" x14ac:dyDescent="0.3">
      <c r="K319" s="15" t="s">
        <v>398</v>
      </c>
      <c r="L319" s="23">
        <v>55068.3</v>
      </c>
    </row>
    <row r="320" spans="11:12" x14ac:dyDescent="0.3">
      <c r="K320" s="15" t="s">
        <v>866</v>
      </c>
      <c r="L320" s="23">
        <v>39346.080000000002</v>
      </c>
    </row>
    <row r="321" spans="11:12" x14ac:dyDescent="0.3">
      <c r="K321" s="15" t="s">
        <v>138</v>
      </c>
      <c r="L321" s="23">
        <v>22297.649999999998</v>
      </c>
    </row>
    <row r="322" spans="11:12" x14ac:dyDescent="0.3">
      <c r="K322" s="15" t="s">
        <v>856</v>
      </c>
      <c r="L322" s="23">
        <v>16565.96</v>
      </c>
    </row>
    <row r="323" spans="11:12" x14ac:dyDescent="0.3">
      <c r="K323" s="15" t="s">
        <v>196</v>
      </c>
      <c r="L323" s="23">
        <v>38339.51</v>
      </c>
    </row>
    <row r="324" spans="11:12" x14ac:dyDescent="0.3">
      <c r="K324" s="15" t="s">
        <v>1220</v>
      </c>
      <c r="L324" s="23">
        <v>21245.4</v>
      </c>
    </row>
    <row r="325" spans="11:12" x14ac:dyDescent="0.3">
      <c r="K325" s="15" t="s">
        <v>210</v>
      </c>
      <c r="L325" s="23">
        <v>23613.800000000003</v>
      </c>
    </row>
    <row r="326" spans="11:12" x14ac:dyDescent="0.3">
      <c r="K326" s="15" t="s">
        <v>389</v>
      </c>
      <c r="L326" s="23">
        <v>33916.130000000005</v>
      </c>
    </row>
    <row r="327" spans="11:12" x14ac:dyDescent="0.3">
      <c r="K327" s="15" t="s">
        <v>704</v>
      </c>
      <c r="L327" s="23">
        <v>18639.690000000002</v>
      </c>
    </row>
    <row r="328" spans="11:12" x14ac:dyDescent="0.3">
      <c r="K328" s="15" t="s">
        <v>645</v>
      </c>
      <c r="L328" s="23">
        <v>27155.200000000001</v>
      </c>
    </row>
    <row r="329" spans="11:12" x14ac:dyDescent="0.3">
      <c r="K329" s="15" t="s">
        <v>1214</v>
      </c>
      <c r="L329" s="23">
        <v>9961.7000000000007</v>
      </c>
    </row>
    <row r="330" spans="11:12" x14ac:dyDescent="0.3">
      <c r="K330" s="15" t="s">
        <v>1661</v>
      </c>
      <c r="L330" s="23">
        <v>8283.7999999999993</v>
      </c>
    </row>
    <row r="331" spans="11:12" x14ac:dyDescent="0.3">
      <c r="K331" s="15" t="s">
        <v>874</v>
      </c>
      <c r="L331" s="23">
        <v>4198.67</v>
      </c>
    </row>
    <row r="332" spans="11:12" x14ac:dyDescent="0.3">
      <c r="K332" s="15" t="s">
        <v>551</v>
      </c>
      <c r="L332" s="23">
        <v>28107.18</v>
      </c>
    </row>
    <row r="333" spans="11:12" x14ac:dyDescent="0.3">
      <c r="K333" s="15" t="s">
        <v>540</v>
      </c>
      <c r="L333" s="23">
        <v>9418.4700000000012</v>
      </c>
    </row>
    <row r="334" spans="11:12" x14ac:dyDescent="0.3">
      <c r="K334" s="15" t="s">
        <v>830</v>
      </c>
      <c r="L334" s="23">
        <v>5549.92</v>
      </c>
    </row>
    <row r="335" spans="11:12" x14ac:dyDescent="0.3">
      <c r="K335" s="15" t="s">
        <v>427</v>
      </c>
      <c r="L335" s="23">
        <v>18935.900000000001</v>
      </c>
    </row>
    <row r="336" spans="11:12" x14ac:dyDescent="0.3">
      <c r="K336" s="15" t="s">
        <v>1223</v>
      </c>
      <c r="L336" s="23">
        <v>2340.06</v>
      </c>
    </row>
    <row r="337" spans="11:12" x14ac:dyDescent="0.3">
      <c r="K337" s="15" t="s">
        <v>300</v>
      </c>
      <c r="L337" s="23">
        <v>39636.599999999991</v>
      </c>
    </row>
    <row r="338" spans="11:12" x14ac:dyDescent="0.3">
      <c r="K338" s="15" t="s">
        <v>1137</v>
      </c>
      <c r="L338" s="23">
        <v>13283.179999999998</v>
      </c>
    </row>
    <row r="339" spans="11:12" x14ac:dyDescent="0.3">
      <c r="K339" s="15" t="s">
        <v>190</v>
      </c>
      <c r="L339" s="23">
        <v>20707.949999999997</v>
      </c>
    </row>
    <row r="340" spans="11:12" x14ac:dyDescent="0.3">
      <c r="K340" s="15" t="s">
        <v>177</v>
      </c>
      <c r="L340" s="23">
        <v>31130.37</v>
      </c>
    </row>
    <row r="341" spans="11:12" x14ac:dyDescent="0.3">
      <c r="K341" s="15" t="s">
        <v>542</v>
      </c>
      <c r="L341" s="23">
        <v>16426.400000000001</v>
      </c>
    </row>
    <row r="342" spans="11:12" x14ac:dyDescent="0.3">
      <c r="K342" s="15" t="s">
        <v>333</v>
      </c>
      <c r="L342" s="23">
        <v>8468.81</v>
      </c>
    </row>
    <row r="343" spans="11:12" x14ac:dyDescent="0.3">
      <c r="K343" s="15" t="s">
        <v>1442</v>
      </c>
      <c r="L343" s="23">
        <v>10808.6</v>
      </c>
    </row>
    <row r="344" spans="11:12" x14ac:dyDescent="0.3">
      <c r="K344" s="15" t="s">
        <v>126</v>
      </c>
      <c r="L344" s="23">
        <v>13760.66</v>
      </c>
    </row>
    <row r="345" spans="11:12" x14ac:dyDescent="0.3">
      <c r="K345" s="15" t="s">
        <v>263</v>
      </c>
      <c r="L345" s="23">
        <v>16222.68</v>
      </c>
    </row>
    <row r="346" spans="11:12" x14ac:dyDescent="0.3">
      <c r="K346" s="15" t="s">
        <v>153</v>
      </c>
      <c r="L346" s="23">
        <v>20019.66</v>
      </c>
    </row>
    <row r="347" spans="11:12" x14ac:dyDescent="0.3">
      <c r="K347" s="15" t="s">
        <v>182</v>
      </c>
      <c r="L347" s="23">
        <v>4548.92</v>
      </c>
    </row>
    <row r="348" spans="11:12" x14ac:dyDescent="0.3">
      <c r="K348" s="15" t="s">
        <v>810</v>
      </c>
      <c r="L348" s="23">
        <v>34846.769999999997</v>
      </c>
    </row>
    <row r="349" spans="11:12" x14ac:dyDescent="0.3">
      <c r="K349" s="15" t="s">
        <v>21</v>
      </c>
      <c r="L349" s="23">
        <v>33812.029999999992</v>
      </c>
    </row>
    <row r="350" spans="11:12" x14ac:dyDescent="0.3">
      <c r="K350" s="15" t="s">
        <v>672</v>
      </c>
      <c r="L350" s="23">
        <v>16495.86</v>
      </c>
    </row>
    <row r="351" spans="11:12" x14ac:dyDescent="0.3">
      <c r="K351" s="15" t="s">
        <v>889</v>
      </c>
      <c r="L351" s="23">
        <v>25208.730000000003</v>
      </c>
    </row>
    <row r="352" spans="11:12" x14ac:dyDescent="0.3">
      <c r="K352" s="15" t="s">
        <v>504</v>
      </c>
      <c r="L352" s="23">
        <v>16587.91</v>
      </c>
    </row>
    <row r="353" spans="11:12" x14ac:dyDescent="0.3">
      <c r="K353" s="15" t="s">
        <v>840</v>
      </c>
      <c r="L353" s="23">
        <v>18111.939999999999</v>
      </c>
    </row>
    <row r="354" spans="11:12" x14ac:dyDescent="0.3">
      <c r="K354" s="15" t="s">
        <v>458</v>
      </c>
      <c r="L354" s="23">
        <v>36522.97</v>
      </c>
    </row>
    <row r="355" spans="11:12" x14ac:dyDescent="0.3">
      <c r="K355" s="15" t="s">
        <v>232</v>
      </c>
      <c r="L355" s="23">
        <v>37388.25</v>
      </c>
    </row>
    <row r="356" spans="11:12" x14ac:dyDescent="0.3">
      <c r="K356" s="15" t="s">
        <v>116</v>
      </c>
      <c r="L356" s="23">
        <v>30825.46</v>
      </c>
    </row>
    <row r="357" spans="11:12" x14ac:dyDescent="0.3">
      <c r="K357" s="15" t="s">
        <v>1421</v>
      </c>
      <c r="L357" s="23">
        <v>314.17</v>
      </c>
    </row>
    <row r="358" spans="11:12" x14ac:dyDescent="0.3">
      <c r="K358" s="15" t="s">
        <v>1672</v>
      </c>
      <c r="L358" s="23">
        <v>1781.12</v>
      </c>
    </row>
    <row r="359" spans="11:12" x14ac:dyDescent="0.3">
      <c r="K359" s="15" t="s">
        <v>93</v>
      </c>
      <c r="L359" s="23">
        <v>2346.7399999999998</v>
      </c>
    </row>
    <row r="360" spans="11:12" x14ac:dyDescent="0.3">
      <c r="K360" s="15" t="s">
        <v>631</v>
      </c>
      <c r="L360" s="23">
        <v>17199.47</v>
      </c>
    </row>
    <row r="361" spans="11:12" x14ac:dyDescent="0.3">
      <c r="K361" s="15" t="s">
        <v>1303</v>
      </c>
      <c r="L361" s="23">
        <v>4510</v>
      </c>
    </row>
    <row r="362" spans="11:12" x14ac:dyDescent="0.3">
      <c r="K362" s="15" t="s">
        <v>728</v>
      </c>
      <c r="L362" s="23">
        <v>14391.48</v>
      </c>
    </row>
    <row r="363" spans="11:12" x14ac:dyDescent="0.3">
      <c r="K363" s="15" t="s">
        <v>13</v>
      </c>
      <c r="L363" s="23">
        <v>20393.78</v>
      </c>
    </row>
    <row r="364" spans="11:12" x14ac:dyDescent="0.3">
      <c r="K364" s="15" t="s">
        <v>895</v>
      </c>
      <c r="L364" s="23">
        <v>13020.269999999999</v>
      </c>
    </row>
    <row r="365" spans="11:12" x14ac:dyDescent="0.3">
      <c r="K365" s="15" t="s">
        <v>1122</v>
      </c>
      <c r="L365" s="23">
        <v>4777.92</v>
      </c>
    </row>
    <row r="366" spans="11:12" x14ac:dyDescent="0.3">
      <c r="K366" s="15" t="s">
        <v>1675</v>
      </c>
      <c r="L366" s="23">
        <v>6506678.7099999981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262A0-37A5-410C-93C2-0C986B19CC76}">
  <dimension ref="A1:P1001"/>
  <sheetViews>
    <sheetView workbookViewId="0">
      <selection activeCell="E23" sqref="E23"/>
    </sheetView>
  </sheetViews>
  <sheetFormatPr defaultRowHeight="14.4" x14ac:dyDescent="0.3"/>
  <cols>
    <col min="1" max="1" width="10.6640625" customWidth="1"/>
    <col min="2" max="2" width="14.88671875" customWidth="1"/>
    <col min="3" max="3" width="16.33203125" customWidth="1"/>
    <col min="4" max="4" width="17.33203125" customWidth="1"/>
    <col min="5" max="5" width="16.33203125" customWidth="1"/>
    <col min="6" max="6" width="11.6640625" customWidth="1"/>
    <col min="7" max="7" width="12.33203125" customWidth="1"/>
    <col min="8" max="8" width="17" customWidth="1"/>
    <col min="9" max="9" width="18.88671875" customWidth="1"/>
    <col min="10" max="10" width="19.109375" customWidth="1"/>
    <col min="11" max="11" width="25.109375" customWidth="1"/>
    <col min="12" max="12" width="22.5546875" customWidth="1"/>
    <col min="13" max="13" width="20.109375" customWidth="1"/>
    <col min="14" max="14" width="22" customWidth="1"/>
    <col min="15" max="15" width="23.5546875" customWidth="1"/>
    <col min="16" max="17" width="21.109375" customWidth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18" t="s">
        <v>4</v>
      </c>
      <c r="F1" s="3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3" t="s">
        <v>10</v>
      </c>
      <c r="L1" s="3" t="s">
        <v>11</v>
      </c>
      <c r="M1" s="3" t="s">
        <v>1676</v>
      </c>
      <c r="N1" s="17" t="s">
        <v>1677</v>
      </c>
      <c r="O1" s="18" t="s">
        <v>1678</v>
      </c>
      <c r="P1" s="16" t="s">
        <v>1679</v>
      </c>
    </row>
    <row r="2" spans="1:16" x14ac:dyDescent="0.3">
      <c r="A2" s="2" t="s">
        <v>581</v>
      </c>
      <c r="B2" s="2" t="s">
        <v>582</v>
      </c>
      <c r="C2" s="19" t="s">
        <v>291</v>
      </c>
      <c r="D2" s="19" t="s">
        <v>23</v>
      </c>
      <c r="E2" s="19" t="s">
        <v>68</v>
      </c>
      <c r="F2" s="2" t="s">
        <v>25</v>
      </c>
      <c r="G2" s="19" t="s">
        <v>62</v>
      </c>
      <c r="H2" s="19" t="s">
        <v>19</v>
      </c>
      <c r="I2" s="19">
        <v>5</v>
      </c>
      <c r="J2" s="19">
        <v>4864</v>
      </c>
      <c r="K2" s="19">
        <v>4</v>
      </c>
      <c r="L2" s="19">
        <v>23347.200000000001</v>
      </c>
      <c r="M2" s="19">
        <f t="shared" ref="M2:M65" si="0">SUM(L2:L1001)</f>
        <v>6506678.7100000009</v>
      </c>
      <c r="N2" s="20">
        <f t="shared" ref="N2:N65" si="1">AVERAGE(L2:L1001)</f>
        <v>6506.678710000001</v>
      </c>
      <c r="O2" s="19">
        <f t="shared" ref="O2:O65" si="2">SUM(I2:I1001)</f>
        <v>3034</v>
      </c>
      <c r="P2" s="19" t="str" cm="1">
        <f t="array" ref="P2:P1001">IF(L2:L1001&gt;3000,"High", "Low")</f>
        <v>High</v>
      </c>
    </row>
    <row r="3" spans="1:16" x14ac:dyDescent="0.3">
      <c r="A3" s="2" t="s">
        <v>217</v>
      </c>
      <c r="B3" s="2" t="s">
        <v>218</v>
      </c>
      <c r="C3" s="19" t="s">
        <v>219</v>
      </c>
      <c r="D3" s="19" t="s">
        <v>15</v>
      </c>
      <c r="E3" s="19" t="s">
        <v>31</v>
      </c>
      <c r="F3" s="19" t="s">
        <v>49</v>
      </c>
      <c r="G3" s="19" t="s">
        <v>40</v>
      </c>
      <c r="H3" s="19" t="s">
        <v>19</v>
      </c>
      <c r="I3" s="19">
        <v>5</v>
      </c>
      <c r="J3" s="19">
        <v>4552</v>
      </c>
      <c r="K3" s="19">
        <v>2</v>
      </c>
      <c r="L3" s="19">
        <v>22304.799999999999</v>
      </c>
      <c r="M3" s="19">
        <f t="shared" si="0"/>
        <v>6483331.5100000016</v>
      </c>
      <c r="N3" s="20">
        <f t="shared" si="1"/>
        <v>6489.8213313313327</v>
      </c>
      <c r="O3" s="19">
        <f t="shared" si="2"/>
        <v>3029</v>
      </c>
      <c r="P3" s="19" t="str">
        <v>High</v>
      </c>
    </row>
    <row r="4" spans="1:16" x14ac:dyDescent="0.3">
      <c r="A4" s="2" t="s">
        <v>568</v>
      </c>
      <c r="B4" s="2" t="s">
        <v>569</v>
      </c>
      <c r="C4" s="19" t="s">
        <v>570</v>
      </c>
      <c r="D4" s="19" t="s">
        <v>15</v>
      </c>
      <c r="E4" s="19" t="s">
        <v>68</v>
      </c>
      <c r="F4" s="19" t="s">
        <v>17</v>
      </c>
      <c r="G4" s="19" t="s">
        <v>54</v>
      </c>
      <c r="H4" s="19" t="s">
        <v>44</v>
      </c>
      <c r="I4" s="19">
        <v>5</v>
      </c>
      <c r="J4" s="19">
        <v>4538</v>
      </c>
      <c r="K4" s="19">
        <v>2</v>
      </c>
      <c r="L4" s="19">
        <v>22236.2</v>
      </c>
      <c r="M4" s="19">
        <f t="shared" si="0"/>
        <v>6461026.71</v>
      </c>
      <c r="N4" s="20">
        <f t="shared" si="1"/>
        <v>6473.9746593186374</v>
      </c>
      <c r="O4" s="19">
        <f t="shared" si="2"/>
        <v>3024</v>
      </c>
      <c r="P4" s="19" t="str">
        <v>High</v>
      </c>
    </row>
    <row r="5" spans="1:16" x14ac:dyDescent="0.3">
      <c r="A5" s="2" t="s">
        <v>1219</v>
      </c>
      <c r="B5" s="2" t="s">
        <v>1220</v>
      </c>
      <c r="C5" s="19" t="s">
        <v>160</v>
      </c>
      <c r="D5" s="19" t="s">
        <v>53</v>
      </c>
      <c r="E5" s="19" t="s">
        <v>31</v>
      </c>
      <c r="F5" s="19" t="s">
        <v>32</v>
      </c>
      <c r="G5" s="19" t="s">
        <v>18</v>
      </c>
      <c r="H5" s="19" t="s">
        <v>75</v>
      </c>
      <c r="I5" s="19">
        <v>5</v>
      </c>
      <c r="J5" s="19">
        <v>4292</v>
      </c>
      <c r="K5" s="19">
        <v>1</v>
      </c>
      <c r="L5" s="19">
        <v>21245.4</v>
      </c>
      <c r="M5" s="19">
        <f t="shared" si="0"/>
        <v>6438790.5099999988</v>
      </c>
      <c r="N5" s="20">
        <f t="shared" si="1"/>
        <v>6458.1650050150438</v>
      </c>
      <c r="O5" s="19">
        <f t="shared" si="2"/>
        <v>3019</v>
      </c>
      <c r="P5" s="19" t="str">
        <v>High</v>
      </c>
    </row>
    <row r="6" spans="1:16" x14ac:dyDescent="0.3">
      <c r="A6" s="2" t="s">
        <v>1378</v>
      </c>
      <c r="B6" s="2" t="s">
        <v>389</v>
      </c>
      <c r="C6" s="19" t="s">
        <v>470</v>
      </c>
      <c r="D6" s="19" t="s">
        <v>30</v>
      </c>
      <c r="E6" s="19" t="s">
        <v>31</v>
      </c>
      <c r="F6" s="19" t="s">
        <v>32</v>
      </c>
      <c r="G6" s="19" t="s">
        <v>40</v>
      </c>
      <c r="H6" s="19" t="s">
        <v>75</v>
      </c>
      <c r="I6" s="19">
        <v>5</v>
      </c>
      <c r="J6" s="19">
        <v>4849</v>
      </c>
      <c r="K6" s="19">
        <v>15</v>
      </c>
      <c r="L6" s="19">
        <v>20608.25</v>
      </c>
      <c r="M6" s="19">
        <f t="shared" si="0"/>
        <v>6417545.1099999994</v>
      </c>
      <c r="N6" s="20">
        <f t="shared" si="1"/>
        <v>6443.318383534136</v>
      </c>
      <c r="O6" s="19">
        <f t="shared" si="2"/>
        <v>3014</v>
      </c>
      <c r="P6" s="19" t="str">
        <v>High</v>
      </c>
    </row>
    <row r="7" spans="1:16" x14ac:dyDescent="0.3">
      <c r="A7" s="2" t="s">
        <v>919</v>
      </c>
      <c r="B7" s="2" t="s">
        <v>852</v>
      </c>
      <c r="C7" s="19" t="s">
        <v>52</v>
      </c>
      <c r="D7" s="19" t="s">
        <v>23</v>
      </c>
      <c r="E7" s="19" t="s">
        <v>48</v>
      </c>
      <c r="F7" s="19" t="s">
        <v>32</v>
      </c>
      <c r="G7" s="19" t="s">
        <v>40</v>
      </c>
      <c r="H7" s="19" t="s">
        <v>44</v>
      </c>
      <c r="I7" s="19">
        <v>5</v>
      </c>
      <c r="J7" s="19">
        <v>4095</v>
      </c>
      <c r="K7" s="19">
        <v>0</v>
      </c>
      <c r="L7" s="19">
        <v>20475</v>
      </c>
      <c r="M7" s="19">
        <f t="shared" si="0"/>
        <v>6396936.8599999985</v>
      </c>
      <c r="N7" s="20">
        <f t="shared" si="1"/>
        <v>6429.0822713567823</v>
      </c>
      <c r="O7" s="19">
        <f t="shared" si="2"/>
        <v>3009</v>
      </c>
      <c r="P7" s="19" t="str">
        <v>High</v>
      </c>
    </row>
    <row r="8" spans="1:16" x14ac:dyDescent="0.3">
      <c r="A8" s="2" t="s">
        <v>254</v>
      </c>
      <c r="B8" s="2" t="s">
        <v>255</v>
      </c>
      <c r="C8" s="19" t="s">
        <v>145</v>
      </c>
      <c r="D8" s="19" t="s">
        <v>15</v>
      </c>
      <c r="E8" s="19" t="s">
        <v>48</v>
      </c>
      <c r="F8" s="19" t="s">
        <v>17</v>
      </c>
      <c r="G8" s="19" t="s">
        <v>54</v>
      </c>
      <c r="H8" s="19" t="s">
        <v>33</v>
      </c>
      <c r="I8" s="19">
        <v>5</v>
      </c>
      <c r="J8" s="19">
        <v>4573</v>
      </c>
      <c r="K8" s="19">
        <v>11</v>
      </c>
      <c r="L8" s="19">
        <v>20349.849999999999</v>
      </c>
      <c r="M8" s="19">
        <f t="shared" si="0"/>
        <v>6376461.8599999985</v>
      </c>
      <c r="N8" s="20">
        <f t="shared" si="1"/>
        <v>6414.9515694164975</v>
      </c>
      <c r="O8" s="19">
        <f t="shared" si="2"/>
        <v>3004</v>
      </c>
      <c r="P8" s="19" t="str">
        <v>High</v>
      </c>
    </row>
    <row r="9" spans="1:16" x14ac:dyDescent="0.3">
      <c r="A9" s="2" t="s">
        <v>1051</v>
      </c>
      <c r="B9" s="2" t="s">
        <v>1052</v>
      </c>
      <c r="C9" s="19" t="s">
        <v>955</v>
      </c>
      <c r="D9" s="19" t="s">
        <v>53</v>
      </c>
      <c r="E9" s="19" t="s">
        <v>58</v>
      </c>
      <c r="F9" s="19" t="s">
        <v>25</v>
      </c>
      <c r="G9" s="19" t="s">
        <v>62</v>
      </c>
      <c r="H9" s="19" t="s">
        <v>33</v>
      </c>
      <c r="I9" s="19">
        <v>5</v>
      </c>
      <c r="J9" s="19">
        <v>4228</v>
      </c>
      <c r="K9" s="19">
        <v>4</v>
      </c>
      <c r="L9" s="19">
        <v>20294.400000000001</v>
      </c>
      <c r="M9" s="19">
        <f t="shared" si="0"/>
        <v>6356112.0099999979</v>
      </c>
      <c r="N9" s="20">
        <f t="shared" si="1"/>
        <v>6400.9184390735127</v>
      </c>
      <c r="O9" s="19">
        <f t="shared" si="2"/>
        <v>2999</v>
      </c>
      <c r="P9" s="19" t="str">
        <v>High</v>
      </c>
    </row>
    <row r="10" spans="1:16" x14ac:dyDescent="0.3">
      <c r="A10" s="2" t="s">
        <v>817</v>
      </c>
      <c r="B10" s="2" t="s">
        <v>346</v>
      </c>
      <c r="C10" s="19" t="s">
        <v>818</v>
      </c>
      <c r="D10" s="19" t="s">
        <v>15</v>
      </c>
      <c r="E10" s="19" t="s">
        <v>68</v>
      </c>
      <c r="F10" s="19" t="s">
        <v>40</v>
      </c>
      <c r="G10" s="19" t="s">
        <v>54</v>
      </c>
      <c r="H10" s="19" t="s">
        <v>44</v>
      </c>
      <c r="I10" s="19">
        <v>5</v>
      </c>
      <c r="J10" s="19">
        <v>4488</v>
      </c>
      <c r="K10" s="19">
        <v>11</v>
      </c>
      <c r="L10" s="19">
        <v>19971.599999999999</v>
      </c>
      <c r="M10" s="19">
        <f t="shared" si="0"/>
        <v>6335817.6099999985</v>
      </c>
      <c r="N10" s="20">
        <f t="shared" si="1"/>
        <v>6386.9129133064498</v>
      </c>
      <c r="O10" s="19">
        <f t="shared" si="2"/>
        <v>2994</v>
      </c>
      <c r="P10" s="19" t="str">
        <v>High</v>
      </c>
    </row>
    <row r="11" spans="1:16" x14ac:dyDescent="0.3">
      <c r="A11" s="2" t="s">
        <v>433</v>
      </c>
      <c r="B11" s="2" t="s">
        <v>73</v>
      </c>
      <c r="C11" s="19" t="s">
        <v>117</v>
      </c>
      <c r="D11" s="19" t="s">
        <v>53</v>
      </c>
      <c r="E11" s="19" t="s">
        <v>79</v>
      </c>
      <c r="F11" s="19" t="s">
        <v>32</v>
      </c>
      <c r="G11" s="19" t="s">
        <v>18</v>
      </c>
      <c r="H11" s="19" t="s">
        <v>75</v>
      </c>
      <c r="I11" s="19">
        <v>5</v>
      </c>
      <c r="J11" s="19">
        <v>4504</v>
      </c>
      <c r="K11" s="19">
        <v>13</v>
      </c>
      <c r="L11" s="19">
        <v>19592.400000000001</v>
      </c>
      <c r="M11" s="19">
        <f t="shared" si="0"/>
        <v>6315846.009999997</v>
      </c>
      <c r="N11" s="20">
        <f t="shared" si="1"/>
        <v>6373.2048536831453</v>
      </c>
      <c r="O11" s="19">
        <f t="shared" si="2"/>
        <v>2989</v>
      </c>
      <c r="P11" s="19" t="str">
        <v>High</v>
      </c>
    </row>
    <row r="12" spans="1:16" x14ac:dyDescent="0.3">
      <c r="A12" s="2" t="s">
        <v>754</v>
      </c>
      <c r="B12" s="2" t="s">
        <v>594</v>
      </c>
      <c r="C12" s="19" t="s">
        <v>755</v>
      </c>
      <c r="D12" s="19" t="s">
        <v>30</v>
      </c>
      <c r="E12" s="19" t="s">
        <v>48</v>
      </c>
      <c r="F12" s="19" t="s">
        <v>49</v>
      </c>
      <c r="G12" s="19" t="s">
        <v>26</v>
      </c>
      <c r="H12" s="19" t="s">
        <v>75</v>
      </c>
      <c r="I12" s="19">
        <v>5</v>
      </c>
      <c r="J12" s="19">
        <v>4999</v>
      </c>
      <c r="K12" s="19">
        <v>22</v>
      </c>
      <c r="L12" s="19">
        <v>19496.099999999999</v>
      </c>
      <c r="M12" s="19">
        <f t="shared" si="0"/>
        <v>6296253.6099999975</v>
      </c>
      <c r="N12" s="20">
        <f t="shared" si="1"/>
        <v>6359.8521313131287</v>
      </c>
      <c r="O12" s="19">
        <f t="shared" si="2"/>
        <v>2984</v>
      </c>
      <c r="P12" s="19" t="str">
        <v>High</v>
      </c>
    </row>
    <row r="13" spans="1:16" x14ac:dyDescent="0.3">
      <c r="A13" s="2" t="s">
        <v>310</v>
      </c>
      <c r="B13" s="2" t="s">
        <v>165</v>
      </c>
      <c r="C13" s="19" t="s">
        <v>311</v>
      </c>
      <c r="D13" s="19" t="s">
        <v>53</v>
      </c>
      <c r="E13" s="19" t="s">
        <v>31</v>
      </c>
      <c r="F13" s="19" t="s">
        <v>17</v>
      </c>
      <c r="G13" s="19" t="s">
        <v>54</v>
      </c>
      <c r="H13" s="19" t="s">
        <v>44</v>
      </c>
      <c r="I13" s="19">
        <v>5</v>
      </c>
      <c r="J13" s="19">
        <v>4756</v>
      </c>
      <c r="K13" s="19">
        <v>19</v>
      </c>
      <c r="L13" s="19">
        <v>19261.8</v>
      </c>
      <c r="M13" s="19">
        <f t="shared" si="0"/>
        <v>6276757.5099999961</v>
      </c>
      <c r="N13" s="20">
        <f t="shared" si="1"/>
        <v>6346.5697775530798</v>
      </c>
      <c r="O13" s="19">
        <f t="shared" si="2"/>
        <v>2979</v>
      </c>
      <c r="P13" s="19" t="str">
        <v>High</v>
      </c>
    </row>
    <row r="14" spans="1:16" x14ac:dyDescent="0.3">
      <c r="A14" s="2" t="s">
        <v>442</v>
      </c>
      <c r="B14" s="2" t="s">
        <v>443</v>
      </c>
      <c r="C14" s="19" t="s">
        <v>169</v>
      </c>
      <c r="D14" s="19" t="s">
        <v>88</v>
      </c>
      <c r="E14" s="19" t="s">
        <v>79</v>
      </c>
      <c r="F14" s="19" t="s">
        <v>17</v>
      </c>
      <c r="G14" s="19" t="s">
        <v>54</v>
      </c>
      <c r="H14" s="19" t="s">
        <v>33</v>
      </c>
      <c r="I14" s="19">
        <v>5</v>
      </c>
      <c r="J14" s="19">
        <v>4991</v>
      </c>
      <c r="K14" s="19">
        <v>23</v>
      </c>
      <c r="L14" s="19">
        <v>19215.349999999999</v>
      </c>
      <c r="M14" s="19">
        <f t="shared" si="0"/>
        <v>6257495.7099999962</v>
      </c>
      <c r="N14" s="20">
        <f t="shared" si="1"/>
        <v>6333.497682186231</v>
      </c>
      <c r="O14" s="19">
        <f t="shared" si="2"/>
        <v>2974</v>
      </c>
      <c r="P14" s="19" t="str">
        <v>High</v>
      </c>
    </row>
    <row r="15" spans="1:16" x14ac:dyDescent="0.3">
      <c r="A15" s="2" t="s">
        <v>1464</v>
      </c>
      <c r="B15" s="2" t="s">
        <v>227</v>
      </c>
      <c r="C15" s="19" t="s">
        <v>777</v>
      </c>
      <c r="D15" s="19" t="s">
        <v>88</v>
      </c>
      <c r="E15" s="19" t="s">
        <v>16</v>
      </c>
      <c r="F15" s="19" t="s">
        <v>17</v>
      </c>
      <c r="G15" s="19" t="s">
        <v>40</v>
      </c>
      <c r="H15" s="19" t="s">
        <v>75</v>
      </c>
      <c r="I15" s="19">
        <v>5</v>
      </c>
      <c r="J15" s="19">
        <v>4210</v>
      </c>
      <c r="K15" s="19">
        <v>9</v>
      </c>
      <c r="L15" s="19">
        <v>19155.5</v>
      </c>
      <c r="M15" s="19">
        <f t="shared" si="0"/>
        <v>6238280.3599999966</v>
      </c>
      <c r="N15" s="20">
        <f t="shared" si="1"/>
        <v>6320.44616008105</v>
      </c>
      <c r="O15" s="19">
        <f t="shared" si="2"/>
        <v>2969</v>
      </c>
      <c r="P15" s="19" t="str">
        <v>High</v>
      </c>
    </row>
    <row r="16" spans="1:16" x14ac:dyDescent="0.3">
      <c r="A16" s="2" t="s">
        <v>616</v>
      </c>
      <c r="B16" s="2" t="s">
        <v>398</v>
      </c>
      <c r="C16" s="19" t="s">
        <v>546</v>
      </c>
      <c r="D16" s="19" t="s">
        <v>30</v>
      </c>
      <c r="E16" s="19" t="s">
        <v>58</v>
      </c>
      <c r="F16" s="19" t="s">
        <v>17</v>
      </c>
      <c r="G16" s="19" t="s">
        <v>26</v>
      </c>
      <c r="H16" s="19" t="s">
        <v>75</v>
      </c>
      <c r="I16" s="19">
        <v>5</v>
      </c>
      <c r="J16" s="19">
        <v>4482</v>
      </c>
      <c r="K16" s="19">
        <v>15</v>
      </c>
      <c r="L16" s="19">
        <v>19048.5</v>
      </c>
      <c r="M16" s="19">
        <f t="shared" si="0"/>
        <v>6219124.8599999975</v>
      </c>
      <c r="N16" s="20">
        <f t="shared" si="1"/>
        <v>6307.4288640973609</v>
      </c>
      <c r="O16" s="19">
        <f t="shared" si="2"/>
        <v>2964</v>
      </c>
      <c r="P16" s="19" t="str">
        <v>High</v>
      </c>
    </row>
    <row r="17" spans="1:16" x14ac:dyDescent="0.3">
      <c r="A17" s="2" t="s">
        <v>492</v>
      </c>
      <c r="B17" s="2" t="s">
        <v>398</v>
      </c>
      <c r="C17" s="19" t="s">
        <v>493</v>
      </c>
      <c r="D17" s="19" t="s">
        <v>30</v>
      </c>
      <c r="E17" s="19" t="s">
        <v>31</v>
      </c>
      <c r="F17" s="19" t="s">
        <v>25</v>
      </c>
      <c r="G17" s="19" t="s">
        <v>40</v>
      </c>
      <c r="H17" s="19" t="s">
        <v>33</v>
      </c>
      <c r="I17" s="19">
        <v>5</v>
      </c>
      <c r="J17" s="19">
        <v>4428</v>
      </c>
      <c r="K17" s="19">
        <v>14</v>
      </c>
      <c r="L17" s="19">
        <v>19040.400000000001</v>
      </c>
      <c r="M17" s="19">
        <f t="shared" si="0"/>
        <v>6200076.3599999975</v>
      </c>
      <c r="N17" s="20">
        <f t="shared" si="1"/>
        <v>6294.4937664974595</v>
      </c>
      <c r="O17" s="19">
        <f t="shared" si="2"/>
        <v>2959</v>
      </c>
      <c r="P17" s="19" t="str">
        <v>High</v>
      </c>
    </row>
    <row r="18" spans="1:16" x14ac:dyDescent="0.3">
      <c r="A18" s="2" t="s">
        <v>900</v>
      </c>
      <c r="B18" s="2" t="s">
        <v>901</v>
      </c>
      <c r="C18" s="19" t="s">
        <v>902</v>
      </c>
      <c r="D18" s="19" t="s">
        <v>15</v>
      </c>
      <c r="E18" s="19" t="s">
        <v>16</v>
      </c>
      <c r="F18" s="19" t="s">
        <v>17</v>
      </c>
      <c r="G18" s="19" t="s">
        <v>26</v>
      </c>
      <c r="H18" s="19" t="s">
        <v>19</v>
      </c>
      <c r="I18" s="19">
        <v>5</v>
      </c>
      <c r="J18" s="19">
        <v>4312</v>
      </c>
      <c r="K18" s="19">
        <v>12</v>
      </c>
      <c r="L18" s="19">
        <v>18972.8</v>
      </c>
      <c r="M18" s="19">
        <f t="shared" si="0"/>
        <v>6181035.9599999972</v>
      </c>
      <c r="N18" s="20">
        <f t="shared" si="1"/>
        <v>6281.5406097560945</v>
      </c>
      <c r="O18" s="19">
        <f t="shared" si="2"/>
        <v>2954</v>
      </c>
      <c r="P18" s="19" t="str">
        <v>High</v>
      </c>
    </row>
    <row r="19" spans="1:16" x14ac:dyDescent="0.3">
      <c r="A19" s="2" t="s">
        <v>1581</v>
      </c>
      <c r="B19" s="2" t="s">
        <v>490</v>
      </c>
      <c r="C19" s="19" t="s">
        <v>396</v>
      </c>
      <c r="D19" s="19" t="s">
        <v>53</v>
      </c>
      <c r="E19" s="19" t="s">
        <v>68</v>
      </c>
      <c r="F19" s="19" t="s">
        <v>17</v>
      </c>
      <c r="G19" s="19" t="s">
        <v>40</v>
      </c>
      <c r="H19" s="19" t="s">
        <v>33</v>
      </c>
      <c r="I19" s="19">
        <v>5</v>
      </c>
      <c r="J19" s="19">
        <v>4412</v>
      </c>
      <c r="K19" s="19">
        <v>14</v>
      </c>
      <c r="L19" s="19">
        <v>18971.599999999999</v>
      </c>
      <c r="M19" s="19">
        <f t="shared" si="0"/>
        <v>6162063.1599999974</v>
      </c>
      <c r="N19" s="20">
        <f t="shared" si="1"/>
        <v>6268.629867751778</v>
      </c>
      <c r="O19" s="19">
        <f t="shared" si="2"/>
        <v>2949</v>
      </c>
      <c r="P19" s="19" t="str">
        <v>High</v>
      </c>
    </row>
    <row r="20" spans="1:16" x14ac:dyDescent="0.3">
      <c r="A20" s="2" t="s">
        <v>1295</v>
      </c>
      <c r="B20" s="2" t="s">
        <v>974</v>
      </c>
      <c r="C20" s="19" t="s">
        <v>1296</v>
      </c>
      <c r="D20" s="19" t="s">
        <v>23</v>
      </c>
      <c r="E20" s="19" t="s">
        <v>48</v>
      </c>
      <c r="F20" s="19" t="s">
        <v>49</v>
      </c>
      <c r="G20" s="19" t="s">
        <v>62</v>
      </c>
      <c r="H20" s="19" t="s">
        <v>44</v>
      </c>
      <c r="I20" s="19">
        <v>5</v>
      </c>
      <c r="J20" s="19">
        <v>4511</v>
      </c>
      <c r="K20" s="19">
        <v>16</v>
      </c>
      <c r="L20" s="19">
        <v>18946.2</v>
      </c>
      <c r="M20" s="19">
        <f t="shared" si="0"/>
        <v>6143091.5599999977</v>
      </c>
      <c r="N20" s="20">
        <f t="shared" si="1"/>
        <v>6255.6940529531548</v>
      </c>
      <c r="O20" s="19">
        <f t="shared" si="2"/>
        <v>2944</v>
      </c>
      <c r="P20" s="19" t="str">
        <v>High</v>
      </c>
    </row>
    <row r="21" spans="1:16" x14ac:dyDescent="0.3">
      <c r="A21" s="2" t="s">
        <v>1506</v>
      </c>
      <c r="B21" s="2" t="s">
        <v>162</v>
      </c>
      <c r="C21" s="19" t="s">
        <v>436</v>
      </c>
      <c r="D21" s="19" t="s">
        <v>88</v>
      </c>
      <c r="E21" s="19" t="s">
        <v>16</v>
      </c>
      <c r="F21" s="19" t="s">
        <v>49</v>
      </c>
      <c r="G21" s="19" t="s">
        <v>54</v>
      </c>
      <c r="H21" s="19" t="s">
        <v>19</v>
      </c>
      <c r="I21" s="19">
        <v>4</v>
      </c>
      <c r="J21" s="19">
        <v>4965</v>
      </c>
      <c r="K21" s="19">
        <v>5</v>
      </c>
      <c r="L21" s="19">
        <v>18867</v>
      </c>
      <c r="M21" s="19">
        <f t="shared" si="0"/>
        <v>6124145.3599999985</v>
      </c>
      <c r="N21" s="20">
        <f t="shared" si="1"/>
        <v>6242.7577573904164</v>
      </c>
      <c r="O21" s="19">
        <f t="shared" si="2"/>
        <v>2939</v>
      </c>
      <c r="P21" s="19" t="str">
        <v>High</v>
      </c>
    </row>
    <row r="22" spans="1:16" x14ac:dyDescent="0.3">
      <c r="A22" s="2" t="s">
        <v>80</v>
      </c>
      <c r="B22" s="2" t="s">
        <v>81</v>
      </c>
      <c r="C22" s="19" t="s">
        <v>61</v>
      </c>
      <c r="D22" s="19" t="s">
        <v>30</v>
      </c>
      <c r="E22" s="19" t="s">
        <v>16</v>
      </c>
      <c r="F22" s="19" t="s">
        <v>40</v>
      </c>
      <c r="G22" s="19" t="s">
        <v>54</v>
      </c>
      <c r="H22" s="19" t="s">
        <v>19</v>
      </c>
      <c r="I22" s="19">
        <v>5</v>
      </c>
      <c r="J22" s="19">
        <v>4185</v>
      </c>
      <c r="K22" s="19">
        <v>10</v>
      </c>
      <c r="L22" s="19">
        <v>18832.5</v>
      </c>
      <c r="M22" s="19">
        <f t="shared" si="0"/>
        <v>6105278.3599999975</v>
      </c>
      <c r="N22" s="20">
        <f t="shared" si="1"/>
        <v>6229.8758775510178</v>
      </c>
      <c r="O22" s="19">
        <f t="shared" si="2"/>
        <v>2935</v>
      </c>
      <c r="P22" s="19" t="str">
        <v>High</v>
      </c>
    </row>
    <row r="23" spans="1:16" x14ac:dyDescent="0.3">
      <c r="A23" s="2" t="s">
        <v>886</v>
      </c>
      <c r="B23" s="2" t="s">
        <v>681</v>
      </c>
      <c r="C23" s="19" t="s">
        <v>264</v>
      </c>
      <c r="D23" s="19" t="s">
        <v>15</v>
      </c>
      <c r="E23" s="19" t="s">
        <v>68</v>
      </c>
      <c r="F23" s="19" t="s">
        <v>49</v>
      </c>
      <c r="G23" s="19" t="s">
        <v>62</v>
      </c>
      <c r="H23" s="19" t="s">
        <v>19</v>
      </c>
      <c r="I23" s="19">
        <v>4</v>
      </c>
      <c r="J23" s="19">
        <v>4711</v>
      </c>
      <c r="K23" s="19">
        <v>1</v>
      </c>
      <c r="L23" s="19">
        <v>18655.560000000001</v>
      </c>
      <c r="M23" s="19">
        <f t="shared" si="0"/>
        <v>6086445.8599999975</v>
      </c>
      <c r="N23" s="20">
        <f t="shared" si="1"/>
        <v>6217.0029213483122</v>
      </c>
      <c r="O23" s="19">
        <f t="shared" si="2"/>
        <v>2930</v>
      </c>
      <c r="P23" s="19" t="str">
        <v>High</v>
      </c>
    </row>
    <row r="24" spans="1:16" x14ac:dyDescent="0.3">
      <c r="A24" s="2" t="s">
        <v>1662</v>
      </c>
      <c r="B24" s="2" t="s">
        <v>257</v>
      </c>
      <c r="C24" s="19" t="s">
        <v>84</v>
      </c>
      <c r="D24" s="19" t="s">
        <v>30</v>
      </c>
      <c r="E24" s="19" t="s">
        <v>31</v>
      </c>
      <c r="F24" s="19" t="s">
        <v>49</v>
      </c>
      <c r="G24" s="19" t="s">
        <v>18</v>
      </c>
      <c r="H24" s="19" t="s">
        <v>75</v>
      </c>
      <c r="I24" s="19">
        <v>5</v>
      </c>
      <c r="J24" s="19">
        <v>3709</v>
      </c>
      <c r="K24" s="19">
        <v>0</v>
      </c>
      <c r="L24" s="19">
        <v>18545</v>
      </c>
      <c r="M24" s="19">
        <f t="shared" si="0"/>
        <v>6067790.299999997</v>
      </c>
      <c r="N24" s="20">
        <f t="shared" si="1"/>
        <v>6204.2845603271953</v>
      </c>
      <c r="O24" s="19">
        <f t="shared" si="2"/>
        <v>2926</v>
      </c>
      <c r="P24" s="19" t="str">
        <v>High</v>
      </c>
    </row>
    <row r="25" spans="1:16" x14ac:dyDescent="0.3">
      <c r="A25" s="2" t="s">
        <v>1107</v>
      </c>
      <c r="B25" s="2" t="s">
        <v>696</v>
      </c>
      <c r="C25" s="19" t="s">
        <v>166</v>
      </c>
      <c r="D25" s="19" t="s">
        <v>53</v>
      </c>
      <c r="E25" s="19" t="s">
        <v>48</v>
      </c>
      <c r="F25" s="19" t="s">
        <v>32</v>
      </c>
      <c r="G25" s="19" t="s">
        <v>40</v>
      </c>
      <c r="H25" s="19" t="s">
        <v>33</v>
      </c>
      <c r="I25" s="19">
        <v>5</v>
      </c>
      <c r="J25" s="19">
        <v>4071</v>
      </c>
      <c r="K25" s="19">
        <v>9</v>
      </c>
      <c r="L25" s="19">
        <v>18523.05</v>
      </c>
      <c r="M25" s="19">
        <f t="shared" si="0"/>
        <v>6049245.299999997</v>
      </c>
      <c r="N25" s="20">
        <f t="shared" si="1"/>
        <v>6191.6533265097205</v>
      </c>
      <c r="O25" s="19">
        <f t="shared" si="2"/>
        <v>2921</v>
      </c>
      <c r="P25" s="19" t="str">
        <v>High</v>
      </c>
    </row>
    <row r="26" spans="1:16" x14ac:dyDescent="0.3">
      <c r="A26" s="2" t="s">
        <v>85</v>
      </c>
      <c r="B26" s="2" t="s">
        <v>86</v>
      </c>
      <c r="C26" s="19" t="s">
        <v>87</v>
      </c>
      <c r="D26" s="19" t="s">
        <v>88</v>
      </c>
      <c r="E26" s="19" t="s">
        <v>16</v>
      </c>
      <c r="F26" s="19" t="s">
        <v>40</v>
      </c>
      <c r="G26" s="19" t="s">
        <v>26</v>
      </c>
      <c r="H26" s="19" t="s">
        <v>19</v>
      </c>
      <c r="I26" s="19">
        <v>5</v>
      </c>
      <c r="J26" s="19">
        <v>4238</v>
      </c>
      <c r="K26" s="19">
        <v>13</v>
      </c>
      <c r="L26" s="19">
        <v>18435.3</v>
      </c>
      <c r="M26" s="19">
        <f t="shared" si="0"/>
        <v>6030722.2499999972</v>
      </c>
      <c r="N26" s="20">
        <f t="shared" si="1"/>
        <v>6179.0186987704892</v>
      </c>
      <c r="O26" s="19">
        <f t="shared" si="2"/>
        <v>2916</v>
      </c>
      <c r="P26" s="19" t="str">
        <v>High</v>
      </c>
    </row>
    <row r="27" spans="1:16" x14ac:dyDescent="0.3">
      <c r="A27" s="2" t="s">
        <v>1659</v>
      </c>
      <c r="B27" s="2" t="s">
        <v>1151</v>
      </c>
      <c r="C27" s="19" t="s">
        <v>225</v>
      </c>
      <c r="D27" s="19" t="s">
        <v>23</v>
      </c>
      <c r="E27" s="19" t="s">
        <v>68</v>
      </c>
      <c r="F27" s="19" t="s">
        <v>40</v>
      </c>
      <c r="G27" s="19" t="s">
        <v>40</v>
      </c>
      <c r="H27" s="19" t="s">
        <v>33</v>
      </c>
      <c r="I27" s="19">
        <v>5</v>
      </c>
      <c r="J27" s="19">
        <v>4129</v>
      </c>
      <c r="K27" s="19">
        <v>12</v>
      </c>
      <c r="L27" s="19">
        <v>18167.599999999999</v>
      </c>
      <c r="M27" s="19">
        <f t="shared" si="0"/>
        <v>6012286.9499999974</v>
      </c>
      <c r="N27" s="20">
        <f t="shared" si="1"/>
        <v>6166.4481538461514</v>
      </c>
      <c r="O27" s="19">
        <f t="shared" si="2"/>
        <v>2911</v>
      </c>
      <c r="P27" s="19" t="str">
        <v>High</v>
      </c>
    </row>
    <row r="28" spans="1:16" x14ac:dyDescent="0.3">
      <c r="A28" s="2" t="s">
        <v>412</v>
      </c>
      <c r="B28" s="2" t="s">
        <v>309</v>
      </c>
      <c r="C28" s="19" t="s">
        <v>413</v>
      </c>
      <c r="D28" s="19" t="s">
        <v>53</v>
      </c>
      <c r="E28" s="19" t="s">
        <v>31</v>
      </c>
      <c r="F28" s="19" t="s">
        <v>40</v>
      </c>
      <c r="G28" s="19" t="s">
        <v>40</v>
      </c>
      <c r="H28" s="19" t="s">
        <v>44</v>
      </c>
      <c r="I28" s="19">
        <v>5</v>
      </c>
      <c r="J28" s="19">
        <v>3938</v>
      </c>
      <c r="K28" s="19">
        <v>8</v>
      </c>
      <c r="L28" s="19">
        <v>18114.8</v>
      </c>
      <c r="M28" s="19">
        <f t="shared" si="0"/>
        <v>5994119.3499999978</v>
      </c>
      <c r="N28" s="20">
        <f t="shared" si="1"/>
        <v>6154.1266427104702</v>
      </c>
      <c r="O28" s="19">
        <f t="shared" si="2"/>
        <v>2906</v>
      </c>
      <c r="P28" s="19" t="str">
        <v>High</v>
      </c>
    </row>
    <row r="29" spans="1:16" x14ac:dyDescent="0.3">
      <c r="A29" s="2" t="s">
        <v>888</v>
      </c>
      <c r="B29" s="2" t="s">
        <v>889</v>
      </c>
      <c r="C29" s="19" t="s">
        <v>344</v>
      </c>
      <c r="D29" s="19" t="s">
        <v>23</v>
      </c>
      <c r="E29" s="19" t="s">
        <v>58</v>
      </c>
      <c r="F29" s="19" t="s">
        <v>40</v>
      </c>
      <c r="G29" s="19" t="s">
        <v>26</v>
      </c>
      <c r="H29" s="19" t="s">
        <v>44</v>
      </c>
      <c r="I29" s="19">
        <v>4</v>
      </c>
      <c r="J29" s="19">
        <v>4705</v>
      </c>
      <c r="K29" s="19">
        <v>4</v>
      </c>
      <c r="L29" s="19">
        <v>18067.2</v>
      </c>
      <c r="M29" s="19">
        <f t="shared" si="0"/>
        <v>5976004.549999997</v>
      </c>
      <c r="N29" s="20">
        <f t="shared" si="1"/>
        <v>6141.8340698869442</v>
      </c>
      <c r="O29" s="19">
        <f t="shared" si="2"/>
        <v>2901</v>
      </c>
      <c r="P29" s="19" t="str">
        <v>High</v>
      </c>
    </row>
    <row r="30" spans="1:16" x14ac:dyDescent="0.3">
      <c r="A30" s="2" t="s">
        <v>1294</v>
      </c>
      <c r="B30" s="2" t="s">
        <v>843</v>
      </c>
      <c r="C30" s="19" t="s">
        <v>396</v>
      </c>
      <c r="D30" s="19" t="s">
        <v>23</v>
      </c>
      <c r="E30" s="19" t="s">
        <v>68</v>
      </c>
      <c r="F30" s="19" t="s">
        <v>17</v>
      </c>
      <c r="G30" s="19" t="s">
        <v>54</v>
      </c>
      <c r="H30" s="19" t="s">
        <v>33</v>
      </c>
      <c r="I30" s="19">
        <v>5</v>
      </c>
      <c r="J30" s="19">
        <v>4293</v>
      </c>
      <c r="K30" s="19">
        <v>16</v>
      </c>
      <c r="L30" s="19">
        <v>18030.599999999999</v>
      </c>
      <c r="M30" s="19">
        <f t="shared" si="0"/>
        <v>5957937.3499999968</v>
      </c>
      <c r="N30" s="20">
        <f t="shared" si="1"/>
        <v>6129.5651748971159</v>
      </c>
      <c r="O30" s="19">
        <f t="shared" si="2"/>
        <v>2897</v>
      </c>
      <c r="P30" s="19" t="str">
        <v>High</v>
      </c>
    </row>
    <row r="31" spans="1:16" x14ac:dyDescent="0.3">
      <c r="A31" s="2" t="s">
        <v>869</v>
      </c>
      <c r="B31" s="2" t="s">
        <v>537</v>
      </c>
      <c r="C31" s="19" t="s">
        <v>409</v>
      </c>
      <c r="D31" s="19" t="s">
        <v>15</v>
      </c>
      <c r="E31" s="19" t="s">
        <v>31</v>
      </c>
      <c r="F31" s="19" t="s">
        <v>32</v>
      </c>
      <c r="G31" s="19" t="s">
        <v>62</v>
      </c>
      <c r="H31" s="19" t="s">
        <v>33</v>
      </c>
      <c r="I31" s="19">
        <v>5</v>
      </c>
      <c r="J31" s="19">
        <v>4503</v>
      </c>
      <c r="K31" s="19">
        <v>20</v>
      </c>
      <c r="L31" s="19">
        <v>18012</v>
      </c>
      <c r="M31" s="19">
        <f t="shared" si="0"/>
        <v>5939906.7499999963</v>
      </c>
      <c r="N31" s="20">
        <f t="shared" si="1"/>
        <v>6117.3087023686885</v>
      </c>
      <c r="O31" s="19">
        <f t="shared" si="2"/>
        <v>2892</v>
      </c>
      <c r="P31" s="19" t="str">
        <v>High</v>
      </c>
    </row>
    <row r="32" spans="1:16" x14ac:dyDescent="0.3">
      <c r="A32" s="2" t="s">
        <v>1616</v>
      </c>
      <c r="B32" s="2" t="s">
        <v>742</v>
      </c>
      <c r="C32" s="19" t="s">
        <v>496</v>
      </c>
      <c r="D32" s="19" t="s">
        <v>23</v>
      </c>
      <c r="E32" s="19" t="s">
        <v>68</v>
      </c>
      <c r="F32" s="19" t="s">
        <v>17</v>
      </c>
      <c r="G32" s="19" t="s">
        <v>40</v>
      </c>
      <c r="H32" s="19" t="s">
        <v>19</v>
      </c>
      <c r="I32" s="19">
        <v>5</v>
      </c>
      <c r="J32" s="19">
        <v>4164</v>
      </c>
      <c r="K32" s="19">
        <v>14</v>
      </c>
      <c r="L32" s="19">
        <v>17905.2</v>
      </c>
      <c r="M32" s="19">
        <f t="shared" si="0"/>
        <v>5921894.7499999963</v>
      </c>
      <c r="N32" s="20">
        <f t="shared" si="1"/>
        <v>6105.0461340206148</v>
      </c>
      <c r="O32" s="19">
        <f t="shared" si="2"/>
        <v>2887</v>
      </c>
      <c r="P32" s="19" t="str">
        <v>High</v>
      </c>
    </row>
    <row r="33" spans="1:16" x14ac:dyDescent="0.3">
      <c r="A33" s="2" t="s">
        <v>1282</v>
      </c>
      <c r="B33" s="2" t="s">
        <v>940</v>
      </c>
      <c r="C33" s="19" t="s">
        <v>317</v>
      </c>
      <c r="D33" s="19" t="s">
        <v>88</v>
      </c>
      <c r="E33" s="19" t="s">
        <v>31</v>
      </c>
      <c r="F33" s="19" t="s">
        <v>40</v>
      </c>
      <c r="G33" s="19" t="s">
        <v>26</v>
      </c>
      <c r="H33" s="19" t="s">
        <v>19</v>
      </c>
      <c r="I33" s="19">
        <v>4</v>
      </c>
      <c r="J33" s="19">
        <v>4845</v>
      </c>
      <c r="K33" s="19">
        <v>8</v>
      </c>
      <c r="L33" s="19">
        <v>17829.599999999999</v>
      </c>
      <c r="M33" s="19">
        <f t="shared" si="0"/>
        <v>5903989.549999997</v>
      </c>
      <c r="N33" s="20">
        <f t="shared" si="1"/>
        <v>6092.868472652216</v>
      </c>
      <c r="O33" s="19">
        <f t="shared" si="2"/>
        <v>2882</v>
      </c>
      <c r="P33" s="19" t="str">
        <v>High</v>
      </c>
    </row>
    <row r="34" spans="1:16" x14ac:dyDescent="0.3">
      <c r="A34" s="2" t="s">
        <v>481</v>
      </c>
      <c r="B34" s="2" t="s">
        <v>482</v>
      </c>
      <c r="C34" s="19" t="s">
        <v>311</v>
      </c>
      <c r="D34" s="19" t="s">
        <v>88</v>
      </c>
      <c r="E34" s="19" t="s">
        <v>58</v>
      </c>
      <c r="F34" s="19" t="s">
        <v>40</v>
      </c>
      <c r="G34" s="19" t="s">
        <v>18</v>
      </c>
      <c r="H34" s="19" t="s">
        <v>19</v>
      </c>
      <c r="I34" s="19">
        <v>5</v>
      </c>
      <c r="J34" s="19">
        <v>3708</v>
      </c>
      <c r="K34" s="19">
        <v>4</v>
      </c>
      <c r="L34" s="19">
        <v>17798.400000000001</v>
      </c>
      <c r="M34" s="19">
        <f t="shared" si="0"/>
        <v>5886159.9499999974</v>
      </c>
      <c r="N34" s="20">
        <f t="shared" si="1"/>
        <v>6080.7437499999969</v>
      </c>
      <c r="O34" s="19">
        <f t="shared" si="2"/>
        <v>2878</v>
      </c>
      <c r="P34" s="19" t="str">
        <v>High</v>
      </c>
    </row>
    <row r="35" spans="1:16" x14ac:dyDescent="0.3">
      <c r="A35" s="2" t="s">
        <v>982</v>
      </c>
      <c r="B35" s="2" t="s">
        <v>272</v>
      </c>
      <c r="C35" s="19" t="s">
        <v>983</v>
      </c>
      <c r="D35" s="19" t="s">
        <v>30</v>
      </c>
      <c r="E35" s="19" t="s">
        <v>48</v>
      </c>
      <c r="F35" s="19" t="s">
        <v>40</v>
      </c>
      <c r="G35" s="19" t="s">
        <v>18</v>
      </c>
      <c r="H35" s="19" t="s">
        <v>75</v>
      </c>
      <c r="I35" s="19">
        <v>5</v>
      </c>
      <c r="J35" s="19">
        <v>4999</v>
      </c>
      <c r="K35" s="19">
        <v>29</v>
      </c>
      <c r="L35" s="19">
        <v>17746.45</v>
      </c>
      <c r="M35" s="19">
        <f t="shared" si="0"/>
        <v>5868361.549999997</v>
      </c>
      <c r="N35" s="20">
        <f t="shared" si="1"/>
        <v>6068.6262150982393</v>
      </c>
      <c r="O35" s="19">
        <f t="shared" si="2"/>
        <v>2873</v>
      </c>
      <c r="P35" s="19" t="str">
        <v>High</v>
      </c>
    </row>
    <row r="36" spans="1:16" x14ac:dyDescent="0.3">
      <c r="A36" s="2" t="s">
        <v>1284</v>
      </c>
      <c r="B36" s="2" t="s">
        <v>73</v>
      </c>
      <c r="C36" s="19" t="s">
        <v>918</v>
      </c>
      <c r="D36" s="19" t="s">
        <v>88</v>
      </c>
      <c r="E36" s="19" t="s">
        <v>48</v>
      </c>
      <c r="F36" s="19" t="s">
        <v>17</v>
      </c>
      <c r="G36" s="19" t="s">
        <v>62</v>
      </c>
      <c r="H36" s="19" t="s">
        <v>33</v>
      </c>
      <c r="I36" s="19">
        <v>5</v>
      </c>
      <c r="J36" s="19">
        <v>3656</v>
      </c>
      <c r="K36" s="19">
        <v>3</v>
      </c>
      <c r="L36" s="19">
        <v>17731.599999999999</v>
      </c>
      <c r="M36" s="19">
        <f t="shared" si="0"/>
        <v>5850615.0999999987</v>
      </c>
      <c r="N36" s="20">
        <f t="shared" si="1"/>
        <v>6056.5373706004129</v>
      </c>
      <c r="O36" s="19">
        <f t="shared" si="2"/>
        <v>2868</v>
      </c>
      <c r="P36" s="19" t="str">
        <v>High</v>
      </c>
    </row>
    <row r="37" spans="1:16" x14ac:dyDescent="0.3">
      <c r="A37" s="2" t="s">
        <v>1508</v>
      </c>
      <c r="B37" s="2" t="s">
        <v>83</v>
      </c>
      <c r="C37" s="19" t="s">
        <v>748</v>
      </c>
      <c r="D37" s="19" t="s">
        <v>30</v>
      </c>
      <c r="E37" s="19" t="s">
        <v>31</v>
      </c>
      <c r="F37" s="19" t="s">
        <v>32</v>
      </c>
      <c r="G37" s="19" t="s">
        <v>54</v>
      </c>
      <c r="H37" s="19" t="s">
        <v>44</v>
      </c>
      <c r="I37" s="19">
        <v>5</v>
      </c>
      <c r="J37" s="19">
        <v>4028</v>
      </c>
      <c r="K37" s="19">
        <v>12</v>
      </c>
      <c r="L37" s="19">
        <v>17723.2</v>
      </c>
      <c r="M37" s="19">
        <f t="shared" si="0"/>
        <v>5832883.4999999991</v>
      </c>
      <c r="N37" s="20">
        <f t="shared" si="1"/>
        <v>6044.4388601036262</v>
      </c>
      <c r="O37" s="19">
        <f t="shared" si="2"/>
        <v>2863</v>
      </c>
      <c r="P37" s="19" t="str">
        <v>High</v>
      </c>
    </row>
    <row r="38" spans="1:16" x14ac:dyDescent="0.3">
      <c r="A38" s="2" t="s">
        <v>1358</v>
      </c>
      <c r="B38" s="2" t="s">
        <v>474</v>
      </c>
      <c r="C38" s="19" t="s">
        <v>496</v>
      </c>
      <c r="D38" s="19" t="s">
        <v>88</v>
      </c>
      <c r="E38" s="19" t="s">
        <v>58</v>
      </c>
      <c r="F38" s="19" t="s">
        <v>17</v>
      </c>
      <c r="G38" s="19" t="s">
        <v>26</v>
      </c>
      <c r="H38" s="19" t="s">
        <v>19</v>
      </c>
      <c r="I38" s="19">
        <v>4</v>
      </c>
      <c r="J38" s="19">
        <v>4642</v>
      </c>
      <c r="K38" s="19">
        <v>5</v>
      </c>
      <c r="L38" s="19">
        <v>17639.599999999999</v>
      </c>
      <c r="M38" s="19">
        <f t="shared" si="0"/>
        <v>5815160.2999999989</v>
      </c>
      <c r="N38" s="20">
        <f t="shared" si="1"/>
        <v>6032.3239626556006</v>
      </c>
      <c r="O38" s="19">
        <f t="shared" si="2"/>
        <v>2858</v>
      </c>
      <c r="P38" s="19" t="str">
        <v>High</v>
      </c>
    </row>
    <row r="39" spans="1:16" x14ac:dyDescent="0.3">
      <c r="A39" s="2" t="s">
        <v>1001</v>
      </c>
      <c r="B39" s="2" t="s">
        <v>965</v>
      </c>
      <c r="C39" s="19" t="s">
        <v>826</v>
      </c>
      <c r="D39" s="19" t="s">
        <v>53</v>
      </c>
      <c r="E39" s="19" t="s">
        <v>58</v>
      </c>
      <c r="F39" s="19" t="s">
        <v>17</v>
      </c>
      <c r="G39" s="19" t="s">
        <v>26</v>
      </c>
      <c r="H39" s="19" t="s">
        <v>75</v>
      </c>
      <c r="I39" s="19">
        <v>5</v>
      </c>
      <c r="J39" s="19">
        <v>4899</v>
      </c>
      <c r="K39" s="19">
        <v>28</v>
      </c>
      <c r="L39" s="19">
        <v>17636.400000000001</v>
      </c>
      <c r="M39" s="19">
        <f t="shared" si="0"/>
        <v>5797520.6999999993</v>
      </c>
      <c r="N39" s="20">
        <f t="shared" si="1"/>
        <v>6020.2707165109023</v>
      </c>
      <c r="O39" s="19">
        <f t="shared" si="2"/>
        <v>2854</v>
      </c>
      <c r="P39" s="19" t="str">
        <v>High</v>
      </c>
    </row>
    <row r="40" spans="1:16" x14ac:dyDescent="0.3">
      <c r="A40" s="2" t="s">
        <v>1217</v>
      </c>
      <c r="B40" s="2" t="s">
        <v>871</v>
      </c>
      <c r="C40" s="19" t="s">
        <v>1124</v>
      </c>
      <c r="D40" s="19" t="s">
        <v>23</v>
      </c>
      <c r="E40" s="19" t="s">
        <v>58</v>
      </c>
      <c r="F40" s="19" t="s">
        <v>40</v>
      </c>
      <c r="G40" s="19" t="s">
        <v>62</v>
      </c>
      <c r="H40" s="19" t="s">
        <v>44</v>
      </c>
      <c r="I40" s="19">
        <v>5</v>
      </c>
      <c r="J40" s="19">
        <v>4756</v>
      </c>
      <c r="K40" s="19">
        <v>26</v>
      </c>
      <c r="L40" s="19">
        <v>17597.2</v>
      </c>
      <c r="M40" s="19">
        <f t="shared" si="0"/>
        <v>5779884.2999999989</v>
      </c>
      <c r="N40" s="20">
        <f t="shared" si="1"/>
        <v>6008.195738045737</v>
      </c>
      <c r="O40" s="19">
        <f t="shared" si="2"/>
        <v>2849</v>
      </c>
      <c r="P40" s="19" t="str">
        <v>High</v>
      </c>
    </row>
    <row r="41" spans="1:16" x14ac:dyDescent="0.3">
      <c r="A41" s="2" t="s">
        <v>410</v>
      </c>
      <c r="B41" s="2" t="s">
        <v>411</v>
      </c>
      <c r="C41" s="19" t="s">
        <v>169</v>
      </c>
      <c r="D41" s="19" t="s">
        <v>53</v>
      </c>
      <c r="E41" s="19" t="s">
        <v>16</v>
      </c>
      <c r="F41" s="19" t="s">
        <v>32</v>
      </c>
      <c r="G41" s="19" t="s">
        <v>18</v>
      </c>
      <c r="H41" s="19" t="s">
        <v>75</v>
      </c>
      <c r="I41" s="19">
        <v>5</v>
      </c>
      <c r="J41" s="19">
        <v>4586</v>
      </c>
      <c r="K41" s="19">
        <v>24</v>
      </c>
      <c r="L41" s="19">
        <v>17426.8</v>
      </c>
      <c r="M41" s="19">
        <f t="shared" si="0"/>
        <v>5762287.0999999996</v>
      </c>
      <c r="N41" s="20">
        <f t="shared" si="1"/>
        <v>5996.1364203954208</v>
      </c>
      <c r="O41" s="19">
        <f t="shared" si="2"/>
        <v>2844</v>
      </c>
      <c r="P41" s="19" t="str">
        <v>High</v>
      </c>
    </row>
    <row r="42" spans="1:16" x14ac:dyDescent="0.3">
      <c r="A42" s="2" t="s">
        <v>1570</v>
      </c>
      <c r="B42" s="2" t="s">
        <v>1489</v>
      </c>
      <c r="C42" s="19" t="s">
        <v>524</v>
      </c>
      <c r="D42" s="19" t="s">
        <v>30</v>
      </c>
      <c r="E42" s="19" t="s">
        <v>79</v>
      </c>
      <c r="F42" s="19" t="s">
        <v>49</v>
      </c>
      <c r="G42" s="19" t="s">
        <v>62</v>
      </c>
      <c r="H42" s="19" t="s">
        <v>44</v>
      </c>
      <c r="I42" s="19">
        <v>4</v>
      </c>
      <c r="J42" s="19">
        <v>4405</v>
      </c>
      <c r="K42" s="19">
        <v>2</v>
      </c>
      <c r="L42" s="19">
        <v>17267.599999999999</v>
      </c>
      <c r="M42" s="19">
        <f t="shared" si="0"/>
        <v>5744860.3000000007</v>
      </c>
      <c r="N42" s="20">
        <f t="shared" si="1"/>
        <v>5984.2294791666673</v>
      </c>
      <c r="O42" s="19">
        <f t="shared" si="2"/>
        <v>2839</v>
      </c>
      <c r="P42" s="19" t="str">
        <v>High</v>
      </c>
    </row>
    <row r="43" spans="1:16" x14ac:dyDescent="0.3">
      <c r="A43" s="2" t="s">
        <v>547</v>
      </c>
      <c r="B43" s="2" t="s">
        <v>548</v>
      </c>
      <c r="C43" s="19" t="s">
        <v>549</v>
      </c>
      <c r="D43" s="19" t="s">
        <v>23</v>
      </c>
      <c r="E43" s="19" t="s">
        <v>79</v>
      </c>
      <c r="F43" s="19" t="s">
        <v>25</v>
      </c>
      <c r="G43" s="19" t="s">
        <v>18</v>
      </c>
      <c r="H43" s="19" t="s">
        <v>33</v>
      </c>
      <c r="I43" s="19">
        <v>5</v>
      </c>
      <c r="J43" s="19">
        <v>3795</v>
      </c>
      <c r="K43" s="19">
        <v>9</v>
      </c>
      <c r="L43" s="19">
        <v>17267.25</v>
      </c>
      <c r="M43" s="19">
        <f t="shared" si="0"/>
        <v>5727592.7000000002</v>
      </c>
      <c r="N43" s="20">
        <f t="shared" si="1"/>
        <v>5972.4637122002086</v>
      </c>
      <c r="O43" s="19">
        <f t="shared" si="2"/>
        <v>2835</v>
      </c>
      <c r="P43" s="19" t="str">
        <v>High</v>
      </c>
    </row>
    <row r="44" spans="1:16" x14ac:dyDescent="0.3">
      <c r="A44" s="2" t="s">
        <v>508</v>
      </c>
      <c r="B44" s="2" t="s">
        <v>509</v>
      </c>
      <c r="C44" s="19" t="s">
        <v>510</v>
      </c>
      <c r="D44" s="19" t="s">
        <v>30</v>
      </c>
      <c r="E44" s="19" t="s">
        <v>16</v>
      </c>
      <c r="F44" s="19" t="s">
        <v>32</v>
      </c>
      <c r="G44" s="19" t="s">
        <v>54</v>
      </c>
      <c r="H44" s="19" t="s">
        <v>75</v>
      </c>
      <c r="I44" s="19">
        <v>5</v>
      </c>
      <c r="J44" s="19">
        <v>4725</v>
      </c>
      <c r="K44" s="19">
        <v>27</v>
      </c>
      <c r="L44" s="19">
        <v>17246.25</v>
      </c>
      <c r="M44" s="19">
        <f t="shared" si="0"/>
        <v>5710325.4499999993</v>
      </c>
      <c r="N44" s="20">
        <f t="shared" si="1"/>
        <v>5960.6737473903959</v>
      </c>
      <c r="O44" s="19">
        <f t="shared" si="2"/>
        <v>2830</v>
      </c>
      <c r="P44" s="19" t="str">
        <v>High</v>
      </c>
    </row>
    <row r="45" spans="1:16" x14ac:dyDescent="0.3">
      <c r="A45" s="2" t="s">
        <v>961</v>
      </c>
      <c r="B45" s="2" t="s">
        <v>962</v>
      </c>
      <c r="C45" s="19" t="s">
        <v>241</v>
      </c>
      <c r="D45" s="19" t="s">
        <v>53</v>
      </c>
      <c r="E45" s="19" t="s">
        <v>48</v>
      </c>
      <c r="F45" s="19" t="s">
        <v>40</v>
      </c>
      <c r="G45" s="19" t="s">
        <v>40</v>
      </c>
      <c r="H45" s="19" t="s">
        <v>75</v>
      </c>
      <c r="I45" s="19">
        <v>4</v>
      </c>
      <c r="J45" s="19">
        <v>4368</v>
      </c>
      <c r="K45" s="19">
        <v>2</v>
      </c>
      <c r="L45" s="19">
        <v>17122.560000000001</v>
      </c>
      <c r="M45" s="19">
        <f t="shared" si="0"/>
        <v>5693079.1999999993</v>
      </c>
      <c r="N45" s="20">
        <f t="shared" si="1"/>
        <v>5948.8810867293614</v>
      </c>
      <c r="O45" s="19">
        <f t="shared" si="2"/>
        <v>2825</v>
      </c>
      <c r="P45" s="19" t="str">
        <v>High</v>
      </c>
    </row>
    <row r="46" spans="1:16" x14ac:dyDescent="0.3">
      <c r="A46" s="2" t="s">
        <v>414</v>
      </c>
      <c r="B46" s="2" t="s">
        <v>415</v>
      </c>
      <c r="C46" s="19" t="s">
        <v>416</v>
      </c>
      <c r="D46" s="19" t="s">
        <v>15</v>
      </c>
      <c r="E46" s="19" t="s">
        <v>68</v>
      </c>
      <c r="F46" s="19" t="s">
        <v>40</v>
      </c>
      <c r="G46" s="19" t="s">
        <v>54</v>
      </c>
      <c r="H46" s="19" t="s">
        <v>75</v>
      </c>
      <c r="I46" s="19">
        <v>5</v>
      </c>
      <c r="J46" s="19">
        <v>3889</v>
      </c>
      <c r="K46" s="19">
        <v>12</v>
      </c>
      <c r="L46" s="19">
        <v>17111.599999999999</v>
      </c>
      <c r="M46" s="19">
        <f t="shared" si="0"/>
        <v>5675956.6399999997</v>
      </c>
      <c r="N46" s="20">
        <f t="shared" si="1"/>
        <v>5937.1931380753131</v>
      </c>
      <c r="O46" s="19">
        <f t="shared" si="2"/>
        <v>2821</v>
      </c>
      <c r="P46" s="19" t="str">
        <v>High</v>
      </c>
    </row>
    <row r="47" spans="1:16" x14ac:dyDescent="0.3">
      <c r="A47" s="2" t="s">
        <v>1551</v>
      </c>
      <c r="B47" s="2" t="s">
        <v>1552</v>
      </c>
      <c r="C47" s="19" t="s">
        <v>1276</v>
      </c>
      <c r="D47" s="19" t="s">
        <v>88</v>
      </c>
      <c r="E47" s="19" t="s">
        <v>31</v>
      </c>
      <c r="F47" s="19" t="s">
        <v>32</v>
      </c>
      <c r="G47" s="19" t="s">
        <v>62</v>
      </c>
      <c r="H47" s="19" t="s">
        <v>44</v>
      </c>
      <c r="I47" s="19">
        <v>4</v>
      </c>
      <c r="J47" s="19">
        <v>4458</v>
      </c>
      <c r="K47" s="19">
        <v>5</v>
      </c>
      <c r="L47" s="19">
        <v>16940.400000000001</v>
      </c>
      <c r="M47" s="19">
        <f t="shared" si="0"/>
        <v>5658845.04</v>
      </c>
      <c r="N47" s="20">
        <f t="shared" si="1"/>
        <v>5925.4921884816758</v>
      </c>
      <c r="O47" s="19">
        <f t="shared" si="2"/>
        <v>2816</v>
      </c>
      <c r="P47" s="19" t="str">
        <v>High</v>
      </c>
    </row>
    <row r="48" spans="1:16" x14ac:dyDescent="0.3">
      <c r="A48" s="2" t="s">
        <v>1311</v>
      </c>
      <c r="B48" s="2" t="s">
        <v>1183</v>
      </c>
      <c r="C48" s="19" t="s">
        <v>499</v>
      </c>
      <c r="D48" s="19" t="s">
        <v>23</v>
      </c>
      <c r="E48" s="19" t="s">
        <v>16</v>
      </c>
      <c r="F48" s="19" t="s">
        <v>40</v>
      </c>
      <c r="G48" s="19" t="s">
        <v>40</v>
      </c>
      <c r="H48" s="19" t="s">
        <v>19</v>
      </c>
      <c r="I48" s="19">
        <v>5</v>
      </c>
      <c r="J48" s="19">
        <v>4069</v>
      </c>
      <c r="K48" s="19">
        <v>17</v>
      </c>
      <c r="L48" s="19">
        <v>16886.349999999999</v>
      </c>
      <c r="M48" s="19">
        <f t="shared" si="0"/>
        <v>5641904.6399999997</v>
      </c>
      <c r="N48" s="20">
        <f t="shared" si="1"/>
        <v>5913.9461635220123</v>
      </c>
      <c r="O48" s="19">
        <f t="shared" si="2"/>
        <v>2812</v>
      </c>
      <c r="P48" s="19" t="str">
        <v>High</v>
      </c>
    </row>
    <row r="49" spans="1:16" x14ac:dyDescent="0.3">
      <c r="A49" s="2" t="s">
        <v>1519</v>
      </c>
      <c r="B49" s="2" t="s">
        <v>578</v>
      </c>
      <c r="C49" s="19" t="s">
        <v>1444</v>
      </c>
      <c r="D49" s="19" t="s">
        <v>88</v>
      </c>
      <c r="E49" s="19" t="s">
        <v>58</v>
      </c>
      <c r="F49" s="19" t="s">
        <v>17</v>
      </c>
      <c r="G49" s="19" t="s">
        <v>18</v>
      </c>
      <c r="H49" s="19" t="s">
        <v>44</v>
      </c>
      <c r="I49" s="19">
        <v>5</v>
      </c>
      <c r="J49" s="19">
        <v>3350</v>
      </c>
      <c r="K49" s="19">
        <v>0</v>
      </c>
      <c r="L49" s="19">
        <v>16750</v>
      </c>
      <c r="M49" s="19">
        <f t="shared" si="0"/>
        <v>5625018.29</v>
      </c>
      <c r="N49" s="20">
        <f t="shared" si="1"/>
        <v>5902.4326232948588</v>
      </c>
      <c r="O49" s="19">
        <f t="shared" si="2"/>
        <v>2807</v>
      </c>
      <c r="P49" s="19" t="str">
        <v>High</v>
      </c>
    </row>
    <row r="50" spans="1:16" x14ac:dyDescent="0.3">
      <c r="A50" s="2" t="s">
        <v>1330</v>
      </c>
      <c r="B50" s="2" t="s">
        <v>13</v>
      </c>
      <c r="C50" s="19" t="s">
        <v>1331</v>
      </c>
      <c r="D50" s="19" t="s">
        <v>23</v>
      </c>
      <c r="E50" s="19" t="s">
        <v>16</v>
      </c>
      <c r="F50" s="19" t="s">
        <v>32</v>
      </c>
      <c r="G50" s="19" t="s">
        <v>62</v>
      </c>
      <c r="H50" s="19" t="s">
        <v>75</v>
      </c>
      <c r="I50" s="19">
        <v>5</v>
      </c>
      <c r="J50" s="19">
        <v>4394</v>
      </c>
      <c r="K50" s="19">
        <v>24</v>
      </c>
      <c r="L50" s="19">
        <v>16697.2</v>
      </c>
      <c r="M50" s="19">
        <f t="shared" si="0"/>
        <v>5608268.2899999991</v>
      </c>
      <c r="N50" s="20">
        <f t="shared" si="1"/>
        <v>5891.0381197478982</v>
      </c>
      <c r="O50" s="19">
        <f t="shared" si="2"/>
        <v>2802</v>
      </c>
      <c r="P50" s="19" t="str">
        <v>High</v>
      </c>
    </row>
    <row r="51" spans="1:16" x14ac:dyDescent="0.3">
      <c r="A51" s="2" t="s">
        <v>909</v>
      </c>
      <c r="B51" s="2" t="s">
        <v>246</v>
      </c>
      <c r="C51" s="19" t="s">
        <v>413</v>
      </c>
      <c r="D51" s="19" t="s">
        <v>30</v>
      </c>
      <c r="E51" s="19" t="s">
        <v>79</v>
      </c>
      <c r="F51" s="19" t="s">
        <v>40</v>
      </c>
      <c r="G51" s="19" t="s">
        <v>18</v>
      </c>
      <c r="H51" s="19" t="s">
        <v>33</v>
      </c>
      <c r="I51" s="19">
        <v>4</v>
      </c>
      <c r="J51" s="19">
        <v>4712</v>
      </c>
      <c r="K51" s="19">
        <v>12</v>
      </c>
      <c r="L51" s="19">
        <v>16586.240000000002</v>
      </c>
      <c r="M51" s="19">
        <f t="shared" si="0"/>
        <v>5591571.0899999999</v>
      </c>
      <c r="N51" s="20">
        <f t="shared" si="1"/>
        <v>5879.6751735015769</v>
      </c>
      <c r="O51" s="19">
        <f t="shared" si="2"/>
        <v>2797</v>
      </c>
      <c r="P51" s="19" t="str">
        <v>High</v>
      </c>
    </row>
    <row r="52" spans="1:16" x14ac:dyDescent="0.3">
      <c r="A52" s="2" t="s">
        <v>408</v>
      </c>
      <c r="B52" s="2" t="s">
        <v>196</v>
      </c>
      <c r="C52" s="19" t="s">
        <v>409</v>
      </c>
      <c r="D52" s="19" t="s">
        <v>53</v>
      </c>
      <c r="E52" s="19" t="s">
        <v>58</v>
      </c>
      <c r="F52" s="19" t="s">
        <v>40</v>
      </c>
      <c r="G52" s="19" t="s">
        <v>62</v>
      </c>
      <c r="H52" s="19" t="s">
        <v>75</v>
      </c>
      <c r="I52" s="19">
        <v>5</v>
      </c>
      <c r="J52" s="19">
        <v>3561</v>
      </c>
      <c r="K52" s="19">
        <v>7</v>
      </c>
      <c r="L52" s="19">
        <v>16558.650000000001</v>
      </c>
      <c r="M52" s="19">
        <f t="shared" si="0"/>
        <v>5574984.8499999987</v>
      </c>
      <c r="N52" s="20">
        <f t="shared" si="1"/>
        <v>5868.4051052631567</v>
      </c>
      <c r="O52" s="19">
        <f t="shared" si="2"/>
        <v>2793</v>
      </c>
      <c r="P52" s="19" t="str">
        <v>High</v>
      </c>
    </row>
    <row r="53" spans="1:16" x14ac:dyDescent="0.3">
      <c r="A53" s="2" t="s">
        <v>1491</v>
      </c>
      <c r="B53" s="2" t="s">
        <v>42</v>
      </c>
      <c r="C53" s="19" t="s">
        <v>535</v>
      </c>
      <c r="D53" s="19" t="s">
        <v>15</v>
      </c>
      <c r="E53" s="19" t="s">
        <v>58</v>
      </c>
      <c r="F53" s="19" t="s">
        <v>25</v>
      </c>
      <c r="G53" s="19" t="s">
        <v>62</v>
      </c>
      <c r="H53" s="19" t="s">
        <v>75</v>
      </c>
      <c r="I53" s="19">
        <v>4</v>
      </c>
      <c r="J53" s="19">
        <v>4987</v>
      </c>
      <c r="K53" s="19">
        <v>17</v>
      </c>
      <c r="L53" s="19">
        <v>16556.84</v>
      </c>
      <c r="M53" s="19">
        <f t="shared" si="0"/>
        <v>5558426.2000000002</v>
      </c>
      <c r="N53" s="20">
        <f t="shared" si="1"/>
        <v>5857.1403582718649</v>
      </c>
      <c r="O53" s="19">
        <f t="shared" si="2"/>
        <v>2788</v>
      </c>
      <c r="P53" s="19" t="str">
        <v>High</v>
      </c>
    </row>
    <row r="54" spans="1:16" x14ac:dyDescent="0.3">
      <c r="A54" s="2" t="s">
        <v>1620</v>
      </c>
      <c r="B54" s="2" t="s">
        <v>551</v>
      </c>
      <c r="C54" s="19" t="s">
        <v>576</v>
      </c>
      <c r="D54" s="19" t="s">
        <v>53</v>
      </c>
      <c r="E54" s="19" t="s">
        <v>31</v>
      </c>
      <c r="F54" s="19" t="s">
        <v>17</v>
      </c>
      <c r="G54" s="19" t="s">
        <v>26</v>
      </c>
      <c r="H54" s="19" t="s">
        <v>19</v>
      </c>
      <c r="I54" s="19">
        <v>4</v>
      </c>
      <c r="J54" s="19">
        <v>4160</v>
      </c>
      <c r="K54" s="19">
        <v>1</v>
      </c>
      <c r="L54" s="19">
        <v>16473.599999999999</v>
      </c>
      <c r="M54" s="19">
        <f t="shared" si="0"/>
        <v>5541869.3599999994</v>
      </c>
      <c r="N54" s="20">
        <f t="shared" si="1"/>
        <v>5845.8537552742609</v>
      </c>
      <c r="O54" s="19">
        <f t="shared" si="2"/>
        <v>2784</v>
      </c>
      <c r="P54" s="19" t="str">
        <v>High</v>
      </c>
    </row>
    <row r="55" spans="1:16" x14ac:dyDescent="0.3">
      <c r="A55" s="2" t="s">
        <v>718</v>
      </c>
      <c r="B55" s="2" t="s">
        <v>218</v>
      </c>
      <c r="C55" s="19" t="s">
        <v>719</v>
      </c>
      <c r="D55" s="19" t="s">
        <v>30</v>
      </c>
      <c r="E55" s="19" t="s">
        <v>24</v>
      </c>
      <c r="F55" s="19" t="s">
        <v>40</v>
      </c>
      <c r="G55" s="19" t="s">
        <v>62</v>
      </c>
      <c r="H55" s="19" t="s">
        <v>19</v>
      </c>
      <c r="I55" s="19">
        <v>4</v>
      </c>
      <c r="J55" s="19">
        <v>4155</v>
      </c>
      <c r="K55" s="19">
        <v>1</v>
      </c>
      <c r="L55" s="19">
        <v>16453.8</v>
      </c>
      <c r="M55" s="19">
        <f t="shared" si="0"/>
        <v>5525395.7599999998</v>
      </c>
      <c r="N55" s="20">
        <f t="shared" si="1"/>
        <v>5834.6312143611403</v>
      </c>
      <c r="O55" s="19">
        <f t="shared" si="2"/>
        <v>2780</v>
      </c>
      <c r="P55" s="19" t="str">
        <v>High</v>
      </c>
    </row>
    <row r="56" spans="1:16" x14ac:dyDescent="0.3">
      <c r="A56" s="2" t="s">
        <v>565</v>
      </c>
      <c r="B56" s="2" t="s">
        <v>177</v>
      </c>
      <c r="C56" s="19" t="s">
        <v>454</v>
      </c>
      <c r="D56" s="19" t="s">
        <v>23</v>
      </c>
      <c r="E56" s="19" t="s">
        <v>16</v>
      </c>
      <c r="F56" s="19" t="s">
        <v>32</v>
      </c>
      <c r="G56" s="19" t="s">
        <v>54</v>
      </c>
      <c r="H56" s="19" t="s">
        <v>33</v>
      </c>
      <c r="I56" s="19">
        <v>5</v>
      </c>
      <c r="J56" s="19">
        <v>3611</v>
      </c>
      <c r="K56" s="19">
        <v>9</v>
      </c>
      <c r="L56" s="19">
        <v>16430.05</v>
      </c>
      <c r="M56" s="19">
        <f t="shared" si="0"/>
        <v>5508941.959999999</v>
      </c>
      <c r="N56" s="20">
        <f t="shared" si="1"/>
        <v>5823.4058773784345</v>
      </c>
      <c r="O56" s="19">
        <f t="shared" si="2"/>
        <v>2776</v>
      </c>
      <c r="P56" s="19" t="str">
        <v>High</v>
      </c>
    </row>
    <row r="57" spans="1:16" x14ac:dyDescent="0.3">
      <c r="A57" s="2" t="s">
        <v>128</v>
      </c>
      <c r="B57" s="2" t="s">
        <v>129</v>
      </c>
      <c r="C57" s="19" t="s">
        <v>130</v>
      </c>
      <c r="D57" s="19" t="s">
        <v>30</v>
      </c>
      <c r="E57" s="19" t="s">
        <v>24</v>
      </c>
      <c r="F57" s="19" t="s">
        <v>17</v>
      </c>
      <c r="G57" s="19" t="s">
        <v>18</v>
      </c>
      <c r="H57" s="19" t="s">
        <v>19</v>
      </c>
      <c r="I57" s="19">
        <v>5</v>
      </c>
      <c r="J57" s="19">
        <v>4483</v>
      </c>
      <c r="K57" s="19">
        <v>27</v>
      </c>
      <c r="L57" s="19">
        <v>16362.95</v>
      </c>
      <c r="M57" s="19">
        <f t="shared" si="0"/>
        <v>5492511.9099999992</v>
      </c>
      <c r="N57" s="20">
        <f t="shared" si="1"/>
        <v>5812.1819153439146</v>
      </c>
      <c r="O57" s="19">
        <f t="shared" si="2"/>
        <v>2771</v>
      </c>
      <c r="P57" s="19" t="str">
        <v>High</v>
      </c>
    </row>
    <row r="58" spans="1:16" x14ac:dyDescent="0.3">
      <c r="A58" s="2" t="s">
        <v>598</v>
      </c>
      <c r="B58" s="2" t="s">
        <v>599</v>
      </c>
      <c r="C58" s="19" t="s">
        <v>191</v>
      </c>
      <c r="D58" s="19" t="s">
        <v>53</v>
      </c>
      <c r="E58" s="19" t="s">
        <v>16</v>
      </c>
      <c r="F58" s="19" t="s">
        <v>49</v>
      </c>
      <c r="G58" s="19" t="s">
        <v>18</v>
      </c>
      <c r="H58" s="19" t="s">
        <v>44</v>
      </c>
      <c r="I58" s="19">
        <v>5</v>
      </c>
      <c r="J58" s="19">
        <v>3718</v>
      </c>
      <c r="K58" s="19">
        <v>12</v>
      </c>
      <c r="L58" s="19">
        <v>16359.2</v>
      </c>
      <c r="M58" s="19">
        <f t="shared" si="0"/>
        <v>5476148.959999999</v>
      </c>
      <c r="N58" s="20">
        <f t="shared" si="1"/>
        <v>5801.0052542372869</v>
      </c>
      <c r="O58" s="19">
        <f t="shared" si="2"/>
        <v>2766</v>
      </c>
      <c r="P58" s="19" t="str">
        <v>High</v>
      </c>
    </row>
    <row r="59" spans="1:16" x14ac:dyDescent="0.3">
      <c r="A59" s="2" t="s">
        <v>1556</v>
      </c>
      <c r="B59" s="2" t="s">
        <v>337</v>
      </c>
      <c r="C59" s="19" t="s">
        <v>468</v>
      </c>
      <c r="D59" s="19" t="s">
        <v>15</v>
      </c>
      <c r="E59" s="19" t="s">
        <v>48</v>
      </c>
      <c r="F59" s="19" t="s">
        <v>32</v>
      </c>
      <c r="G59" s="19" t="s">
        <v>40</v>
      </c>
      <c r="H59" s="19" t="s">
        <v>75</v>
      </c>
      <c r="I59" s="19">
        <v>5</v>
      </c>
      <c r="J59" s="19">
        <v>3756</v>
      </c>
      <c r="K59" s="19">
        <v>14</v>
      </c>
      <c r="L59" s="19">
        <v>16150.8</v>
      </c>
      <c r="M59" s="19">
        <f t="shared" si="0"/>
        <v>5459789.7599999988</v>
      </c>
      <c r="N59" s="20">
        <f t="shared" si="1"/>
        <v>5789.8088653234345</v>
      </c>
      <c r="O59" s="19">
        <f t="shared" si="2"/>
        <v>2761</v>
      </c>
      <c r="P59" s="19" t="str">
        <v>High</v>
      </c>
    </row>
    <row r="60" spans="1:16" x14ac:dyDescent="0.3">
      <c r="A60" s="2" t="s">
        <v>37</v>
      </c>
      <c r="B60" s="2" t="s">
        <v>38</v>
      </c>
      <c r="C60" s="19" t="s">
        <v>39</v>
      </c>
      <c r="D60" s="19" t="s">
        <v>23</v>
      </c>
      <c r="E60" s="19" t="s">
        <v>31</v>
      </c>
      <c r="F60" s="19" t="s">
        <v>32</v>
      </c>
      <c r="G60" s="19" t="s">
        <v>40</v>
      </c>
      <c r="H60" s="19" t="s">
        <v>19</v>
      </c>
      <c r="I60" s="19">
        <v>5</v>
      </c>
      <c r="J60" s="19">
        <v>3797</v>
      </c>
      <c r="K60" s="19">
        <v>15</v>
      </c>
      <c r="L60" s="19">
        <v>16137.25</v>
      </c>
      <c r="M60" s="19">
        <f t="shared" si="0"/>
        <v>5443638.959999999</v>
      </c>
      <c r="N60" s="20">
        <f t="shared" si="1"/>
        <v>5778.8099363057318</v>
      </c>
      <c r="O60" s="19">
        <f t="shared" si="2"/>
        <v>2756</v>
      </c>
      <c r="P60" s="19" t="str">
        <v>High</v>
      </c>
    </row>
    <row r="61" spans="1:16" x14ac:dyDescent="0.3">
      <c r="A61" s="2" t="s">
        <v>1393</v>
      </c>
      <c r="B61" s="2" t="s">
        <v>1394</v>
      </c>
      <c r="C61" s="19" t="s">
        <v>291</v>
      </c>
      <c r="D61" s="19" t="s">
        <v>15</v>
      </c>
      <c r="E61" s="19" t="s">
        <v>48</v>
      </c>
      <c r="F61" s="19" t="s">
        <v>40</v>
      </c>
      <c r="G61" s="19" t="s">
        <v>62</v>
      </c>
      <c r="H61" s="19" t="s">
        <v>33</v>
      </c>
      <c r="I61" s="19">
        <v>5</v>
      </c>
      <c r="J61" s="19">
        <v>3731</v>
      </c>
      <c r="K61" s="19">
        <v>14</v>
      </c>
      <c r="L61" s="19">
        <v>16043.3</v>
      </c>
      <c r="M61" s="19">
        <f t="shared" si="0"/>
        <v>5427501.71</v>
      </c>
      <c r="N61" s="20">
        <f t="shared" si="1"/>
        <v>5767.8020297555795</v>
      </c>
      <c r="O61" s="19">
        <f t="shared" si="2"/>
        <v>2751</v>
      </c>
      <c r="P61" s="19" t="str">
        <v>High</v>
      </c>
    </row>
    <row r="62" spans="1:16" x14ac:dyDescent="0.3">
      <c r="A62" s="2" t="s">
        <v>1451</v>
      </c>
      <c r="B62" s="2" t="s">
        <v>260</v>
      </c>
      <c r="C62" s="19" t="s">
        <v>409</v>
      </c>
      <c r="D62" s="19" t="s">
        <v>88</v>
      </c>
      <c r="E62" s="19" t="s">
        <v>48</v>
      </c>
      <c r="F62" s="19" t="s">
        <v>40</v>
      </c>
      <c r="G62" s="19" t="s">
        <v>18</v>
      </c>
      <c r="H62" s="19" t="s">
        <v>75</v>
      </c>
      <c r="I62" s="19">
        <v>4</v>
      </c>
      <c r="J62" s="19">
        <v>4289</v>
      </c>
      <c r="K62" s="19">
        <v>7</v>
      </c>
      <c r="L62" s="19">
        <v>15955.08</v>
      </c>
      <c r="M62" s="19">
        <f t="shared" si="0"/>
        <v>5411458.4100000011</v>
      </c>
      <c r="N62" s="20">
        <f t="shared" si="1"/>
        <v>5756.8706489361712</v>
      </c>
      <c r="O62" s="19">
        <f t="shared" si="2"/>
        <v>2746</v>
      </c>
      <c r="P62" s="19" t="str">
        <v>High</v>
      </c>
    </row>
    <row r="63" spans="1:16" x14ac:dyDescent="0.3">
      <c r="A63" s="2" t="s">
        <v>1452</v>
      </c>
      <c r="B63" s="2" t="s">
        <v>1265</v>
      </c>
      <c r="C63" s="19" t="s">
        <v>91</v>
      </c>
      <c r="D63" s="19" t="s">
        <v>53</v>
      </c>
      <c r="E63" s="19" t="s">
        <v>58</v>
      </c>
      <c r="F63" s="19" t="s">
        <v>25</v>
      </c>
      <c r="G63" s="19" t="s">
        <v>62</v>
      </c>
      <c r="H63" s="19" t="s">
        <v>19</v>
      </c>
      <c r="I63" s="19">
        <v>4</v>
      </c>
      <c r="J63" s="19">
        <v>4859</v>
      </c>
      <c r="K63" s="19">
        <v>18</v>
      </c>
      <c r="L63" s="19">
        <v>15937.52</v>
      </c>
      <c r="M63" s="19">
        <f t="shared" si="0"/>
        <v>5395503.330000001</v>
      </c>
      <c r="N63" s="20">
        <f t="shared" si="1"/>
        <v>5746.0099361022376</v>
      </c>
      <c r="O63" s="19">
        <f t="shared" si="2"/>
        <v>2742</v>
      </c>
      <c r="P63" s="19" t="str">
        <v>High</v>
      </c>
    </row>
    <row r="64" spans="1:16" x14ac:dyDescent="0.3">
      <c r="A64" s="2" t="s">
        <v>973</v>
      </c>
      <c r="B64" s="2" t="s">
        <v>974</v>
      </c>
      <c r="C64" s="19" t="s">
        <v>570</v>
      </c>
      <c r="D64" s="19" t="s">
        <v>30</v>
      </c>
      <c r="E64" s="19" t="s">
        <v>79</v>
      </c>
      <c r="F64" s="19" t="s">
        <v>40</v>
      </c>
      <c r="G64" s="19" t="s">
        <v>26</v>
      </c>
      <c r="H64" s="19" t="s">
        <v>33</v>
      </c>
      <c r="I64" s="19">
        <v>4</v>
      </c>
      <c r="J64" s="19">
        <v>4972</v>
      </c>
      <c r="K64" s="19">
        <v>20</v>
      </c>
      <c r="L64" s="19">
        <v>15910.4</v>
      </c>
      <c r="M64" s="19">
        <f t="shared" si="0"/>
        <v>5379565.8100000005</v>
      </c>
      <c r="N64" s="20">
        <f t="shared" si="1"/>
        <v>5735.1447867803845</v>
      </c>
      <c r="O64" s="19">
        <f t="shared" si="2"/>
        <v>2738</v>
      </c>
      <c r="P64" s="19" t="str">
        <v>High</v>
      </c>
    </row>
    <row r="65" spans="1:16" x14ac:dyDescent="0.3">
      <c r="A65" s="2" t="s">
        <v>199</v>
      </c>
      <c r="B65" s="2" t="s">
        <v>171</v>
      </c>
      <c r="C65" s="19" t="s">
        <v>200</v>
      </c>
      <c r="D65" s="19" t="s">
        <v>23</v>
      </c>
      <c r="E65" s="19" t="s">
        <v>48</v>
      </c>
      <c r="F65" s="19" t="s">
        <v>17</v>
      </c>
      <c r="G65" s="19" t="s">
        <v>54</v>
      </c>
      <c r="H65" s="19" t="s">
        <v>75</v>
      </c>
      <c r="I65" s="19">
        <v>4</v>
      </c>
      <c r="J65" s="19">
        <v>4126</v>
      </c>
      <c r="K65" s="19">
        <v>4</v>
      </c>
      <c r="L65" s="19">
        <v>15843.84</v>
      </c>
      <c r="M65" s="19">
        <f t="shared" si="0"/>
        <v>5363655.4100000011</v>
      </c>
      <c r="N65" s="20">
        <f t="shared" si="1"/>
        <v>5724.2853895410899</v>
      </c>
      <c r="O65" s="19">
        <f t="shared" si="2"/>
        <v>2734</v>
      </c>
      <c r="P65" s="19" t="str">
        <v>High</v>
      </c>
    </row>
    <row r="66" spans="1:16" x14ac:dyDescent="0.3">
      <c r="A66" s="2" t="s">
        <v>699</v>
      </c>
      <c r="B66" s="2" t="s">
        <v>458</v>
      </c>
      <c r="C66" s="19" t="s">
        <v>700</v>
      </c>
      <c r="D66" s="19" t="s">
        <v>30</v>
      </c>
      <c r="E66" s="19" t="s">
        <v>58</v>
      </c>
      <c r="F66" s="19" t="s">
        <v>17</v>
      </c>
      <c r="G66" s="19" t="s">
        <v>26</v>
      </c>
      <c r="H66" s="19" t="s">
        <v>75</v>
      </c>
      <c r="I66" s="19">
        <v>5</v>
      </c>
      <c r="J66" s="19">
        <v>3705</v>
      </c>
      <c r="K66" s="19">
        <v>15</v>
      </c>
      <c r="L66" s="19">
        <v>15746.25</v>
      </c>
      <c r="M66" s="19">
        <f t="shared" ref="M66:M129" si="3">SUM(L66:L1065)</f>
        <v>5347811.5700000012</v>
      </c>
      <c r="N66" s="20">
        <f t="shared" ref="N66:N129" si="4">AVERAGE(L66:L1065)</f>
        <v>5713.4738995726511</v>
      </c>
      <c r="O66" s="19">
        <f t="shared" ref="O66:O129" si="5">SUM(I66:I1065)</f>
        <v>2730</v>
      </c>
      <c r="P66" s="19" t="str">
        <v>High</v>
      </c>
    </row>
    <row r="67" spans="1:16" x14ac:dyDescent="0.3">
      <c r="A67" s="2" t="s">
        <v>890</v>
      </c>
      <c r="B67" s="2" t="s">
        <v>116</v>
      </c>
      <c r="C67" s="19" t="s">
        <v>549</v>
      </c>
      <c r="D67" s="19" t="s">
        <v>53</v>
      </c>
      <c r="E67" s="19" t="s">
        <v>58</v>
      </c>
      <c r="F67" s="19" t="s">
        <v>25</v>
      </c>
      <c r="G67" s="19" t="s">
        <v>18</v>
      </c>
      <c r="H67" s="19" t="s">
        <v>33</v>
      </c>
      <c r="I67" s="19">
        <v>4</v>
      </c>
      <c r="J67" s="19">
        <v>4960</v>
      </c>
      <c r="K67" s="19">
        <v>21</v>
      </c>
      <c r="L67" s="19">
        <v>15673.6</v>
      </c>
      <c r="M67" s="19">
        <f t="shared" si="3"/>
        <v>5332065.3200000012</v>
      </c>
      <c r="N67" s="20">
        <f t="shared" si="4"/>
        <v>5702.743657754012</v>
      </c>
      <c r="O67" s="19">
        <f t="shared" si="5"/>
        <v>2725</v>
      </c>
      <c r="P67" s="19" t="str">
        <v>High</v>
      </c>
    </row>
    <row r="68" spans="1:16" x14ac:dyDescent="0.3">
      <c r="A68" s="2" t="s">
        <v>1647</v>
      </c>
      <c r="B68" s="2" t="s">
        <v>866</v>
      </c>
      <c r="C68" s="19" t="s">
        <v>91</v>
      </c>
      <c r="D68" s="19" t="s">
        <v>88</v>
      </c>
      <c r="E68" s="19" t="s">
        <v>31</v>
      </c>
      <c r="F68" s="19" t="s">
        <v>17</v>
      </c>
      <c r="G68" s="19" t="s">
        <v>54</v>
      </c>
      <c r="H68" s="19" t="s">
        <v>19</v>
      </c>
      <c r="I68" s="19">
        <v>4</v>
      </c>
      <c r="J68" s="19">
        <v>4347</v>
      </c>
      <c r="K68" s="19">
        <v>10</v>
      </c>
      <c r="L68" s="19">
        <v>15649.2</v>
      </c>
      <c r="M68" s="19">
        <f t="shared" si="3"/>
        <v>5316391.7200000025</v>
      </c>
      <c r="N68" s="20">
        <f t="shared" si="4"/>
        <v>5692.0682226980753</v>
      </c>
      <c r="O68" s="19">
        <f t="shared" si="5"/>
        <v>2721</v>
      </c>
      <c r="P68" s="19" t="str">
        <v>High</v>
      </c>
    </row>
    <row r="69" spans="1:16" x14ac:dyDescent="0.3">
      <c r="A69" s="2" t="s">
        <v>1002</v>
      </c>
      <c r="B69" s="2" t="s">
        <v>1003</v>
      </c>
      <c r="C69" s="19" t="s">
        <v>1004</v>
      </c>
      <c r="D69" s="19" t="s">
        <v>53</v>
      </c>
      <c r="E69" s="19" t="s">
        <v>58</v>
      </c>
      <c r="F69" s="19" t="s">
        <v>40</v>
      </c>
      <c r="G69" s="19" t="s">
        <v>26</v>
      </c>
      <c r="H69" s="19" t="s">
        <v>33</v>
      </c>
      <c r="I69" s="19">
        <v>4</v>
      </c>
      <c r="J69" s="19">
        <v>4975</v>
      </c>
      <c r="K69" s="19">
        <v>22</v>
      </c>
      <c r="L69" s="19">
        <v>15522</v>
      </c>
      <c r="M69" s="19">
        <f t="shared" si="3"/>
        <v>5300742.5200000023</v>
      </c>
      <c r="N69" s="20">
        <f t="shared" si="4"/>
        <v>5681.3960557341934</v>
      </c>
      <c r="O69" s="19">
        <f t="shared" si="5"/>
        <v>2717</v>
      </c>
      <c r="P69" s="19" t="str">
        <v>High</v>
      </c>
    </row>
    <row r="70" spans="1:16" x14ac:dyDescent="0.3">
      <c r="A70" s="2" t="s">
        <v>1221</v>
      </c>
      <c r="B70" s="2" t="s">
        <v>746</v>
      </c>
      <c r="C70" s="19" t="s">
        <v>370</v>
      </c>
      <c r="D70" s="19" t="s">
        <v>15</v>
      </c>
      <c r="E70" s="19" t="s">
        <v>68</v>
      </c>
      <c r="F70" s="19" t="s">
        <v>40</v>
      </c>
      <c r="G70" s="19" t="s">
        <v>18</v>
      </c>
      <c r="H70" s="19" t="s">
        <v>75</v>
      </c>
      <c r="I70" s="19">
        <v>4</v>
      </c>
      <c r="J70" s="19">
        <v>4512</v>
      </c>
      <c r="K70" s="19">
        <v>14</v>
      </c>
      <c r="L70" s="19">
        <v>15521.28</v>
      </c>
      <c r="M70" s="19">
        <f t="shared" si="3"/>
        <v>5285220.5200000023</v>
      </c>
      <c r="N70" s="20">
        <f t="shared" si="4"/>
        <v>5670.8374678111613</v>
      </c>
      <c r="O70" s="19">
        <f t="shared" si="5"/>
        <v>2713</v>
      </c>
      <c r="P70" s="19" t="str">
        <v>High</v>
      </c>
    </row>
    <row r="71" spans="1:16" x14ac:dyDescent="0.3">
      <c r="A71" s="2" t="s">
        <v>879</v>
      </c>
      <c r="B71" s="2" t="s">
        <v>739</v>
      </c>
      <c r="C71" s="19" t="s">
        <v>880</v>
      </c>
      <c r="D71" s="19" t="s">
        <v>88</v>
      </c>
      <c r="E71" s="19" t="s">
        <v>58</v>
      </c>
      <c r="F71" s="19" t="s">
        <v>17</v>
      </c>
      <c r="G71" s="19" t="s">
        <v>40</v>
      </c>
      <c r="H71" s="19" t="s">
        <v>75</v>
      </c>
      <c r="I71" s="19">
        <v>4</v>
      </c>
      <c r="J71" s="19">
        <v>3949</v>
      </c>
      <c r="K71" s="19">
        <v>2</v>
      </c>
      <c r="L71" s="19">
        <v>15480.08</v>
      </c>
      <c r="M71" s="19">
        <f t="shared" si="3"/>
        <v>5269699.2400000021</v>
      </c>
      <c r="N71" s="20">
        <f t="shared" si="4"/>
        <v>5660.2569709989284</v>
      </c>
      <c r="O71" s="19">
        <f t="shared" si="5"/>
        <v>2709</v>
      </c>
      <c r="P71" s="19" t="str">
        <v>High</v>
      </c>
    </row>
    <row r="72" spans="1:16" x14ac:dyDescent="0.3">
      <c r="A72" s="2" t="s">
        <v>299</v>
      </c>
      <c r="B72" s="2" t="s">
        <v>300</v>
      </c>
      <c r="C72" s="19" t="s">
        <v>258</v>
      </c>
      <c r="D72" s="19" t="s">
        <v>23</v>
      </c>
      <c r="E72" s="19" t="s">
        <v>31</v>
      </c>
      <c r="F72" s="19" t="s">
        <v>40</v>
      </c>
      <c r="G72" s="19" t="s">
        <v>54</v>
      </c>
      <c r="H72" s="19" t="s">
        <v>44</v>
      </c>
      <c r="I72" s="19">
        <v>5</v>
      </c>
      <c r="J72" s="19">
        <v>4233</v>
      </c>
      <c r="K72" s="19">
        <v>27</v>
      </c>
      <c r="L72" s="19">
        <v>15450.45</v>
      </c>
      <c r="M72" s="19">
        <f t="shared" si="3"/>
        <v>5254219.1600000011</v>
      </c>
      <c r="N72" s="20">
        <f t="shared" si="4"/>
        <v>5649.6980215053773</v>
      </c>
      <c r="O72" s="19">
        <f t="shared" si="5"/>
        <v>2705</v>
      </c>
      <c r="P72" s="19" t="str">
        <v>High</v>
      </c>
    </row>
    <row r="73" spans="1:16" x14ac:dyDescent="0.3">
      <c r="A73" s="2" t="s">
        <v>738</v>
      </c>
      <c r="B73" s="2" t="s">
        <v>739</v>
      </c>
      <c r="C73" s="19" t="s">
        <v>367</v>
      </c>
      <c r="D73" s="19" t="s">
        <v>23</v>
      </c>
      <c r="E73" s="19" t="s">
        <v>48</v>
      </c>
      <c r="F73" s="19" t="s">
        <v>32</v>
      </c>
      <c r="G73" s="19" t="s">
        <v>54</v>
      </c>
      <c r="H73" s="19" t="s">
        <v>33</v>
      </c>
      <c r="I73" s="19">
        <v>5</v>
      </c>
      <c r="J73" s="19">
        <v>3464</v>
      </c>
      <c r="K73" s="19">
        <v>11</v>
      </c>
      <c r="L73" s="19">
        <v>15414.8</v>
      </c>
      <c r="M73" s="19">
        <f t="shared" si="3"/>
        <v>5238768.7100000018</v>
      </c>
      <c r="N73" s="20">
        <f t="shared" si="4"/>
        <v>5639.1482346609273</v>
      </c>
      <c r="O73" s="19">
        <f t="shared" si="5"/>
        <v>2700</v>
      </c>
      <c r="P73" s="19" t="str">
        <v>High</v>
      </c>
    </row>
    <row r="74" spans="1:16" x14ac:dyDescent="0.3">
      <c r="A74" s="2" t="s">
        <v>1601</v>
      </c>
      <c r="B74" s="2" t="s">
        <v>101</v>
      </c>
      <c r="C74" s="19" t="s">
        <v>899</v>
      </c>
      <c r="D74" s="19" t="s">
        <v>30</v>
      </c>
      <c r="E74" s="19" t="s">
        <v>48</v>
      </c>
      <c r="F74" s="19" t="s">
        <v>17</v>
      </c>
      <c r="G74" s="19" t="s">
        <v>54</v>
      </c>
      <c r="H74" s="19" t="s">
        <v>19</v>
      </c>
      <c r="I74" s="19">
        <v>4</v>
      </c>
      <c r="J74" s="19">
        <v>4047</v>
      </c>
      <c r="K74" s="19">
        <v>5</v>
      </c>
      <c r="L74" s="19">
        <v>15378.6</v>
      </c>
      <c r="M74" s="19">
        <f t="shared" si="3"/>
        <v>5223353.9100000011</v>
      </c>
      <c r="N74" s="20">
        <f t="shared" si="4"/>
        <v>5628.6141271551733</v>
      </c>
      <c r="O74" s="19">
        <f t="shared" si="5"/>
        <v>2695</v>
      </c>
      <c r="P74" s="19" t="str">
        <v>High</v>
      </c>
    </row>
    <row r="75" spans="1:16" x14ac:dyDescent="0.3">
      <c r="A75" s="2" t="s">
        <v>1668</v>
      </c>
      <c r="B75" s="2" t="s">
        <v>35</v>
      </c>
      <c r="C75" s="19" t="s">
        <v>1669</v>
      </c>
      <c r="D75" s="19" t="s">
        <v>30</v>
      </c>
      <c r="E75" s="19" t="s">
        <v>24</v>
      </c>
      <c r="F75" s="19" t="s">
        <v>17</v>
      </c>
      <c r="G75" s="19" t="s">
        <v>18</v>
      </c>
      <c r="H75" s="19" t="s">
        <v>19</v>
      </c>
      <c r="I75" s="19">
        <v>4</v>
      </c>
      <c r="J75" s="19">
        <v>4680</v>
      </c>
      <c r="K75" s="19">
        <v>18</v>
      </c>
      <c r="L75" s="19">
        <v>15350.4</v>
      </c>
      <c r="M75" s="19">
        <f t="shared" si="3"/>
        <v>5207975.3100000024</v>
      </c>
      <c r="N75" s="20">
        <f t="shared" si="4"/>
        <v>5618.0963430420734</v>
      </c>
      <c r="O75" s="19">
        <f t="shared" si="5"/>
        <v>2691</v>
      </c>
      <c r="P75" s="19" t="str">
        <v>High</v>
      </c>
    </row>
    <row r="76" spans="1:16" x14ac:dyDescent="0.3">
      <c r="A76" s="2" t="s">
        <v>1104</v>
      </c>
      <c r="B76" s="2" t="s">
        <v>840</v>
      </c>
      <c r="C76" s="19" t="s">
        <v>247</v>
      </c>
      <c r="D76" s="19" t="s">
        <v>15</v>
      </c>
      <c r="E76" s="19" t="s">
        <v>31</v>
      </c>
      <c r="F76" s="19" t="s">
        <v>40</v>
      </c>
      <c r="G76" s="19" t="s">
        <v>62</v>
      </c>
      <c r="H76" s="19" t="s">
        <v>33</v>
      </c>
      <c r="I76" s="19">
        <v>4</v>
      </c>
      <c r="J76" s="19">
        <v>3953</v>
      </c>
      <c r="K76" s="19">
        <v>3</v>
      </c>
      <c r="L76" s="19">
        <v>15337.64</v>
      </c>
      <c r="M76" s="19">
        <f t="shared" si="3"/>
        <v>5192624.9100000011</v>
      </c>
      <c r="N76" s="20">
        <f t="shared" si="4"/>
        <v>5607.5862958963298</v>
      </c>
      <c r="O76" s="19">
        <f t="shared" si="5"/>
        <v>2687</v>
      </c>
      <c r="P76" s="19" t="str">
        <v>High</v>
      </c>
    </row>
    <row r="77" spans="1:16" x14ac:dyDescent="0.3">
      <c r="A77" s="2" t="s">
        <v>1180</v>
      </c>
      <c r="B77" s="2" t="s">
        <v>165</v>
      </c>
      <c r="C77" s="19" t="s">
        <v>1181</v>
      </c>
      <c r="D77" s="19" t="s">
        <v>23</v>
      </c>
      <c r="E77" s="19" t="s">
        <v>24</v>
      </c>
      <c r="F77" s="19" t="s">
        <v>49</v>
      </c>
      <c r="G77" s="19" t="s">
        <v>26</v>
      </c>
      <c r="H77" s="19" t="s">
        <v>44</v>
      </c>
      <c r="I77" s="19">
        <v>4</v>
      </c>
      <c r="J77" s="19">
        <v>4722</v>
      </c>
      <c r="K77" s="19">
        <v>19</v>
      </c>
      <c r="L77" s="19">
        <v>15299.28</v>
      </c>
      <c r="M77" s="19">
        <f t="shared" si="3"/>
        <v>5177287.2700000014</v>
      </c>
      <c r="N77" s="20">
        <f t="shared" si="4"/>
        <v>5597.0673189189201</v>
      </c>
      <c r="O77" s="19">
        <f t="shared" si="5"/>
        <v>2683</v>
      </c>
      <c r="P77" s="19" t="str">
        <v>High</v>
      </c>
    </row>
    <row r="78" spans="1:16" x14ac:dyDescent="0.3">
      <c r="A78" s="2" t="s">
        <v>833</v>
      </c>
      <c r="B78" s="2" t="s">
        <v>834</v>
      </c>
      <c r="C78" s="19" t="s">
        <v>758</v>
      </c>
      <c r="D78" s="19" t="s">
        <v>53</v>
      </c>
      <c r="E78" s="19" t="s">
        <v>24</v>
      </c>
      <c r="F78" s="19" t="s">
        <v>32</v>
      </c>
      <c r="G78" s="19" t="s">
        <v>54</v>
      </c>
      <c r="H78" s="19" t="s">
        <v>19</v>
      </c>
      <c r="I78" s="19">
        <v>5</v>
      </c>
      <c r="J78" s="19">
        <v>3043</v>
      </c>
      <c r="K78" s="19">
        <v>0</v>
      </c>
      <c r="L78" s="19">
        <v>15215</v>
      </c>
      <c r="M78" s="19">
        <f t="shared" si="3"/>
        <v>5161987.9900000021</v>
      </c>
      <c r="N78" s="20">
        <f t="shared" si="4"/>
        <v>5586.5670887445913</v>
      </c>
      <c r="O78" s="19">
        <f t="shared" si="5"/>
        <v>2679</v>
      </c>
      <c r="P78" s="19" t="str">
        <v>High</v>
      </c>
    </row>
    <row r="79" spans="1:16" x14ac:dyDescent="0.3">
      <c r="A79" s="2" t="s">
        <v>459</v>
      </c>
      <c r="B79" s="2" t="s">
        <v>28</v>
      </c>
      <c r="C79" s="19" t="s">
        <v>67</v>
      </c>
      <c r="D79" s="19" t="s">
        <v>15</v>
      </c>
      <c r="E79" s="19" t="s">
        <v>24</v>
      </c>
      <c r="F79" s="19" t="s">
        <v>40</v>
      </c>
      <c r="G79" s="19" t="s">
        <v>18</v>
      </c>
      <c r="H79" s="19" t="s">
        <v>19</v>
      </c>
      <c r="I79" s="19">
        <v>5</v>
      </c>
      <c r="J79" s="19">
        <v>3233</v>
      </c>
      <c r="K79" s="19">
        <v>6</v>
      </c>
      <c r="L79" s="19">
        <v>15195.1</v>
      </c>
      <c r="M79" s="19">
        <f t="shared" si="3"/>
        <v>5146772.9900000021</v>
      </c>
      <c r="N79" s="20">
        <f t="shared" si="4"/>
        <v>5576.1354171180956</v>
      </c>
      <c r="O79" s="19">
        <f t="shared" si="5"/>
        <v>2674</v>
      </c>
      <c r="P79" s="19" t="str">
        <v>High</v>
      </c>
    </row>
    <row r="80" spans="1:16" x14ac:dyDescent="0.3">
      <c r="A80" s="2" t="s">
        <v>841</v>
      </c>
      <c r="B80" s="2" t="s">
        <v>379</v>
      </c>
      <c r="C80" s="19" t="s">
        <v>590</v>
      </c>
      <c r="D80" s="19" t="s">
        <v>88</v>
      </c>
      <c r="E80" s="19" t="s">
        <v>68</v>
      </c>
      <c r="F80" s="19" t="s">
        <v>25</v>
      </c>
      <c r="G80" s="19" t="s">
        <v>62</v>
      </c>
      <c r="H80" s="19" t="s">
        <v>33</v>
      </c>
      <c r="I80" s="19">
        <v>4</v>
      </c>
      <c r="J80" s="19">
        <v>4648</v>
      </c>
      <c r="K80" s="19">
        <v>19</v>
      </c>
      <c r="L80" s="19">
        <v>15059.52</v>
      </c>
      <c r="M80" s="19">
        <f t="shared" si="3"/>
        <v>5131577.8900000025</v>
      </c>
      <c r="N80" s="20">
        <f t="shared" si="4"/>
        <v>5565.7027006507615</v>
      </c>
      <c r="O80" s="19">
        <f t="shared" si="5"/>
        <v>2669</v>
      </c>
      <c r="P80" s="19" t="str">
        <v>High</v>
      </c>
    </row>
    <row r="81" spans="1:16" x14ac:dyDescent="0.3">
      <c r="A81" s="2" t="s">
        <v>541</v>
      </c>
      <c r="B81" s="2" t="s">
        <v>542</v>
      </c>
      <c r="C81" s="19" t="s">
        <v>543</v>
      </c>
      <c r="D81" s="19" t="s">
        <v>53</v>
      </c>
      <c r="E81" s="19" t="s">
        <v>48</v>
      </c>
      <c r="F81" s="19" t="s">
        <v>17</v>
      </c>
      <c r="G81" s="19" t="s">
        <v>18</v>
      </c>
      <c r="H81" s="19" t="s">
        <v>33</v>
      </c>
      <c r="I81" s="19">
        <v>4</v>
      </c>
      <c r="J81" s="19">
        <v>3743</v>
      </c>
      <c r="K81" s="19">
        <v>0</v>
      </c>
      <c r="L81" s="19">
        <v>14972</v>
      </c>
      <c r="M81" s="19">
        <f t="shared" si="3"/>
        <v>5116518.370000002</v>
      </c>
      <c r="N81" s="20">
        <f t="shared" si="4"/>
        <v>5555.3945385450616</v>
      </c>
      <c r="O81" s="19">
        <f t="shared" si="5"/>
        <v>2665</v>
      </c>
      <c r="P81" s="19" t="str">
        <v>High</v>
      </c>
    </row>
    <row r="82" spans="1:16" x14ac:dyDescent="0.3">
      <c r="A82" s="2" t="s">
        <v>717</v>
      </c>
      <c r="B82" s="2" t="s">
        <v>237</v>
      </c>
      <c r="C82" s="19" t="s">
        <v>663</v>
      </c>
      <c r="D82" s="19" t="s">
        <v>30</v>
      </c>
      <c r="E82" s="19" t="s">
        <v>16</v>
      </c>
      <c r="F82" s="19" t="s">
        <v>49</v>
      </c>
      <c r="G82" s="19" t="s">
        <v>18</v>
      </c>
      <c r="H82" s="19" t="s">
        <v>75</v>
      </c>
      <c r="I82" s="19">
        <v>4</v>
      </c>
      <c r="J82" s="19">
        <v>4020</v>
      </c>
      <c r="K82" s="19">
        <v>7</v>
      </c>
      <c r="L82" s="19">
        <v>14954.4</v>
      </c>
      <c r="M82" s="19">
        <f t="shared" si="3"/>
        <v>5101546.370000002</v>
      </c>
      <c r="N82" s="20">
        <f t="shared" si="4"/>
        <v>5545.1590978260892</v>
      </c>
      <c r="O82" s="19">
        <f t="shared" si="5"/>
        <v>2661</v>
      </c>
      <c r="P82" s="19" t="str">
        <v>High</v>
      </c>
    </row>
    <row r="83" spans="1:16" x14ac:dyDescent="0.3">
      <c r="A83" s="2" t="s">
        <v>795</v>
      </c>
      <c r="B83" s="2" t="s">
        <v>613</v>
      </c>
      <c r="C83" s="19" t="s">
        <v>758</v>
      </c>
      <c r="D83" s="19" t="s">
        <v>53</v>
      </c>
      <c r="E83" s="19" t="s">
        <v>16</v>
      </c>
      <c r="F83" s="19" t="s">
        <v>32</v>
      </c>
      <c r="G83" s="19" t="s">
        <v>54</v>
      </c>
      <c r="H83" s="19" t="s">
        <v>33</v>
      </c>
      <c r="I83" s="19">
        <v>4</v>
      </c>
      <c r="J83" s="19">
        <v>4236</v>
      </c>
      <c r="K83" s="19">
        <v>12</v>
      </c>
      <c r="L83" s="19">
        <v>14910.72</v>
      </c>
      <c r="M83" s="19">
        <f t="shared" si="3"/>
        <v>5086591.9700000025</v>
      </c>
      <c r="N83" s="20">
        <f t="shared" si="4"/>
        <v>5534.9205331882513</v>
      </c>
      <c r="O83" s="19">
        <f t="shared" si="5"/>
        <v>2657</v>
      </c>
      <c r="P83" s="19" t="str">
        <v>High</v>
      </c>
    </row>
    <row r="84" spans="1:16" x14ac:dyDescent="0.3">
      <c r="A84" s="2" t="s">
        <v>523</v>
      </c>
      <c r="B84" s="2" t="s">
        <v>290</v>
      </c>
      <c r="C84" s="19" t="s">
        <v>524</v>
      </c>
      <c r="D84" s="19" t="s">
        <v>53</v>
      </c>
      <c r="E84" s="19" t="s">
        <v>58</v>
      </c>
      <c r="F84" s="19" t="s">
        <v>17</v>
      </c>
      <c r="G84" s="19" t="s">
        <v>40</v>
      </c>
      <c r="H84" s="19" t="s">
        <v>44</v>
      </c>
      <c r="I84" s="19">
        <v>4</v>
      </c>
      <c r="J84" s="19">
        <v>4643</v>
      </c>
      <c r="K84" s="19">
        <v>20</v>
      </c>
      <c r="L84" s="19">
        <v>14857.6</v>
      </c>
      <c r="M84" s="19">
        <f t="shared" si="3"/>
        <v>5071681.2500000028</v>
      </c>
      <c r="N84" s="20">
        <f t="shared" si="4"/>
        <v>5524.7072440087177</v>
      </c>
      <c r="O84" s="19">
        <f t="shared" si="5"/>
        <v>2653</v>
      </c>
      <c r="P84" s="19" t="str">
        <v>High</v>
      </c>
    </row>
    <row r="85" spans="1:16" x14ac:dyDescent="0.3">
      <c r="A85" s="2" t="s">
        <v>1574</v>
      </c>
      <c r="B85" s="2" t="s">
        <v>1098</v>
      </c>
      <c r="C85" s="19" t="s">
        <v>291</v>
      </c>
      <c r="D85" s="19" t="s">
        <v>23</v>
      </c>
      <c r="E85" s="19" t="s">
        <v>79</v>
      </c>
      <c r="F85" s="19" t="s">
        <v>25</v>
      </c>
      <c r="G85" s="19" t="s">
        <v>54</v>
      </c>
      <c r="H85" s="19" t="s">
        <v>33</v>
      </c>
      <c r="I85" s="19">
        <v>5</v>
      </c>
      <c r="J85" s="19">
        <v>3955</v>
      </c>
      <c r="K85" s="19">
        <v>25</v>
      </c>
      <c r="L85" s="19">
        <v>14831.25</v>
      </c>
      <c r="M85" s="19">
        <f t="shared" si="3"/>
        <v>5056823.6500000022</v>
      </c>
      <c r="N85" s="20">
        <f t="shared" si="4"/>
        <v>5514.5296074154876</v>
      </c>
      <c r="O85" s="19">
        <f t="shared" si="5"/>
        <v>2649</v>
      </c>
      <c r="P85" s="19" t="str">
        <v>High</v>
      </c>
    </row>
    <row r="86" spans="1:16" x14ac:dyDescent="0.3">
      <c r="A86" s="2" t="s">
        <v>1149</v>
      </c>
      <c r="B86" s="2" t="s">
        <v>514</v>
      </c>
      <c r="C86" s="19" t="s">
        <v>535</v>
      </c>
      <c r="D86" s="19" t="s">
        <v>88</v>
      </c>
      <c r="E86" s="19" t="s">
        <v>68</v>
      </c>
      <c r="F86" s="19" t="s">
        <v>49</v>
      </c>
      <c r="G86" s="19" t="s">
        <v>40</v>
      </c>
      <c r="H86" s="19" t="s">
        <v>33</v>
      </c>
      <c r="I86" s="19">
        <v>5</v>
      </c>
      <c r="J86" s="19">
        <v>3847</v>
      </c>
      <c r="K86" s="19">
        <v>23</v>
      </c>
      <c r="L86" s="19">
        <v>14810.95</v>
      </c>
      <c r="M86" s="19">
        <f t="shared" si="3"/>
        <v>5041992.4000000004</v>
      </c>
      <c r="N86" s="20">
        <f t="shared" si="4"/>
        <v>5504.3585152838432</v>
      </c>
      <c r="O86" s="19">
        <f t="shared" si="5"/>
        <v>2644</v>
      </c>
      <c r="P86" s="19" t="str">
        <v>High</v>
      </c>
    </row>
    <row r="87" spans="1:16" x14ac:dyDescent="0.3">
      <c r="A87" s="2" t="s">
        <v>1614</v>
      </c>
      <c r="B87" s="2" t="s">
        <v>377</v>
      </c>
      <c r="C87" s="19" t="s">
        <v>670</v>
      </c>
      <c r="D87" s="19" t="s">
        <v>53</v>
      </c>
      <c r="E87" s="19" t="s">
        <v>16</v>
      </c>
      <c r="F87" s="19" t="s">
        <v>49</v>
      </c>
      <c r="G87" s="19" t="s">
        <v>40</v>
      </c>
      <c r="H87" s="19" t="s">
        <v>44</v>
      </c>
      <c r="I87" s="19">
        <v>4</v>
      </c>
      <c r="J87" s="19">
        <v>4399</v>
      </c>
      <c r="K87" s="19">
        <v>16</v>
      </c>
      <c r="L87" s="19">
        <v>14780.64</v>
      </c>
      <c r="M87" s="19">
        <f t="shared" si="3"/>
        <v>5027181.45</v>
      </c>
      <c r="N87" s="20">
        <f t="shared" si="4"/>
        <v>5494.1873770491802</v>
      </c>
      <c r="O87" s="19">
        <f t="shared" si="5"/>
        <v>2639</v>
      </c>
      <c r="P87" s="19" t="str">
        <v>High</v>
      </c>
    </row>
    <row r="88" spans="1:16" x14ac:dyDescent="0.3">
      <c r="A88" s="2" t="s">
        <v>1171</v>
      </c>
      <c r="B88" s="2" t="s">
        <v>906</v>
      </c>
      <c r="C88" s="19" t="s">
        <v>522</v>
      </c>
      <c r="D88" s="19" t="s">
        <v>23</v>
      </c>
      <c r="E88" s="19" t="s">
        <v>68</v>
      </c>
      <c r="F88" s="19" t="s">
        <v>25</v>
      </c>
      <c r="G88" s="19" t="s">
        <v>62</v>
      </c>
      <c r="H88" s="19" t="s">
        <v>33</v>
      </c>
      <c r="I88" s="19">
        <v>5</v>
      </c>
      <c r="J88" s="19">
        <v>3936</v>
      </c>
      <c r="K88" s="19">
        <v>25</v>
      </c>
      <c r="L88" s="19">
        <v>14760</v>
      </c>
      <c r="M88" s="19">
        <f t="shared" si="3"/>
        <v>5012400.8100000005</v>
      </c>
      <c r="N88" s="20">
        <f t="shared" si="4"/>
        <v>5484.0271444201317</v>
      </c>
      <c r="O88" s="19">
        <f t="shared" si="5"/>
        <v>2635</v>
      </c>
      <c r="P88" s="19" t="str">
        <v>High</v>
      </c>
    </row>
    <row r="89" spans="1:16" x14ac:dyDescent="0.3">
      <c r="A89" s="2" t="s">
        <v>855</v>
      </c>
      <c r="B89" s="2" t="s">
        <v>856</v>
      </c>
      <c r="C89" s="19" t="s">
        <v>524</v>
      </c>
      <c r="D89" s="19" t="s">
        <v>15</v>
      </c>
      <c r="E89" s="19" t="s">
        <v>58</v>
      </c>
      <c r="F89" s="19" t="s">
        <v>25</v>
      </c>
      <c r="G89" s="19" t="s">
        <v>26</v>
      </c>
      <c r="H89" s="19" t="s">
        <v>44</v>
      </c>
      <c r="I89" s="19">
        <v>5</v>
      </c>
      <c r="J89" s="19">
        <v>3783</v>
      </c>
      <c r="K89" s="19">
        <v>22</v>
      </c>
      <c r="L89" s="19">
        <v>14753.7</v>
      </c>
      <c r="M89" s="19">
        <f t="shared" si="3"/>
        <v>4997640.8099999996</v>
      </c>
      <c r="N89" s="20">
        <f t="shared" si="4"/>
        <v>5473.8672617743696</v>
      </c>
      <c r="O89" s="19">
        <f t="shared" si="5"/>
        <v>2630</v>
      </c>
      <c r="P89" s="19" t="str">
        <v>High</v>
      </c>
    </row>
    <row r="90" spans="1:16" x14ac:dyDescent="0.3">
      <c r="A90" s="2" t="s">
        <v>1200</v>
      </c>
      <c r="B90" s="2" t="s">
        <v>1201</v>
      </c>
      <c r="C90" s="19" t="s">
        <v>512</v>
      </c>
      <c r="D90" s="19" t="s">
        <v>23</v>
      </c>
      <c r="E90" s="19" t="s">
        <v>24</v>
      </c>
      <c r="F90" s="19" t="s">
        <v>32</v>
      </c>
      <c r="G90" s="19" t="s">
        <v>18</v>
      </c>
      <c r="H90" s="19" t="s">
        <v>75</v>
      </c>
      <c r="I90" s="19">
        <v>4</v>
      </c>
      <c r="J90" s="19">
        <v>3749</v>
      </c>
      <c r="K90" s="19">
        <v>2</v>
      </c>
      <c r="L90" s="19">
        <v>14696.08</v>
      </c>
      <c r="M90" s="19">
        <f t="shared" si="3"/>
        <v>4982887.1100000003</v>
      </c>
      <c r="N90" s="20">
        <f t="shared" si="4"/>
        <v>5463.6920065789482</v>
      </c>
      <c r="O90" s="19">
        <f t="shared" si="5"/>
        <v>2625</v>
      </c>
      <c r="P90" s="19" t="str">
        <v>High</v>
      </c>
    </row>
    <row r="91" spans="1:16" x14ac:dyDescent="0.3">
      <c r="A91" s="2" t="s">
        <v>964</v>
      </c>
      <c r="B91" s="2" t="s">
        <v>965</v>
      </c>
      <c r="C91" s="19" t="s">
        <v>649</v>
      </c>
      <c r="D91" s="19" t="s">
        <v>88</v>
      </c>
      <c r="E91" s="19" t="s">
        <v>79</v>
      </c>
      <c r="F91" s="19" t="s">
        <v>40</v>
      </c>
      <c r="G91" s="19" t="s">
        <v>62</v>
      </c>
      <c r="H91" s="19" t="s">
        <v>19</v>
      </c>
      <c r="I91" s="19">
        <v>4</v>
      </c>
      <c r="J91" s="19">
        <v>4230</v>
      </c>
      <c r="K91" s="19">
        <v>14</v>
      </c>
      <c r="L91" s="19">
        <v>14551.2</v>
      </c>
      <c r="M91" s="19">
        <f t="shared" si="3"/>
        <v>4968191.03</v>
      </c>
      <c r="N91" s="20">
        <f t="shared" si="4"/>
        <v>5453.5576619099893</v>
      </c>
      <c r="O91" s="19">
        <f t="shared" si="5"/>
        <v>2621</v>
      </c>
      <c r="P91" s="19" t="str">
        <v>High</v>
      </c>
    </row>
    <row r="92" spans="1:16" x14ac:dyDescent="0.3">
      <c r="A92" s="2" t="s">
        <v>1197</v>
      </c>
      <c r="B92" s="2" t="s">
        <v>1068</v>
      </c>
      <c r="C92" s="19" t="s">
        <v>390</v>
      </c>
      <c r="D92" s="19" t="s">
        <v>30</v>
      </c>
      <c r="E92" s="19" t="s">
        <v>16</v>
      </c>
      <c r="F92" s="19" t="s">
        <v>49</v>
      </c>
      <c r="G92" s="19" t="s">
        <v>26</v>
      </c>
      <c r="H92" s="19" t="s">
        <v>75</v>
      </c>
      <c r="I92" s="19">
        <v>5</v>
      </c>
      <c r="J92" s="19">
        <v>3911</v>
      </c>
      <c r="K92" s="19">
        <v>26</v>
      </c>
      <c r="L92" s="19">
        <v>14470.7</v>
      </c>
      <c r="M92" s="19">
        <f t="shared" si="3"/>
        <v>4953639.83</v>
      </c>
      <c r="N92" s="20">
        <f t="shared" si="4"/>
        <v>5443.5602527472529</v>
      </c>
      <c r="O92" s="19">
        <f t="shared" si="5"/>
        <v>2617</v>
      </c>
      <c r="P92" s="19" t="str">
        <v>High</v>
      </c>
    </row>
    <row r="93" spans="1:16" x14ac:dyDescent="0.3">
      <c r="A93" s="2" t="s">
        <v>927</v>
      </c>
      <c r="B93" s="2" t="s">
        <v>928</v>
      </c>
      <c r="C93" s="19" t="s">
        <v>39</v>
      </c>
      <c r="D93" s="19" t="s">
        <v>30</v>
      </c>
      <c r="E93" s="19" t="s">
        <v>16</v>
      </c>
      <c r="F93" s="19" t="s">
        <v>32</v>
      </c>
      <c r="G93" s="19" t="s">
        <v>26</v>
      </c>
      <c r="H93" s="19" t="s">
        <v>33</v>
      </c>
      <c r="I93" s="19">
        <v>5</v>
      </c>
      <c r="J93" s="19">
        <v>4006</v>
      </c>
      <c r="K93" s="19">
        <v>28</v>
      </c>
      <c r="L93" s="19">
        <v>14421.6</v>
      </c>
      <c r="M93" s="19">
        <f t="shared" si="3"/>
        <v>4939169.1300000018</v>
      </c>
      <c r="N93" s="20">
        <f t="shared" si="4"/>
        <v>5433.6294059405964</v>
      </c>
      <c r="O93" s="19">
        <f t="shared" si="5"/>
        <v>2612</v>
      </c>
      <c r="P93" s="19" t="str">
        <v>High</v>
      </c>
    </row>
    <row r="94" spans="1:16" x14ac:dyDescent="0.3">
      <c r="A94" s="2" t="s">
        <v>155</v>
      </c>
      <c r="B94" s="2" t="s">
        <v>51</v>
      </c>
      <c r="C94" s="19" t="s">
        <v>29</v>
      </c>
      <c r="D94" s="19" t="s">
        <v>53</v>
      </c>
      <c r="E94" s="19" t="s">
        <v>79</v>
      </c>
      <c r="F94" s="19" t="s">
        <v>17</v>
      </c>
      <c r="G94" s="19" t="s">
        <v>54</v>
      </c>
      <c r="H94" s="19" t="s">
        <v>19</v>
      </c>
      <c r="I94" s="19">
        <v>5</v>
      </c>
      <c r="J94" s="19">
        <v>3092</v>
      </c>
      <c r="K94" s="19">
        <v>7</v>
      </c>
      <c r="L94" s="19">
        <v>14377.8</v>
      </c>
      <c r="M94" s="19">
        <f t="shared" si="3"/>
        <v>4924747.5300000021</v>
      </c>
      <c r="N94" s="20">
        <f t="shared" si="4"/>
        <v>5423.7307599118967</v>
      </c>
      <c r="O94" s="19">
        <f t="shared" si="5"/>
        <v>2607</v>
      </c>
      <c r="P94" s="19" t="str">
        <v>High</v>
      </c>
    </row>
    <row r="95" spans="1:16" x14ac:dyDescent="0.3">
      <c r="A95" s="2" t="s">
        <v>1123</v>
      </c>
      <c r="B95" s="2" t="s">
        <v>243</v>
      </c>
      <c r="C95" s="19" t="s">
        <v>1124</v>
      </c>
      <c r="D95" s="19" t="s">
        <v>30</v>
      </c>
      <c r="E95" s="19" t="s">
        <v>58</v>
      </c>
      <c r="F95" s="19" t="s">
        <v>40</v>
      </c>
      <c r="G95" s="19" t="s">
        <v>26</v>
      </c>
      <c r="H95" s="19" t="s">
        <v>33</v>
      </c>
      <c r="I95" s="19">
        <v>5</v>
      </c>
      <c r="J95" s="19">
        <v>3587</v>
      </c>
      <c r="K95" s="19">
        <v>20</v>
      </c>
      <c r="L95" s="19">
        <v>14348</v>
      </c>
      <c r="M95" s="19">
        <f t="shared" si="3"/>
        <v>4910369.7300000023</v>
      </c>
      <c r="N95" s="20">
        <f t="shared" si="4"/>
        <v>5413.858577728779</v>
      </c>
      <c r="O95" s="19">
        <f t="shared" si="5"/>
        <v>2602</v>
      </c>
      <c r="P95" s="19" t="str">
        <v>High</v>
      </c>
    </row>
    <row r="96" spans="1:16" x14ac:dyDescent="0.3">
      <c r="A96" s="2" t="s">
        <v>1323</v>
      </c>
      <c r="B96" s="2" t="s">
        <v>1324</v>
      </c>
      <c r="C96" s="19" t="s">
        <v>225</v>
      </c>
      <c r="D96" s="19" t="s">
        <v>88</v>
      </c>
      <c r="E96" s="19" t="s">
        <v>58</v>
      </c>
      <c r="F96" s="19" t="s">
        <v>40</v>
      </c>
      <c r="G96" s="19" t="s">
        <v>18</v>
      </c>
      <c r="H96" s="19" t="s">
        <v>75</v>
      </c>
      <c r="I96" s="19">
        <v>4</v>
      </c>
      <c r="J96" s="19">
        <v>3840</v>
      </c>
      <c r="K96" s="19">
        <v>7</v>
      </c>
      <c r="L96" s="19">
        <v>14284.8</v>
      </c>
      <c r="M96" s="19">
        <f t="shared" si="3"/>
        <v>4896021.7300000014</v>
      </c>
      <c r="N96" s="20">
        <f t="shared" si="4"/>
        <v>5403.9974944812375</v>
      </c>
      <c r="O96" s="19">
        <f t="shared" si="5"/>
        <v>2597</v>
      </c>
      <c r="P96" s="19" t="str">
        <v>High</v>
      </c>
    </row>
    <row r="97" spans="1:16" x14ac:dyDescent="0.3">
      <c r="A97" s="2" t="s">
        <v>782</v>
      </c>
      <c r="B97" s="2" t="s">
        <v>482</v>
      </c>
      <c r="C97" s="19" t="s">
        <v>71</v>
      </c>
      <c r="D97" s="19" t="s">
        <v>23</v>
      </c>
      <c r="E97" s="19" t="s">
        <v>31</v>
      </c>
      <c r="F97" s="19" t="s">
        <v>49</v>
      </c>
      <c r="G97" s="19" t="s">
        <v>54</v>
      </c>
      <c r="H97" s="19" t="s">
        <v>19</v>
      </c>
      <c r="I97" s="19">
        <v>5</v>
      </c>
      <c r="J97" s="19">
        <v>4018</v>
      </c>
      <c r="K97" s="19">
        <v>29</v>
      </c>
      <c r="L97" s="19">
        <v>14263.9</v>
      </c>
      <c r="M97" s="19">
        <f t="shared" si="3"/>
        <v>4881736.9300000006</v>
      </c>
      <c r="N97" s="20">
        <f t="shared" si="4"/>
        <v>5394.1844530386743</v>
      </c>
      <c r="O97" s="19">
        <f t="shared" si="5"/>
        <v>2593</v>
      </c>
      <c r="P97" s="19" t="str">
        <v>High</v>
      </c>
    </row>
    <row r="98" spans="1:16" x14ac:dyDescent="0.3">
      <c r="A98" s="2" t="s">
        <v>1322</v>
      </c>
      <c r="B98" s="2" t="s">
        <v>266</v>
      </c>
      <c r="C98" s="19" t="s">
        <v>915</v>
      </c>
      <c r="D98" s="19" t="s">
        <v>15</v>
      </c>
      <c r="E98" s="19" t="s">
        <v>48</v>
      </c>
      <c r="F98" s="19" t="s">
        <v>32</v>
      </c>
      <c r="G98" s="19" t="s">
        <v>54</v>
      </c>
      <c r="H98" s="19" t="s">
        <v>75</v>
      </c>
      <c r="I98" s="19">
        <v>5</v>
      </c>
      <c r="J98" s="19">
        <v>3971</v>
      </c>
      <c r="K98" s="19">
        <v>29</v>
      </c>
      <c r="L98" s="19">
        <v>14097.05</v>
      </c>
      <c r="M98" s="19">
        <f t="shared" si="3"/>
        <v>4867473.03</v>
      </c>
      <c r="N98" s="20">
        <f t="shared" si="4"/>
        <v>5384.3728207964605</v>
      </c>
      <c r="O98" s="19">
        <f t="shared" si="5"/>
        <v>2588</v>
      </c>
      <c r="P98" s="19" t="str">
        <v>High</v>
      </c>
    </row>
    <row r="99" spans="1:16" x14ac:dyDescent="0.3">
      <c r="A99" s="2" t="s">
        <v>1446</v>
      </c>
      <c r="B99" s="2" t="s">
        <v>369</v>
      </c>
      <c r="C99" s="19" t="s">
        <v>22</v>
      </c>
      <c r="D99" s="19" t="s">
        <v>88</v>
      </c>
      <c r="E99" s="19" t="s">
        <v>16</v>
      </c>
      <c r="F99" s="19" t="s">
        <v>32</v>
      </c>
      <c r="G99" s="19" t="s">
        <v>40</v>
      </c>
      <c r="H99" s="19" t="s">
        <v>75</v>
      </c>
      <c r="I99" s="19">
        <v>4</v>
      </c>
      <c r="J99" s="19">
        <v>3595</v>
      </c>
      <c r="K99" s="19">
        <v>2</v>
      </c>
      <c r="L99" s="19">
        <v>14092.4</v>
      </c>
      <c r="M99" s="19">
        <f t="shared" si="3"/>
        <v>4853375.9800000004</v>
      </c>
      <c r="N99" s="20">
        <f t="shared" si="4"/>
        <v>5374.7242303433004</v>
      </c>
      <c r="O99" s="19">
        <f t="shared" si="5"/>
        <v>2583</v>
      </c>
      <c r="P99" s="19" t="str">
        <v>High</v>
      </c>
    </row>
    <row r="100" spans="1:16" x14ac:dyDescent="0.3">
      <c r="A100" s="2" t="s">
        <v>1372</v>
      </c>
      <c r="B100" s="2" t="s">
        <v>1068</v>
      </c>
      <c r="C100" s="19" t="s">
        <v>878</v>
      </c>
      <c r="D100" s="19" t="s">
        <v>30</v>
      </c>
      <c r="E100" s="19" t="s">
        <v>24</v>
      </c>
      <c r="F100" s="19" t="s">
        <v>32</v>
      </c>
      <c r="G100" s="19" t="s">
        <v>40</v>
      </c>
      <c r="H100" s="19" t="s">
        <v>19</v>
      </c>
      <c r="I100" s="19">
        <v>4</v>
      </c>
      <c r="J100" s="19">
        <v>4416</v>
      </c>
      <c r="K100" s="19">
        <v>21</v>
      </c>
      <c r="L100" s="19">
        <v>13954.56</v>
      </c>
      <c r="M100" s="19">
        <f t="shared" si="3"/>
        <v>4839283.58</v>
      </c>
      <c r="N100" s="20">
        <f t="shared" si="4"/>
        <v>5365.0594013303771</v>
      </c>
      <c r="O100" s="19">
        <f t="shared" si="5"/>
        <v>2579</v>
      </c>
      <c r="P100" s="19" t="str">
        <v>High</v>
      </c>
    </row>
    <row r="101" spans="1:16" x14ac:dyDescent="0.3">
      <c r="A101" s="2" t="s">
        <v>969</v>
      </c>
      <c r="B101" s="2" t="s">
        <v>517</v>
      </c>
      <c r="C101" s="19" t="s">
        <v>281</v>
      </c>
      <c r="D101" s="19" t="s">
        <v>15</v>
      </c>
      <c r="E101" s="19" t="s">
        <v>79</v>
      </c>
      <c r="F101" s="19" t="s">
        <v>25</v>
      </c>
      <c r="G101" s="19" t="s">
        <v>26</v>
      </c>
      <c r="H101" s="19" t="s">
        <v>75</v>
      </c>
      <c r="I101" s="19">
        <v>4</v>
      </c>
      <c r="J101" s="19">
        <v>4289</v>
      </c>
      <c r="K101" s="19">
        <v>19</v>
      </c>
      <c r="L101" s="19">
        <v>13896.36</v>
      </c>
      <c r="M101" s="19">
        <f t="shared" si="3"/>
        <v>4825329.0200000005</v>
      </c>
      <c r="N101" s="20">
        <f t="shared" si="4"/>
        <v>5355.5261043285245</v>
      </c>
      <c r="O101" s="19">
        <f t="shared" si="5"/>
        <v>2575</v>
      </c>
      <c r="P101" s="19" t="str">
        <v>High</v>
      </c>
    </row>
    <row r="102" spans="1:16" x14ac:dyDescent="0.3">
      <c r="A102" s="2" t="s">
        <v>1463</v>
      </c>
      <c r="B102" s="2" t="s">
        <v>179</v>
      </c>
      <c r="C102" s="19" t="s">
        <v>838</v>
      </c>
      <c r="D102" s="19" t="s">
        <v>30</v>
      </c>
      <c r="E102" s="19" t="s">
        <v>79</v>
      </c>
      <c r="F102" s="19" t="s">
        <v>49</v>
      </c>
      <c r="G102" s="19" t="s">
        <v>18</v>
      </c>
      <c r="H102" s="19" t="s">
        <v>75</v>
      </c>
      <c r="I102" s="19">
        <v>5</v>
      </c>
      <c r="J102" s="19">
        <v>3386</v>
      </c>
      <c r="K102" s="19">
        <v>18</v>
      </c>
      <c r="L102" s="19">
        <v>13882.6</v>
      </c>
      <c r="M102" s="19">
        <f t="shared" si="3"/>
        <v>4811432.6600000011</v>
      </c>
      <c r="N102" s="20">
        <f t="shared" si="4"/>
        <v>5346.0362888888903</v>
      </c>
      <c r="O102" s="19">
        <f t="shared" si="5"/>
        <v>2571</v>
      </c>
      <c r="P102" s="19" t="str">
        <v>High</v>
      </c>
    </row>
    <row r="103" spans="1:16" x14ac:dyDescent="0.3">
      <c r="A103" s="2" t="s">
        <v>1139</v>
      </c>
      <c r="B103" s="2" t="s">
        <v>205</v>
      </c>
      <c r="C103" s="19" t="s">
        <v>191</v>
      </c>
      <c r="D103" s="19" t="s">
        <v>88</v>
      </c>
      <c r="E103" s="19" t="s">
        <v>48</v>
      </c>
      <c r="F103" s="19" t="s">
        <v>40</v>
      </c>
      <c r="G103" s="19" t="s">
        <v>26</v>
      </c>
      <c r="H103" s="19" t="s">
        <v>19</v>
      </c>
      <c r="I103" s="19">
        <v>5</v>
      </c>
      <c r="J103" s="19">
        <v>3701</v>
      </c>
      <c r="K103" s="19">
        <v>25</v>
      </c>
      <c r="L103" s="19">
        <v>13878.75</v>
      </c>
      <c r="M103" s="19">
        <f t="shared" si="3"/>
        <v>4797550.0600000015</v>
      </c>
      <c r="N103" s="20">
        <f t="shared" si="4"/>
        <v>5336.5406674082333</v>
      </c>
      <c r="O103" s="19">
        <f t="shared" si="5"/>
        <v>2566</v>
      </c>
      <c r="P103" s="19" t="str">
        <v>High</v>
      </c>
    </row>
    <row r="104" spans="1:16" x14ac:dyDescent="0.3">
      <c r="A104" s="2" t="s">
        <v>1631</v>
      </c>
      <c r="B104" s="2" t="s">
        <v>578</v>
      </c>
      <c r="C104" s="19" t="s">
        <v>91</v>
      </c>
      <c r="D104" s="19" t="s">
        <v>15</v>
      </c>
      <c r="E104" s="19" t="s">
        <v>48</v>
      </c>
      <c r="F104" s="19" t="s">
        <v>17</v>
      </c>
      <c r="G104" s="19" t="s">
        <v>40</v>
      </c>
      <c r="H104" s="19" t="s">
        <v>44</v>
      </c>
      <c r="I104" s="19">
        <v>4</v>
      </c>
      <c r="J104" s="19">
        <v>4948</v>
      </c>
      <c r="K104" s="19">
        <v>30</v>
      </c>
      <c r="L104" s="19">
        <v>13854.4</v>
      </c>
      <c r="M104" s="19">
        <f t="shared" si="3"/>
        <v>4783671.3100000015</v>
      </c>
      <c r="N104" s="20">
        <f t="shared" si="4"/>
        <v>5327.0281848552358</v>
      </c>
      <c r="O104" s="19">
        <f t="shared" si="5"/>
        <v>2561</v>
      </c>
      <c r="P104" s="19" t="str">
        <v>High</v>
      </c>
    </row>
    <row r="105" spans="1:16" x14ac:dyDescent="0.3">
      <c r="A105" s="2" t="s">
        <v>1099</v>
      </c>
      <c r="B105" s="2" t="s">
        <v>723</v>
      </c>
      <c r="C105" s="19" t="s">
        <v>117</v>
      </c>
      <c r="D105" s="19" t="s">
        <v>30</v>
      </c>
      <c r="E105" s="19" t="s">
        <v>48</v>
      </c>
      <c r="F105" s="19" t="s">
        <v>17</v>
      </c>
      <c r="G105" s="19" t="s">
        <v>26</v>
      </c>
      <c r="H105" s="19" t="s">
        <v>19</v>
      </c>
      <c r="I105" s="19">
        <v>5</v>
      </c>
      <c r="J105" s="19">
        <v>3412</v>
      </c>
      <c r="K105" s="19">
        <v>19</v>
      </c>
      <c r="L105" s="19">
        <v>13818.6</v>
      </c>
      <c r="M105" s="19">
        <f t="shared" si="3"/>
        <v>4769816.9100000011</v>
      </c>
      <c r="N105" s="20">
        <f t="shared" si="4"/>
        <v>5317.5216387959881</v>
      </c>
      <c r="O105" s="19">
        <f t="shared" si="5"/>
        <v>2557</v>
      </c>
      <c r="P105" s="19" t="str">
        <v>High</v>
      </c>
    </row>
    <row r="106" spans="1:16" x14ac:dyDescent="0.3">
      <c r="A106" s="2" t="s">
        <v>593</v>
      </c>
      <c r="B106" s="2" t="s">
        <v>594</v>
      </c>
      <c r="C106" s="19" t="s">
        <v>360</v>
      </c>
      <c r="D106" s="19" t="s">
        <v>23</v>
      </c>
      <c r="E106" s="19" t="s">
        <v>79</v>
      </c>
      <c r="F106" s="19" t="s">
        <v>40</v>
      </c>
      <c r="G106" s="19" t="s">
        <v>26</v>
      </c>
      <c r="H106" s="19" t="s">
        <v>19</v>
      </c>
      <c r="I106" s="19">
        <v>5</v>
      </c>
      <c r="J106" s="19">
        <v>3677</v>
      </c>
      <c r="K106" s="19">
        <v>25</v>
      </c>
      <c r="L106" s="19">
        <v>13788.75</v>
      </c>
      <c r="M106" s="19">
        <f t="shared" si="3"/>
        <v>4755998.3100000024</v>
      </c>
      <c r="N106" s="20">
        <f t="shared" si="4"/>
        <v>5308.0338281250024</v>
      </c>
      <c r="O106" s="19">
        <f t="shared" si="5"/>
        <v>2552</v>
      </c>
      <c r="P106" s="19" t="str">
        <v>High</v>
      </c>
    </row>
    <row r="107" spans="1:16" x14ac:dyDescent="0.3">
      <c r="A107" s="2" t="s">
        <v>1026</v>
      </c>
      <c r="B107" s="2" t="s">
        <v>1027</v>
      </c>
      <c r="C107" s="19" t="s">
        <v>216</v>
      </c>
      <c r="D107" s="19" t="s">
        <v>23</v>
      </c>
      <c r="E107" s="19" t="s">
        <v>24</v>
      </c>
      <c r="F107" s="19" t="s">
        <v>25</v>
      </c>
      <c r="G107" s="19" t="s">
        <v>54</v>
      </c>
      <c r="H107" s="19" t="s">
        <v>75</v>
      </c>
      <c r="I107" s="19">
        <v>3</v>
      </c>
      <c r="J107" s="19">
        <v>4681</v>
      </c>
      <c r="K107" s="19">
        <v>2</v>
      </c>
      <c r="L107" s="19">
        <v>13762.14</v>
      </c>
      <c r="M107" s="19">
        <f t="shared" si="3"/>
        <v>4742209.5600000015</v>
      </c>
      <c r="N107" s="20">
        <f t="shared" si="4"/>
        <v>5298.5581675977674</v>
      </c>
      <c r="O107" s="19">
        <f t="shared" si="5"/>
        <v>2547</v>
      </c>
      <c r="P107" s="19" t="str">
        <v>High</v>
      </c>
    </row>
    <row r="108" spans="1:16" x14ac:dyDescent="0.3">
      <c r="A108" s="2" t="s">
        <v>1159</v>
      </c>
      <c r="B108" s="2" t="s">
        <v>504</v>
      </c>
      <c r="C108" s="19" t="s">
        <v>729</v>
      </c>
      <c r="D108" s="19" t="s">
        <v>53</v>
      </c>
      <c r="E108" s="19" t="s">
        <v>16</v>
      </c>
      <c r="F108" s="19" t="s">
        <v>40</v>
      </c>
      <c r="G108" s="19" t="s">
        <v>54</v>
      </c>
      <c r="H108" s="19" t="s">
        <v>19</v>
      </c>
      <c r="I108" s="19">
        <v>4</v>
      </c>
      <c r="J108" s="19">
        <v>4839</v>
      </c>
      <c r="K108" s="19">
        <v>29</v>
      </c>
      <c r="L108" s="19">
        <v>13742.76</v>
      </c>
      <c r="M108" s="19">
        <f t="shared" si="3"/>
        <v>4728447.42</v>
      </c>
      <c r="N108" s="20">
        <f t="shared" si="4"/>
        <v>5289.0910738255034</v>
      </c>
      <c r="O108" s="19">
        <f t="shared" si="5"/>
        <v>2544</v>
      </c>
      <c r="P108" s="19" t="str">
        <v>High</v>
      </c>
    </row>
    <row r="109" spans="1:16" x14ac:dyDescent="0.3">
      <c r="A109" s="2" t="s">
        <v>865</v>
      </c>
      <c r="B109" s="2" t="s">
        <v>866</v>
      </c>
      <c r="C109" s="19" t="s">
        <v>441</v>
      </c>
      <c r="D109" s="19" t="s">
        <v>88</v>
      </c>
      <c r="E109" s="19" t="s">
        <v>24</v>
      </c>
      <c r="F109" s="19" t="s">
        <v>32</v>
      </c>
      <c r="G109" s="19" t="s">
        <v>54</v>
      </c>
      <c r="H109" s="19" t="s">
        <v>75</v>
      </c>
      <c r="I109" s="19">
        <v>3</v>
      </c>
      <c r="J109" s="19">
        <v>4766</v>
      </c>
      <c r="K109" s="19">
        <v>4</v>
      </c>
      <c r="L109" s="19">
        <v>13726.08</v>
      </c>
      <c r="M109" s="19">
        <f t="shared" si="3"/>
        <v>4714704.6599999992</v>
      </c>
      <c r="N109" s="20">
        <f t="shared" si="4"/>
        <v>5279.624479283314</v>
      </c>
      <c r="O109" s="19">
        <f t="shared" si="5"/>
        <v>2540</v>
      </c>
      <c r="P109" s="19" t="str">
        <v>High</v>
      </c>
    </row>
    <row r="110" spans="1:16" x14ac:dyDescent="0.3">
      <c r="A110" s="2" t="s">
        <v>20</v>
      </c>
      <c r="B110" s="2" t="s">
        <v>21</v>
      </c>
      <c r="C110" s="19" t="s">
        <v>22</v>
      </c>
      <c r="D110" s="19" t="s">
        <v>23</v>
      </c>
      <c r="E110" s="19" t="s">
        <v>24</v>
      </c>
      <c r="F110" s="19" t="s">
        <v>25</v>
      </c>
      <c r="G110" s="19" t="s">
        <v>26</v>
      </c>
      <c r="H110" s="19" t="s">
        <v>19</v>
      </c>
      <c r="I110" s="19">
        <v>4</v>
      </c>
      <c r="J110" s="19">
        <v>4131</v>
      </c>
      <c r="K110" s="19">
        <v>17</v>
      </c>
      <c r="L110" s="19">
        <v>13714.92</v>
      </c>
      <c r="M110" s="19">
        <f t="shared" si="3"/>
        <v>4700978.5799999991</v>
      </c>
      <c r="N110" s="20">
        <f t="shared" si="4"/>
        <v>5270.1553587443941</v>
      </c>
      <c r="O110" s="19">
        <f t="shared" si="5"/>
        <v>2537</v>
      </c>
      <c r="P110" s="19" t="str">
        <v>High</v>
      </c>
    </row>
    <row r="111" spans="1:16" x14ac:dyDescent="0.3">
      <c r="A111" s="2" t="s">
        <v>1271</v>
      </c>
      <c r="B111" s="2" t="s">
        <v>147</v>
      </c>
      <c r="C111" s="19" t="s">
        <v>276</v>
      </c>
      <c r="D111" s="19" t="s">
        <v>88</v>
      </c>
      <c r="E111" s="19" t="s">
        <v>24</v>
      </c>
      <c r="F111" s="19" t="s">
        <v>49</v>
      </c>
      <c r="G111" s="19" t="s">
        <v>26</v>
      </c>
      <c r="H111" s="19" t="s">
        <v>75</v>
      </c>
      <c r="I111" s="19">
        <v>5</v>
      </c>
      <c r="J111" s="19">
        <v>3597</v>
      </c>
      <c r="K111" s="19">
        <v>24</v>
      </c>
      <c r="L111" s="19">
        <v>13668.6</v>
      </c>
      <c r="M111" s="19">
        <f t="shared" si="3"/>
        <v>4687263.66</v>
      </c>
      <c r="N111" s="20">
        <f t="shared" si="4"/>
        <v>5260.6775084175088</v>
      </c>
      <c r="O111" s="19">
        <f t="shared" si="5"/>
        <v>2533</v>
      </c>
      <c r="P111" s="19" t="str">
        <v>High</v>
      </c>
    </row>
    <row r="112" spans="1:16" x14ac:dyDescent="0.3">
      <c r="A112" s="2" t="s">
        <v>1184</v>
      </c>
      <c r="B112" s="2" t="s">
        <v>687</v>
      </c>
      <c r="C112" s="19" t="s">
        <v>632</v>
      </c>
      <c r="D112" s="19" t="s">
        <v>53</v>
      </c>
      <c r="E112" s="19" t="s">
        <v>48</v>
      </c>
      <c r="F112" s="19" t="s">
        <v>49</v>
      </c>
      <c r="G112" s="19" t="s">
        <v>62</v>
      </c>
      <c r="H112" s="19" t="s">
        <v>19</v>
      </c>
      <c r="I112" s="19">
        <v>4</v>
      </c>
      <c r="J112" s="19">
        <v>3477</v>
      </c>
      <c r="K112" s="19">
        <v>3</v>
      </c>
      <c r="L112" s="19">
        <v>13490.76</v>
      </c>
      <c r="M112" s="19">
        <f t="shared" si="3"/>
        <v>4673595.0599999996</v>
      </c>
      <c r="N112" s="20">
        <f t="shared" si="4"/>
        <v>5251.2304044943812</v>
      </c>
      <c r="O112" s="19">
        <f t="shared" si="5"/>
        <v>2528</v>
      </c>
      <c r="P112" s="19" t="str">
        <v>High</v>
      </c>
    </row>
    <row r="113" spans="1:16" x14ac:dyDescent="0.3">
      <c r="A113" s="2" t="s">
        <v>1078</v>
      </c>
      <c r="B113" s="2" t="s">
        <v>1079</v>
      </c>
      <c r="C113" s="19" t="s">
        <v>1080</v>
      </c>
      <c r="D113" s="19" t="s">
        <v>88</v>
      </c>
      <c r="E113" s="19" t="s">
        <v>24</v>
      </c>
      <c r="F113" s="19" t="s">
        <v>40</v>
      </c>
      <c r="G113" s="19" t="s">
        <v>18</v>
      </c>
      <c r="H113" s="19" t="s">
        <v>44</v>
      </c>
      <c r="I113" s="19">
        <v>5</v>
      </c>
      <c r="J113" s="19">
        <v>3365</v>
      </c>
      <c r="K113" s="19">
        <v>20</v>
      </c>
      <c r="L113" s="19">
        <v>13460</v>
      </c>
      <c r="M113" s="19">
        <f t="shared" si="3"/>
        <v>4660104.3</v>
      </c>
      <c r="N113" s="20">
        <f t="shared" si="4"/>
        <v>5241.9620922384702</v>
      </c>
      <c r="O113" s="19">
        <f t="shared" si="5"/>
        <v>2524</v>
      </c>
      <c r="P113" s="19" t="str">
        <v>High</v>
      </c>
    </row>
    <row r="114" spans="1:16" x14ac:dyDescent="0.3">
      <c r="A114" s="2" t="s">
        <v>867</v>
      </c>
      <c r="B114" s="2" t="s">
        <v>257</v>
      </c>
      <c r="C114" s="19" t="s">
        <v>194</v>
      </c>
      <c r="D114" s="19" t="s">
        <v>15</v>
      </c>
      <c r="E114" s="19" t="s">
        <v>79</v>
      </c>
      <c r="F114" s="19" t="s">
        <v>25</v>
      </c>
      <c r="G114" s="19" t="s">
        <v>54</v>
      </c>
      <c r="H114" s="19" t="s">
        <v>75</v>
      </c>
      <c r="I114" s="19">
        <v>5</v>
      </c>
      <c r="J114" s="19">
        <v>3682</v>
      </c>
      <c r="K114" s="19">
        <v>27</v>
      </c>
      <c r="L114" s="19">
        <v>13439.3</v>
      </c>
      <c r="M114" s="19">
        <f t="shared" si="3"/>
        <v>4646644.3</v>
      </c>
      <c r="N114" s="20">
        <f t="shared" si="4"/>
        <v>5232.7075450450448</v>
      </c>
      <c r="O114" s="19">
        <f t="shared" si="5"/>
        <v>2519</v>
      </c>
      <c r="P114" s="19" t="str">
        <v>High</v>
      </c>
    </row>
    <row r="115" spans="1:16" x14ac:dyDescent="0.3">
      <c r="A115" s="2" t="s">
        <v>1141</v>
      </c>
      <c r="B115" s="2" t="s">
        <v>467</v>
      </c>
      <c r="C115" s="19" t="s">
        <v>590</v>
      </c>
      <c r="D115" s="19" t="s">
        <v>15</v>
      </c>
      <c r="E115" s="19" t="s">
        <v>16</v>
      </c>
      <c r="F115" s="19" t="s">
        <v>49</v>
      </c>
      <c r="G115" s="19" t="s">
        <v>54</v>
      </c>
      <c r="H115" s="19" t="s">
        <v>19</v>
      </c>
      <c r="I115" s="19">
        <v>4</v>
      </c>
      <c r="J115" s="19">
        <v>3733</v>
      </c>
      <c r="K115" s="19">
        <v>10</v>
      </c>
      <c r="L115" s="19">
        <v>13438.8</v>
      </c>
      <c r="M115" s="19">
        <f t="shared" si="3"/>
        <v>4633205</v>
      </c>
      <c r="N115" s="20">
        <f t="shared" si="4"/>
        <v>5223.455467869222</v>
      </c>
      <c r="O115" s="19">
        <f t="shared" si="5"/>
        <v>2514</v>
      </c>
      <c r="P115" s="19" t="str">
        <v>High</v>
      </c>
    </row>
    <row r="116" spans="1:16" x14ac:dyDescent="0.3">
      <c r="A116" s="2" t="s">
        <v>1210</v>
      </c>
      <c r="B116" s="2" t="s">
        <v>1211</v>
      </c>
      <c r="C116" s="19" t="s">
        <v>942</v>
      </c>
      <c r="D116" s="19" t="s">
        <v>15</v>
      </c>
      <c r="E116" s="19" t="s">
        <v>16</v>
      </c>
      <c r="F116" s="19" t="s">
        <v>49</v>
      </c>
      <c r="G116" s="19" t="s">
        <v>62</v>
      </c>
      <c r="H116" s="19" t="s">
        <v>44</v>
      </c>
      <c r="I116" s="19">
        <v>4</v>
      </c>
      <c r="J116" s="19">
        <v>3860</v>
      </c>
      <c r="K116" s="19">
        <v>13</v>
      </c>
      <c r="L116" s="19">
        <v>13432.8</v>
      </c>
      <c r="M116" s="19">
        <f t="shared" si="3"/>
        <v>4619766.2</v>
      </c>
      <c r="N116" s="20">
        <f t="shared" si="4"/>
        <v>5214.1830699774273</v>
      </c>
      <c r="O116" s="19">
        <f t="shared" si="5"/>
        <v>2510</v>
      </c>
      <c r="P116" s="19" t="str">
        <v>High</v>
      </c>
    </row>
    <row r="117" spans="1:16" x14ac:dyDescent="0.3">
      <c r="A117" s="2" t="s">
        <v>122</v>
      </c>
      <c r="B117" s="2" t="s">
        <v>123</v>
      </c>
      <c r="C117" s="19" t="s">
        <v>124</v>
      </c>
      <c r="D117" s="19" t="s">
        <v>15</v>
      </c>
      <c r="E117" s="19" t="s">
        <v>79</v>
      </c>
      <c r="F117" s="19" t="s">
        <v>32</v>
      </c>
      <c r="G117" s="19" t="s">
        <v>62</v>
      </c>
      <c r="H117" s="19" t="s">
        <v>33</v>
      </c>
      <c r="I117" s="19">
        <v>4</v>
      </c>
      <c r="J117" s="19">
        <v>4358</v>
      </c>
      <c r="K117" s="19">
        <v>23</v>
      </c>
      <c r="L117" s="19">
        <v>13422.64</v>
      </c>
      <c r="M117" s="19">
        <f t="shared" si="3"/>
        <v>4606333.4000000022</v>
      </c>
      <c r="N117" s="20">
        <f t="shared" si="4"/>
        <v>5204.8964971751438</v>
      </c>
      <c r="O117" s="19">
        <f t="shared" si="5"/>
        <v>2506</v>
      </c>
      <c r="P117" s="19" t="str">
        <v>High</v>
      </c>
    </row>
    <row r="118" spans="1:16" x14ac:dyDescent="0.3">
      <c r="A118" s="2" t="s">
        <v>1518</v>
      </c>
      <c r="B118" s="2" t="s">
        <v>458</v>
      </c>
      <c r="C118" s="19" t="s">
        <v>705</v>
      </c>
      <c r="D118" s="19" t="s">
        <v>53</v>
      </c>
      <c r="E118" s="19" t="s">
        <v>31</v>
      </c>
      <c r="F118" s="19" t="s">
        <v>32</v>
      </c>
      <c r="G118" s="19" t="s">
        <v>62</v>
      </c>
      <c r="H118" s="19" t="s">
        <v>75</v>
      </c>
      <c r="I118" s="19">
        <v>4</v>
      </c>
      <c r="J118" s="19">
        <v>3993</v>
      </c>
      <c r="K118" s="19">
        <v>16</v>
      </c>
      <c r="L118" s="19">
        <v>13416.48</v>
      </c>
      <c r="M118" s="19">
        <f t="shared" si="3"/>
        <v>4592910.7600000016</v>
      </c>
      <c r="N118" s="20">
        <f t="shared" si="4"/>
        <v>5195.6004072398209</v>
      </c>
      <c r="O118" s="19">
        <f t="shared" si="5"/>
        <v>2502</v>
      </c>
      <c r="P118" s="19" t="str">
        <v>High</v>
      </c>
    </row>
    <row r="119" spans="1:16" x14ac:dyDescent="0.3">
      <c r="A119" s="2" t="s">
        <v>600</v>
      </c>
      <c r="B119" s="2" t="s">
        <v>218</v>
      </c>
      <c r="C119" s="19" t="s">
        <v>230</v>
      </c>
      <c r="D119" s="19" t="s">
        <v>30</v>
      </c>
      <c r="E119" s="19" t="s">
        <v>31</v>
      </c>
      <c r="F119" s="19" t="s">
        <v>40</v>
      </c>
      <c r="G119" s="19" t="s">
        <v>54</v>
      </c>
      <c r="H119" s="19" t="s">
        <v>19</v>
      </c>
      <c r="I119" s="19">
        <v>4</v>
      </c>
      <c r="J119" s="19">
        <v>4288</v>
      </c>
      <c r="K119" s="19">
        <v>22</v>
      </c>
      <c r="L119" s="19">
        <v>13378.56</v>
      </c>
      <c r="M119" s="19">
        <f t="shared" si="3"/>
        <v>4579494.2800000021</v>
      </c>
      <c r="N119" s="20">
        <f t="shared" si="4"/>
        <v>5186.2902378255967</v>
      </c>
      <c r="O119" s="19">
        <f t="shared" si="5"/>
        <v>2498</v>
      </c>
      <c r="P119" s="19" t="str">
        <v>High</v>
      </c>
    </row>
    <row r="120" spans="1:16" x14ac:dyDescent="0.3">
      <c r="A120" s="2" t="s">
        <v>1147</v>
      </c>
      <c r="B120" s="2" t="s">
        <v>769</v>
      </c>
      <c r="C120" s="19" t="s">
        <v>451</v>
      </c>
      <c r="D120" s="19" t="s">
        <v>30</v>
      </c>
      <c r="E120" s="19" t="s">
        <v>16</v>
      </c>
      <c r="F120" s="19" t="s">
        <v>49</v>
      </c>
      <c r="G120" s="19" t="s">
        <v>40</v>
      </c>
      <c r="H120" s="19" t="s">
        <v>33</v>
      </c>
      <c r="I120" s="19">
        <v>5</v>
      </c>
      <c r="J120" s="19">
        <v>3427</v>
      </c>
      <c r="K120" s="19">
        <v>22</v>
      </c>
      <c r="L120" s="19">
        <v>13365.3</v>
      </c>
      <c r="M120" s="19">
        <f t="shared" si="3"/>
        <v>4566115.7200000016</v>
      </c>
      <c r="N120" s="20">
        <f t="shared" si="4"/>
        <v>5177.0019501133802</v>
      </c>
      <c r="O120" s="19">
        <f t="shared" si="5"/>
        <v>2494</v>
      </c>
      <c r="P120" s="19" t="str">
        <v>High</v>
      </c>
    </row>
    <row r="121" spans="1:16" x14ac:dyDescent="0.3">
      <c r="A121" s="2" t="s">
        <v>1526</v>
      </c>
      <c r="B121" s="2" t="s">
        <v>482</v>
      </c>
      <c r="C121" s="19" t="s">
        <v>1243</v>
      </c>
      <c r="D121" s="19" t="s">
        <v>30</v>
      </c>
      <c r="E121" s="19" t="s">
        <v>24</v>
      </c>
      <c r="F121" s="19" t="s">
        <v>17</v>
      </c>
      <c r="G121" s="19" t="s">
        <v>18</v>
      </c>
      <c r="H121" s="19" t="s">
        <v>44</v>
      </c>
      <c r="I121" s="19">
        <v>4</v>
      </c>
      <c r="J121" s="19">
        <v>3839</v>
      </c>
      <c r="K121" s="19">
        <v>13</v>
      </c>
      <c r="L121" s="19">
        <v>13359.72</v>
      </c>
      <c r="M121" s="19">
        <f t="shared" si="3"/>
        <v>4552750.4200000009</v>
      </c>
      <c r="N121" s="20">
        <f t="shared" si="4"/>
        <v>5167.7076276958014</v>
      </c>
      <c r="O121" s="19">
        <f t="shared" si="5"/>
        <v>2489</v>
      </c>
      <c r="P121" s="19" t="str">
        <v>High</v>
      </c>
    </row>
    <row r="122" spans="1:16" x14ac:dyDescent="0.3">
      <c r="A122" s="2" t="s">
        <v>1582</v>
      </c>
      <c r="B122" s="2" t="s">
        <v>687</v>
      </c>
      <c r="C122" s="19" t="s">
        <v>409</v>
      </c>
      <c r="D122" s="19" t="s">
        <v>15</v>
      </c>
      <c r="E122" s="19" t="s">
        <v>79</v>
      </c>
      <c r="F122" s="19" t="s">
        <v>40</v>
      </c>
      <c r="G122" s="19" t="s">
        <v>62</v>
      </c>
      <c r="H122" s="19" t="s">
        <v>19</v>
      </c>
      <c r="I122" s="19">
        <v>4</v>
      </c>
      <c r="J122" s="19">
        <v>4314</v>
      </c>
      <c r="K122" s="19">
        <v>23</v>
      </c>
      <c r="L122" s="19">
        <v>13287.12</v>
      </c>
      <c r="M122" s="19">
        <f t="shared" si="3"/>
        <v>4539390.7000000011</v>
      </c>
      <c r="N122" s="20">
        <f t="shared" si="4"/>
        <v>5158.3985227272742</v>
      </c>
      <c r="O122" s="19">
        <f t="shared" si="5"/>
        <v>2485</v>
      </c>
      <c r="P122" s="19" t="str">
        <v>High</v>
      </c>
    </row>
    <row r="123" spans="1:16" x14ac:dyDescent="0.3">
      <c r="A123" s="2" t="s">
        <v>41</v>
      </c>
      <c r="B123" s="2" t="s">
        <v>42</v>
      </c>
      <c r="C123" s="19" t="s">
        <v>43</v>
      </c>
      <c r="D123" s="19" t="s">
        <v>15</v>
      </c>
      <c r="E123" s="19" t="s">
        <v>16</v>
      </c>
      <c r="F123" s="19" t="s">
        <v>25</v>
      </c>
      <c r="G123" s="19" t="s">
        <v>40</v>
      </c>
      <c r="H123" s="19" t="s">
        <v>44</v>
      </c>
      <c r="I123" s="19">
        <v>4</v>
      </c>
      <c r="J123" s="19">
        <v>3862</v>
      </c>
      <c r="K123" s="19">
        <v>14</v>
      </c>
      <c r="L123" s="19">
        <v>13285.28</v>
      </c>
      <c r="M123" s="19">
        <f t="shared" si="3"/>
        <v>4526103.580000001</v>
      </c>
      <c r="N123" s="20">
        <f t="shared" si="4"/>
        <v>5149.1508304891931</v>
      </c>
      <c r="O123" s="19">
        <f t="shared" si="5"/>
        <v>2481</v>
      </c>
      <c r="P123" s="19" t="str">
        <v>High</v>
      </c>
    </row>
    <row r="124" spans="1:16" x14ac:dyDescent="0.3">
      <c r="A124" s="2" t="s">
        <v>1536</v>
      </c>
      <c r="B124" s="2" t="s">
        <v>1482</v>
      </c>
      <c r="C124" s="19" t="s">
        <v>748</v>
      </c>
      <c r="D124" s="19" t="s">
        <v>23</v>
      </c>
      <c r="E124" s="19" t="s">
        <v>79</v>
      </c>
      <c r="F124" s="19" t="s">
        <v>25</v>
      </c>
      <c r="G124" s="19" t="s">
        <v>62</v>
      </c>
      <c r="H124" s="19" t="s">
        <v>19</v>
      </c>
      <c r="I124" s="19">
        <v>5</v>
      </c>
      <c r="J124" s="19">
        <v>3280</v>
      </c>
      <c r="K124" s="19">
        <v>19</v>
      </c>
      <c r="L124" s="19">
        <v>13284</v>
      </c>
      <c r="M124" s="19">
        <f t="shared" si="3"/>
        <v>4512818.3000000007</v>
      </c>
      <c r="N124" s="20">
        <f t="shared" si="4"/>
        <v>5139.8841685649213</v>
      </c>
      <c r="O124" s="19">
        <f t="shared" si="5"/>
        <v>2477</v>
      </c>
      <c r="P124" s="19" t="str">
        <v>High</v>
      </c>
    </row>
    <row r="125" spans="1:16" x14ac:dyDescent="0.3">
      <c r="A125" s="2" t="s">
        <v>1166</v>
      </c>
      <c r="B125" s="2" t="s">
        <v>681</v>
      </c>
      <c r="C125" s="19" t="s">
        <v>416</v>
      </c>
      <c r="D125" s="19" t="s">
        <v>88</v>
      </c>
      <c r="E125" s="19" t="s">
        <v>31</v>
      </c>
      <c r="F125" s="19" t="s">
        <v>25</v>
      </c>
      <c r="G125" s="19" t="s">
        <v>26</v>
      </c>
      <c r="H125" s="19" t="s">
        <v>75</v>
      </c>
      <c r="I125" s="19">
        <v>3</v>
      </c>
      <c r="J125" s="19">
        <v>4418</v>
      </c>
      <c r="K125" s="19">
        <v>0</v>
      </c>
      <c r="L125" s="19">
        <v>13254</v>
      </c>
      <c r="M125" s="19">
        <f t="shared" si="3"/>
        <v>4499534.3000000017</v>
      </c>
      <c r="N125" s="20">
        <f t="shared" si="4"/>
        <v>5130.5978335233767</v>
      </c>
      <c r="O125" s="19">
        <f t="shared" si="5"/>
        <v>2472</v>
      </c>
      <c r="P125" s="19" t="str">
        <v>High</v>
      </c>
    </row>
    <row r="126" spans="1:16" x14ac:dyDescent="0.3">
      <c r="A126" s="2" t="s">
        <v>1461</v>
      </c>
      <c r="B126" s="2" t="s">
        <v>662</v>
      </c>
      <c r="C126" s="19" t="s">
        <v>670</v>
      </c>
      <c r="D126" s="19" t="s">
        <v>88</v>
      </c>
      <c r="E126" s="19" t="s">
        <v>48</v>
      </c>
      <c r="F126" s="19" t="s">
        <v>49</v>
      </c>
      <c r="G126" s="19" t="s">
        <v>54</v>
      </c>
      <c r="H126" s="19" t="s">
        <v>19</v>
      </c>
      <c r="I126" s="19">
        <v>4</v>
      </c>
      <c r="J126" s="19">
        <v>3474</v>
      </c>
      <c r="K126" s="19">
        <v>5</v>
      </c>
      <c r="L126" s="19">
        <v>13201.2</v>
      </c>
      <c r="M126" s="19">
        <f t="shared" si="3"/>
        <v>4486280.3000000026</v>
      </c>
      <c r="N126" s="20">
        <f t="shared" si="4"/>
        <v>5121.324543378998</v>
      </c>
      <c r="O126" s="19">
        <f t="shared" si="5"/>
        <v>2469</v>
      </c>
      <c r="P126" s="19" t="str">
        <v>High</v>
      </c>
    </row>
    <row r="127" spans="1:16" x14ac:dyDescent="0.3">
      <c r="A127" s="2" t="s">
        <v>691</v>
      </c>
      <c r="B127" s="2" t="s">
        <v>213</v>
      </c>
      <c r="C127" s="19" t="s">
        <v>692</v>
      </c>
      <c r="D127" s="19" t="s">
        <v>15</v>
      </c>
      <c r="E127" s="19" t="s">
        <v>24</v>
      </c>
      <c r="F127" s="19" t="s">
        <v>32</v>
      </c>
      <c r="G127" s="19" t="s">
        <v>40</v>
      </c>
      <c r="H127" s="19" t="s">
        <v>75</v>
      </c>
      <c r="I127" s="19">
        <v>4</v>
      </c>
      <c r="J127" s="19">
        <v>4115</v>
      </c>
      <c r="K127" s="19">
        <v>20</v>
      </c>
      <c r="L127" s="19">
        <v>13168</v>
      </c>
      <c r="M127" s="19">
        <f t="shared" si="3"/>
        <v>4473079.1000000024</v>
      </c>
      <c r="N127" s="20">
        <f t="shared" si="4"/>
        <v>5112.0904000000028</v>
      </c>
      <c r="O127" s="19">
        <f t="shared" si="5"/>
        <v>2465</v>
      </c>
      <c r="P127" s="19" t="str">
        <v>High</v>
      </c>
    </row>
    <row r="128" spans="1:16" x14ac:dyDescent="0.3">
      <c r="A128" s="2" t="s">
        <v>761</v>
      </c>
      <c r="B128" s="2" t="s">
        <v>575</v>
      </c>
      <c r="C128" s="19" t="s">
        <v>758</v>
      </c>
      <c r="D128" s="19" t="s">
        <v>30</v>
      </c>
      <c r="E128" s="19" t="s">
        <v>16</v>
      </c>
      <c r="F128" s="19" t="s">
        <v>17</v>
      </c>
      <c r="G128" s="19" t="s">
        <v>62</v>
      </c>
      <c r="H128" s="19" t="s">
        <v>75</v>
      </c>
      <c r="I128" s="19">
        <v>3</v>
      </c>
      <c r="J128" s="19">
        <v>4383</v>
      </c>
      <c r="K128" s="19">
        <v>0</v>
      </c>
      <c r="L128" s="19">
        <v>13149</v>
      </c>
      <c r="M128" s="19">
        <f t="shared" si="3"/>
        <v>4459911.1000000015</v>
      </c>
      <c r="N128" s="20">
        <f t="shared" si="4"/>
        <v>5102.873112128148</v>
      </c>
      <c r="O128" s="19">
        <f t="shared" si="5"/>
        <v>2461</v>
      </c>
      <c r="P128" s="19" t="str">
        <v>High</v>
      </c>
    </row>
    <row r="129" spans="1:16" x14ac:dyDescent="0.3">
      <c r="A129" s="2" t="s">
        <v>933</v>
      </c>
      <c r="B129" s="2" t="s">
        <v>64</v>
      </c>
      <c r="C129" s="19" t="s">
        <v>913</v>
      </c>
      <c r="D129" s="19" t="s">
        <v>88</v>
      </c>
      <c r="E129" s="19" t="s">
        <v>24</v>
      </c>
      <c r="F129" s="19" t="s">
        <v>32</v>
      </c>
      <c r="G129" s="19" t="s">
        <v>26</v>
      </c>
      <c r="H129" s="19" t="s">
        <v>44</v>
      </c>
      <c r="I129" s="19">
        <v>4</v>
      </c>
      <c r="J129" s="19">
        <v>4675</v>
      </c>
      <c r="K129" s="19">
        <v>30</v>
      </c>
      <c r="L129" s="19">
        <v>13090</v>
      </c>
      <c r="M129" s="19">
        <f t="shared" si="3"/>
        <v>4446762.1000000006</v>
      </c>
      <c r="N129" s="20">
        <f t="shared" si="4"/>
        <v>5093.6564719358539</v>
      </c>
      <c r="O129" s="19">
        <f t="shared" si="5"/>
        <v>2458</v>
      </c>
      <c r="P129" s="19" t="str">
        <v>High</v>
      </c>
    </row>
    <row r="130" spans="1:16" x14ac:dyDescent="0.3">
      <c r="A130" s="2" t="s">
        <v>1006</v>
      </c>
      <c r="B130" s="2" t="s">
        <v>341</v>
      </c>
      <c r="C130" s="19" t="s">
        <v>515</v>
      </c>
      <c r="D130" s="19" t="s">
        <v>88</v>
      </c>
      <c r="E130" s="19" t="s">
        <v>24</v>
      </c>
      <c r="F130" s="19" t="s">
        <v>17</v>
      </c>
      <c r="G130" s="19" t="s">
        <v>18</v>
      </c>
      <c r="H130" s="19" t="s">
        <v>44</v>
      </c>
      <c r="I130" s="19">
        <v>3</v>
      </c>
      <c r="J130" s="19">
        <v>4845</v>
      </c>
      <c r="K130" s="19">
        <v>10</v>
      </c>
      <c r="L130" s="19">
        <v>13081.5</v>
      </c>
      <c r="M130" s="19">
        <f t="shared" ref="M130:M193" si="6">SUM(L130:L1129)</f>
        <v>4433672.1000000006</v>
      </c>
      <c r="N130" s="20">
        <f t="shared" ref="N130:N193" si="7">AVERAGE(L130:L1129)</f>
        <v>5084.4863532110094</v>
      </c>
      <c r="O130" s="19">
        <f t="shared" ref="O130:O193" si="8">SUM(I130:I1129)</f>
        <v>2454</v>
      </c>
      <c r="P130" s="19" t="str">
        <v>High</v>
      </c>
    </row>
    <row r="131" spans="1:16" x14ac:dyDescent="0.3">
      <c r="A131" s="2" t="s">
        <v>170</v>
      </c>
      <c r="B131" s="2" t="s">
        <v>171</v>
      </c>
      <c r="C131" s="19" t="s">
        <v>172</v>
      </c>
      <c r="D131" s="19" t="s">
        <v>15</v>
      </c>
      <c r="E131" s="19" t="s">
        <v>48</v>
      </c>
      <c r="F131" s="19" t="s">
        <v>25</v>
      </c>
      <c r="G131" s="19" t="s">
        <v>54</v>
      </c>
      <c r="H131" s="19" t="s">
        <v>44</v>
      </c>
      <c r="I131" s="19">
        <v>5</v>
      </c>
      <c r="J131" s="19">
        <v>3392</v>
      </c>
      <c r="K131" s="19">
        <v>23</v>
      </c>
      <c r="L131" s="19">
        <v>13059.2</v>
      </c>
      <c r="M131" s="19">
        <f t="shared" si="6"/>
        <v>4420590.5999999996</v>
      </c>
      <c r="N131" s="20">
        <f t="shared" si="7"/>
        <v>5075.3049368541906</v>
      </c>
      <c r="O131" s="19">
        <f t="shared" si="8"/>
        <v>2451</v>
      </c>
      <c r="P131" s="19" t="str">
        <v>High</v>
      </c>
    </row>
    <row r="132" spans="1:16" x14ac:dyDescent="0.3">
      <c r="A132" s="2" t="s">
        <v>1495</v>
      </c>
      <c r="B132" s="2" t="s">
        <v>1153</v>
      </c>
      <c r="C132" s="19" t="s">
        <v>36</v>
      </c>
      <c r="D132" s="19" t="s">
        <v>23</v>
      </c>
      <c r="E132" s="19" t="s">
        <v>16</v>
      </c>
      <c r="F132" s="19" t="s">
        <v>40</v>
      </c>
      <c r="G132" s="19" t="s">
        <v>40</v>
      </c>
      <c r="H132" s="19" t="s">
        <v>44</v>
      </c>
      <c r="I132" s="19">
        <v>4</v>
      </c>
      <c r="J132" s="19">
        <v>3428</v>
      </c>
      <c r="K132" s="19">
        <v>5</v>
      </c>
      <c r="L132" s="19">
        <v>13026.4</v>
      </c>
      <c r="M132" s="19">
        <f t="shared" si="6"/>
        <v>4407531.3999999985</v>
      </c>
      <c r="N132" s="20">
        <f t="shared" si="7"/>
        <v>5066.1280459770096</v>
      </c>
      <c r="O132" s="19">
        <f t="shared" si="8"/>
        <v>2446</v>
      </c>
      <c r="P132" s="19" t="str">
        <v>High</v>
      </c>
    </row>
    <row r="133" spans="1:16" x14ac:dyDescent="0.3">
      <c r="A133" s="2" t="s">
        <v>688</v>
      </c>
      <c r="B133" s="2" t="s">
        <v>687</v>
      </c>
      <c r="C133" s="19" t="s">
        <v>552</v>
      </c>
      <c r="D133" s="19" t="s">
        <v>15</v>
      </c>
      <c r="E133" s="19" t="s">
        <v>68</v>
      </c>
      <c r="F133" s="19" t="s">
        <v>32</v>
      </c>
      <c r="G133" s="19" t="s">
        <v>62</v>
      </c>
      <c r="H133" s="19" t="s">
        <v>75</v>
      </c>
      <c r="I133" s="19">
        <v>5</v>
      </c>
      <c r="J133" s="19">
        <v>2712</v>
      </c>
      <c r="K133" s="19">
        <v>4</v>
      </c>
      <c r="L133" s="19">
        <v>13017.6</v>
      </c>
      <c r="M133" s="19">
        <f t="shared" si="6"/>
        <v>4394504.9999999991</v>
      </c>
      <c r="N133" s="20">
        <f t="shared" si="7"/>
        <v>5056.9677790563856</v>
      </c>
      <c r="O133" s="19">
        <f t="shared" si="8"/>
        <v>2442</v>
      </c>
      <c r="P133" s="19" t="str">
        <v>High</v>
      </c>
    </row>
    <row r="134" spans="1:16" x14ac:dyDescent="0.3">
      <c r="A134" s="2" t="s">
        <v>911</v>
      </c>
      <c r="B134" s="2" t="s">
        <v>73</v>
      </c>
      <c r="C134" s="19" t="s">
        <v>342</v>
      </c>
      <c r="D134" s="19" t="s">
        <v>15</v>
      </c>
      <c r="E134" s="19" t="s">
        <v>31</v>
      </c>
      <c r="F134" s="19" t="s">
        <v>40</v>
      </c>
      <c r="G134" s="19" t="s">
        <v>18</v>
      </c>
      <c r="H134" s="19" t="s">
        <v>44</v>
      </c>
      <c r="I134" s="19">
        <v>5</v>
      </c>
      <c r="J134" s="19">
        <v>2950</v>
      </c>
      <c r="K134" s="19">
        <v>12</v>
      </c>
      <c r="L134" s="19">
        <v>12980</v>
      </c>
      <c r="M134" s="19">
        <f t="shared" si="6"/>
        <v>4381487.4000000004</v>
      </c>
      <c r="N134" s="20">
        <f t="shared" si="7"/>
        <v>5047.7965437788025</v>
      </c>
      <c r="O134" s="19">
        <f t="shared" si="8"/>
        <v>2437</v>
      </c>
      <c r="P134" s="19" t="str">
        <v>High</v>
      </c>
    </row>
    <row r="135" spans="1:16" x14ac:dyDescent="0.3">
      <c r="A135" s="2" t="s">
        <v>27</v>
      </c>
      <c r="B135" s="2" t="s">
        <v>28</v>
      </c>
      <c r="C135" s="19" t="s">
        <v>29</v>
      </c>
      <c r="D135" s="19" t="s">
        <v>30</v>
      </c>
      <c r="E135" s="19" t="s">
        <v>31</v>
      </c>
      <c r="F135" s="19" t="s">
        <v>32</v>
      </c>
      <c r="G135" s="19" t="s">
        <v>18</v>
      </c>
      <c r="H135" s="19" t="s">
        <v>33</v>
      </c>
      <c r="I135" s="19">
        <v>5</v>
      </c>
      <c r="J135" s="19">
        <v>2621</v>
      </c>
      <c r="K135" s="19">
        <v>1</v>
      </c>
      <c r="L135" s="19">
        <v>12973.95</v>
      </c>
      <c r="M135" s="19">
        <f t="shared" si="6"/>
        <v>4368507.4000000013</v>
      </c>
      <c r="N135" s="20">
        <f t="shared" si="7"/>
        <v>5038.647520184546</v>
      </c>
      <c r="O135" s="19">
        <f t="shared" si="8"/>
        <v>2432</v>
      </c>
      <c r="P135" s="19" t="str">
        <v>High</v>
      </c>
    </row>
    <row r="136" spans="1:16" x14ac:dyDescent="0.3">
      <c r="A136" s="2" t="s">
        <v>1448</v>
      </c>
      <c r="B136" s="2" t="s">
        <v>1449</v>
      </c>
      <c r="C136" s="19" t="s">
        <v>428</v>
      </c>
      <c r="D136" s="19" t="s">
        <v>53</v>
      </c>
      <c r="E136" s="19" t="s">
        <v>68</v>
      </c>
      <c r="F136" s="19" t="s">
        <v>32</v>
      </c>
      <c r="G136" s="19" t="s">
        <v>62</v>
      </c>
      <c r="H136" s="19" t="s">
        <v>75</v>
      </c>
      <c r="I136" s="19">
        <v>5</v>
      </c>
      <c r="J136" s="19">
        <v>3277</v>
      </c>
      <c r="K136" s="19">
        <v>21</v>
      </c>
      <c r="L136" s="19">
        <v>12944.15</v>
      </c>
      <c r="M136" s="19">
        <f t="shared" si="6"/>
        <v>4355533.450000002</v>
      </c>
      <c r="N136" s="20">
        <f t="shared" si="7"/>
        <v>5029.4843533487319</v>
      </c>
      <c r="O136" s="19">
        <f t="shared" si="8"/>
        <v>2427</v>
      </c>
      <c r="P136" s="19" t="str">
        <v>High</v>
      </c>
    </row>
    <row r="137" spans="1:16" x14ac:dyDescent="0.3">
      <c r="A137" s="2" t="s">
        <v>1009</v>
      </c>
      <c r="B137" s="2" t="s">
        <v>871</v>
      </c>
      <c r="C137" s="19" t="s">
        <v>94</v>
      </c>
      <c r="D137" s="19" t="s">
        <v>30</v>
      </c>
      <c r="E137" s="19" t="s">
        <v>48</v>
      </c>
      <c r="F137" s="19" t="s">
        <v>32</v>
      </c>
      <c r="G137" s="19" t="s">
        <v>62</v>
      </c>
      <c r="H137" s="19" t="s">
        <v>75</v>
      </c>
      <c r="I137" s="19">
        <v>5</v>
      </c>
      <c r="J137" s="19">
        <v>2869</v>
      </c>
      <c r="K137" s="19">
        <v>10</v>
      </c>
      <c r="L137" s="19">
        <v>12910.5</v>
      </c>
      <c r="M137" s="19">
        <f t="shared" si="6"/>
        <v>4342589.3000000017</v>
      </c>
      <c r="N137" s="20">
        <f t="shared" si="7"/>
        <v>5020.3344508670543</v>
      </c>
      <c r="O137" s="19">
        <f t="shared" si="8"/>
        <v>2422</v>
      </c>
      <c r="P137" s="19" t="str">
        <v>High</v>
      </c>
    </row>
    <row r="138" spans="1:16" x14ac:dyDescent="0.3">
      <c r="A138" s="2" t="s">
        <v>611</v>
      </c>
      <c r="B138" s="2" t="s">
        <v>113</v>
      </c>
      <c r="C138" s="19" t="s">
        <v>276</v>
      </c>
      <c r="D138" s="19" t="s">
        <v>15</v>
      </c>
      <c r="E138" s="19" t="s">
        <v>58</v>
      </c>
      <c r="F138" s="19" t="s">
        <v>40</v>
      </c>
      <c r="G138" s="19" t="s">
        <v>54</v>
      </c>
      <c r="H138" s="19" t="s">
        <v>19</v>
      </c>
      <c r="I138" s="19">
        <v>3</v>
      </c>
      <c r="J138" s="19">
        <v>4741</v>
      </c>
      <c r="K138" s="19">
        <v>10</v>
      </c>
      <c r="L138" s="19">
        <v>12800.7</v>
      </c>
      <c r="M138" s="19">
        <f t="shared" si="6"/>
        <v>4329678.8000000007</v>
      </c>
      <c r="N138" s="20">
        <f t="shared" si="7"/>
        <v>5011.2023148148155</v>
      </c>
      <c r="O138" s="19">
        <f t="shared" si="8"/>
        <v>2417</v>
      </c>
      <c r="P138" s="19" t="str">
        <v>High</v>
      </c>
    </row>
    <row r="139" spans="1:16" x14ac:dyDescent="0.3">
      <c r="A139" s="2" t="s">
        <v>671</v>
      </c>
      <c r="B139" s="2" t="s">
        <v>672</v>
      </c>
      <c r="C139" s="19" t="s">
        <v>549</v>
      </c>
      <c r="D139" s="19" t="s">
        <v>53</v>
      </c>
      <c r="E139" s="19" t="s">
        <v>79</v>
      </c>
      <c r="F139" s="19" t="s">
        <v>40</v>
      </c>
      <c r="G139" s="19" t="s">
        <v>62</v>
      </c>
      <c r="H139" s="19" t="s">
        <v>44</v>
      </c>
      <c r="I139" s="19">
        <v>3</v>
      </c>
      <c r="J139" s="19">
        <v>4331</v>
      </c>
      <c r="K139" s="19">
        <v>2</v>
      </c>
      <c r="L139" s="19">
        <v>12733.14</v>
      </c>
      <c r="M139" s="19">
        <f t="shared" si="6"/>
        <v>4316878.1000000006</v>
      </c>
      <c r="N139" s="20">
        <f t="shared" si="7"/>
        <v>5002.176245654694</v>
      </c>
      <c r="O139" s="19">
        <f t="shared" si="8"/>
        <v>2414</v>
      </c>
      <c r="P139" s="19" t="str">
        <v>High</v>
      </c>
    </row>
    <row r="140" spans="1:16" x14ac:dyDescent="0.3">
      <c r="A140" s="2" t="s">
        <v>864</v>
      </c>
      <c r="B140" s="2" t="s">
        <v>304</v>
      </c>
      <c r="C140" s="19" t="s">
        <v>491</v>
      </c>
      <c r="D140" s="19" t="s">
        <v>30</v>
      </c>
      <c r="E140" s="19" t="s">
        <v>24</v>
      </c>
      <c r="F140" s="19" t="s">
        <v>25</v>
      </c>
      <c r="G140" s="19" t="s">
        <v>40</v>
      </c>
      <c r="H140" s="19" t="s">
        <v>75</v>
      </c>
      <c r="I140" s="19">
        <v>4</v>
      </c>
      <c r="J140" s="19">
        <v>3654</v>
      </c>
      <c r="K140" s="19">
        <v>13</v>
      </c>
      <c r="L140" s="19">
        <v>12715.92</v>
      </c>
      <c r="M140" s="19">
        <f t="shared" si="6"/>
        <v>4304144.9600000009</v>
      </c>
      <c r="N140" s="20">
        <f t="shared" si="7"/>
        <v>4993.2076102088176</v>
      </c>
      <c r="O140" s="19">
        <f t="shared" si="8"/>
        <v>2411</v>
      </c>
      <c r="P140" s="19" t="str">
        <v>High</v>
      </c>
    </row>
    <row r="141" spans="1:16" x14ac:dyDescent="0.3">
      <c r="A141" s="2" t="s">
        <v>789</v>
      </c>
      <c r="B141" s="2" t="s">
        <v>790</v>
      </c>
      <c r="C141" s="19" t="s">
        <v>791</v>
      </c>
      <c r="D141" s="19" t="s">
        <v>53</v>
      </c>
      <c r="E141" s="19" t="s">
        <v>58</v>
      </c>
      <c r="F141" s="19" t="s">
        <v>40</v>
      </c>
      <c r="G141" s="19" t="s">
        <v>18</v>
      </c>
      <c r="H141" s="19" t="s">
        <v>75</v>
      </c>
      <c r="I141" s="19">
        <v>4</v>
      </c>
      <c r="J141" s="19">
        <v>4237</v>
      </c>
      <c r="K141" s="19">
        <v>25</v>
      </c>
      <c r="L141" s="19">
        <v>12711</v>
      </c>
      <c r="M141" s="19">
        <f t="shared" si="6"/>
        <v>4291429.0400000019</v>
      </c>
      <c r="N141" s="20">
        <f t="shared" si="7"/>
        <v>4984.2381416957051</v>
      </c>
      <c r="O141" s="19">
        <f t="shared" si="8"/>
        <v>2407</v>
      </c>
      <c r="P141" s="19" t="str">
        <v>High</v>
      </c>
    </row>
    <row r="142" spans="1:16" x14ac:dyDescent="0.3">
      <c r="A142" s="2" t="s">
        <v>161</v>
      </c>
      <c r="B142" s="2" t="s">
        <v>162</v>
      </c>
      <c r="C142" s="19" t="s">
        <v>163</v>
      </c>
      <c r="D142" s="19" t="s">
        <v>30</v>
      </c>
      <c r="E142" s="19" t="s">
        <v>68</v>
      </c>
      <c r="F142" s="19" t="s">
        <v>32</v>
      </c>
      <c r="G142" s="19" t="s">
        <v>62</v>
      </c>
      <c r="H142" s="19" t="s">
        <v>33</v>
      </c>
      <c r="I142" s="19">
        <v>3</v>
      </c>
      <c r="J142" s="19">
        <v>4862</v>
      </c>
      <c r="K142" s="19">
        <v>13</v>
      </c>
      <c r="L142" s="19">
        <v>12689.82</v>
      </c>
      <c r="M142" s="19">
        <f t="shared" si="6"/>
        <v>4278718.040000001</v>
      </c>
      <c r="N142" s="20">
        <f t="shared" si="7"/>
        <v>4975.2535348837218</v>
      </c>
      <c r="O142" s="19">
        <f t="shared" si="8"/>
        <v>2403</v>
      </c>
      <c r="P142" s="19" t="str">
        <v>High</v>
      </c>
    </row>
    <row r="143" spans="1:16" x14ac:dyDescent="0.3">
      <c r="A143" s="2" t="s">
        <v>1610</v>
      </c>
      <c r="B143" s="2" t="s">
        <v>287</v>
      </c>
      <c r="C143" s="19" t="s">
        <v>139</v>
      </c>
      <c r="D143" s="19" t="s">
        <v>23</v>
      </c>
      <c r="E143" s="19" t="s">
        <v>58</v>
      </c>
      <c r="F143" s="19" t="s">
        <v>32</v>
      </c>
      <c r="G143" s="19" t="s">
        <v>62</v>
      </c>
      <c r="H143" s="19" t="s">
        <v>19</v>
      </c>
      <c r="I143" s="19">
        <v>4</v>
      </c>
      <c r="J143" s="19">
        <v>3505</v>
      </c>
      <c r="K143" s="19">
        <v>10</v>
      </c>
      <c r="L143" s="19">
        <v>12618</v>
      </c>
      <c r="M143" s="19">
        <f t="shared" si="6"/>
        <v>4266028.2200000016</v>
      </c>
      <c r="N143" s="20">
        <f t="shared" si="7"/>
        <v>4966.2726658905722</v>
      </c>
      <c r="O143" s="19">
        <f t="shared" si="8"/>
        <v>2400</v>
      </c>
      <c r="P143" s="19" t="str">
        <v>High</v>
      </c>
    </row>
    <row r="144" spans="1:16" x14ac:dyDescent="0.3">
      <c r="A144" s="2" t="s">
        <v>1010</v>
      </c>
      <c r="B144" s="2" t="s">
        <v>991</v>
      </c>
      <c r="C144" s="19" t="s">
        <v>186</v>
      </c>
      <c r="D144" s="19" t="s">
        <v>53</v>
      </c>
      <c r="E144" s="19" t="s">
        <v>24</v>
      </c>
      <c r="F144" s="19" t="s">
        <v>32</v>
      </c>
      <c r="G144" s="19" t="s">
        <v>18</v>
      </c>
      <c r="H144" s="19" t="s">
        <v>75</v>
      </c>
      <c r="I144" s="19">
        <v>5</v>
      </c>
      <c r="J144" s="19">
        <v>2709</v>
      </c>
      <c r="K144" s="19">
        <v>7</v>
      </c>
      <c r="L144" s="19">
        <v>12596.85</v>
      </c>
      <c r="M144" s="19">
        <f t="shared" si="6"/>
        <v>4253410.2200000016</v>
      </c>
      <c r="N144" s="20">
        <f t="shared" si="7"/>
        <v>4957.354568764571</v>
      </c>
      <c r="O144" s="19">
        <f t="shared" si="8"/>
        <v>2396</v>
      </c>
      <c r="P144" s="19" t="str">
        <v>High</v>
      </c>
    </row>
    <row r="145" spans="1:16" x14ac:dyDescent="0.3">
      <c r="A145" s="2" t="s">
        <v>316</v>
      </c>
      <c r="B145" s="2" t="s">
        <v>304</v>
      </c>
      <c r="C145" s="19" t="s">
        <v>317</v>
      </c>
      <c r="D145" s="19" t="s">
        <v>53</v>
      </c>
      <c r="E145" s="19" t="s">
        <v>24</v>
      </c>
      <c r="F145" s="19" t="s">
        <v>49</v>
      </c>
      <c r="G145" s="19" t="s">
        <v>18</v>
      </c>
      <c r="H145" s="19" t="s">
        <v>19</v>
      </c>
      <c r="I145" s="19">
        <v>5</v>
      </c>
      <c r="J145" s="19">
        <v>2796</v>
      </c>
      <c r="K145" s="19">
        <v>10</v>
      </c>
      <c r="L145" s="19">
        <v>12582</v>
      </c>
      <c r="M145" s="19">
        <f t="shared" si="6"/>
        <v>4240813.370000002</v>
      </c>
      <c r="N145" s="20">
        <f t="shared" si="7"/>
        <v>4948.4403383897343</v>
      </c>
      <c r="O145" s="19">
        <f t="shared" si="8"/>
        <v>2391</v>
      </c>
      <c r="P145" s="19" t="str">
        <v>High</v>
      </c>
    </row>
    <row r="146" spans="1:16" x14ac:dyDescent="0.3">
      <c r="A146" s="2" t="s">
        <v>95</v>
      </c>
      <c r="B146" s="2" t="s">
        <v>96</v>
      </c>
      <c r="C146" s="19" t="s">
        <v>97</v>
      </c>
      <c r="D146" s="19" t="s">
        <v>15</v>
      </c>
      <c r="E146" s="19" t="s">
        <v>68</v>
      </c>
      <c r="F146" s="19" t="s">
        <v>32</v>
      </c>
      <c r="G146" s="19" t="s">
        <v>26</v>
      </c>
      <c r="H146" s="19" t="s">
        <v>44</v>
      </c>
      <c r="I146" s="19">
        <v>3</v>
      </c>
      <c r="J146" s="19">
        <v>4401</v>
      </c>
      <c r="K146" s="19">
        <v>5</v>
      </c>
      <c r="L146" s="19">
        <v>12542.85</v>
      </c>
      <c r="M146" s="19">
        <f t="shared" si="6"/>
        <v>4228231.370000002</v>
      </c>
      <c r="N146" s="20">
        <f t="shared" si="7"/>
        <v>4939.5226285046756</v>
      </c>
      <c r="O146" s="19">
        <f t="shared" si="8"/>
        <v>2386</v>
      </c>
      <c r="P146" s="19" t="str">
        <v>High</v>
      </c>
    </row>
    <row r="147" spans="1:16" x14ac:dyDescent="0.3">
      <c r="A147" s="2" t="s">
        <v>1237</v>
      </c>
      <c r="B147" s="2" t="s">
        <v>1238</v>
      </c>
      <c r="C147" s="19" t="s">
        <v>206</v>
      </c>
      <c r="D147" s="19" t="s">
        <v>30</v>
      </c>
      <c r="E147" s="19" t="s">
        <v>68</v>
      </c>
      <c r="F147" s="19" t="s">
        <v>32</v>
      </c>
      <c r="G147" s="19" t="s">
        <v>18</v>
      </c>
      <c r="H147" s="19" t="s">
        <v>33</v>
      </c>
      <c r="I147" s="19">
        <v>4</v>
      </c>
      <c r="J147" s="19">
        <v>3482</v>
      </c>
      <c r="K147" s="19">
        <v>10</v>
      </c>
      <c r="L147" s="19">
        <v>12535.2</v>
      </c>
      <c r="M147" s="19">
        <f t="shared" si="6"/>
        <v>4215688.5200000005</v>
      </c>
      <c r="N147" s="20">
        <f t="shared" si="7"/>
        <v>4930.629847953217</v>
      </c>
      <c r="O147" s="19">
        <f t="shared" si="8"/>
        <v>2383</v>
      </c>
      <c r="P147" s="19" t="str">
        <v>High</v>
      </c>
    </row>
    <row r="148" spans="1:16" x14ac:dyDescent="0.3">
      <c r="A148" s="2" t="s">
        <v>1593</v>
      </c>
      <c r="B148" s="2" t="s">
        <v>463</v>
      </c>
      <c r="C148" s="19" t="s">
        <v>983</v>
      </c>
      <c r="D148" s="19" t="s">
        <v>15</v>
      </c>
      <c r="E148" s="19" t="s">
        <v>24</v>
      </c>
      <c r="F148" s="19" t="s">
        <v>17</v>
      </c>
      <c r="G148" s="19" t="s">
        <v>62</v>
      </c>
      <c r="H148" s="19" t="s">
        <v>75</v>
      </c>
      <c r="I148" s="19">
        <v>4</v>
      </c>
      <c r="J148" s="19">
        <v>3917</v>
      </c>
      <c r="K148" s="19">
        <v>20</v>
      </c>
      <c r="L148" s="19">
        <v>12534.4</v>
      </c>
      <c r="M148" s="19">
        <f t="shared" si="6"/>
        <v>4203153.32</v>
      </c>
      <c r="N148" s="20">
        <f t="shared" si="7"/>
        <v>4921.7251990632321</v>
      </c>
      <c r="O148" s="19">
        <f t="shared" si="8"/>
        <v>2379</v>
      </c>
      <c r="P148" s="19" t="str">
        <v>High</v>
      </c>
    </row>
    <row r="149" spans="1:16" x14ac:dyDescent="0.3">
      <c r="A149" s="2" t="s">
        <v>643</v>
      </c>
      <c r="B149" s="2" t="s">
        <v>440</v>
      </c>
      <c r="C149" s="19" t="s">
        <v>87</v>
      </c>
      <c r="D149" s="19" t="s">
        <v>15</v>
      </c>
      <c r="E149" s="19" t="s">
        <v>58</v>
      </c>
      <c r="F149" s="19" t="s">
        <v>32</v>
      </c>
      <c r="G149" s="19" t="s">
        <v>40</v>
      </c>
      <c r="H149" s="19" t="s">
        <v>19</v>
      </c>
      <c r="I149" s="19">
        <v>5</v>
      </c>
      <c r="J149" s="19">
        <v>3085</v>
      </c>
      <c r="K149" s="19">
        <v>19</v>
      </c>
      <c r="L149" s="19">
        <v>12494.25</v>
      </c>
      <c r="M149" s="19">
        <f t="shared" si="6"/>
        <v>4190618.9200000009</v>
      </c>
      <c r="N149" s="20">
        <f t="shared" si="7"/>
        <v>4912.8006096131312</v>
      </c>
      <c r="O149" s="19">
        <f t="shared" si="8"/>
        <v>2375</v>
      </c>
      <c r="P149" s="19" t="str">
        <v>High</v>
      </c>
    </row>
    <row r="150" spans="1:16" x14ac:dyDescent="0.3">
      <c r="A150" s="2" t="s">
        <v>1175</v>
      </c>
      <c r="B150" s="2" t="s">
        <v>1176</v>
      </c>
      <c r="C150" s="19" t="s">
        <v>267</v>
      </c>
      <c r="D150" s="19" t="s">
        <v>23</v>
      </c>
      <c r="E150" s="19" t="s">
        <v>24</v>
      </c>
      <c r="F150" s="19" t="s">
        <v>32</v>
      </c>
      <c r="G150" s="19" t="s">
        <v>18</v>
      </c>
      <c r="H150" s="19" t="s">
        <v>33</v>
      </c>
      <c r="I150" s="19">
        <v>3</v>
      </c>
      <c r="J150" s="19">
        <v>4297</v>
      </c>
      <c r="K150" s="19">
        <v>4</v>
      </c>
      <c r="L150" s="19">
        <v>12375.36</v>
      </c>
      <c r="M150" s="19">
        <f t="shared" si="6"/>
        <v>4178124.6700000004</v>
      </c>
      <c r="N150" s="20">
        <f t="shared" si="7"/>
        <v>4903.9021948356813</v>
      </c>
      <c r="O150" s="19">
        <f t="shared" si="8"/>
        <v>2370</v>
      </c>
      <c r="P150" s="19" t="str">
        <v>High</v>
      </c>
    </row>
    <row r="151" spans="1:16" x14ac:dyDescent="0.3">
      <c r="A151" s="2" t="s">
        <v>1578</v>
      </c>
      <c r="B151" s="2" t="s">
        <v>313</v>
      </c>
      <c r="C151" s="19" t="s">
        <v>124</v>
      </c>
      <c r="D151" s="19" t="s">
        <v>30</v>
      </c>
      <c r="E151" s="19" t="s">
        <v>48</v>
      </c>
      <c r="F151" s="19" t="s">
        <v>17</v>
      </c>
      <c r="G151" s="19" t="s">
        <v>62</v>
      </c>
      <c r="H151" s="19" t="s">
        <v>75</v>
      </c>
      <c r="I151" s="19">
        <v>3</v>
      </c>
      <c r="J151" s="19">
        <v>4259</v>
      </c>
      <c r="K151" s="19">
        <v>4</v>
      </c>
      <c r="L151" s="19">
        <v>12265.92</v>
      </c>
      <c r="M151" s="19">
        <f t="shared" si="6"/>
        <v>4165749.31</v>
      </c>
      <c r="N151" s="20">
        <f t="shared" si="7"/>
        <v>4895.1225734430082</v>
      </c>
      <c r="O151" s="19">
        <f t="shared" si="8"/>
        <v>2367</v>
      </c>
      <c r="P151" s="19" t="str">
        <v>High</v>
      </c>
    </row>
    <row r="152" spans="1:16" x14ac:dyDescent="0.3">
      <c r="A152" s="2" t="s">
        <v>1346</v>
      </c>
      <c r="B152" s="2" t="s">
        <v>987</v>
      </c>
      <c r="C152" s="19" t="s">
        <v>804</v>
      </c>
      <c r="D152" s="19" t="s">
        <v>15</v>
      </c>
      <c r="E152" s="19" t="s">
        <v>16</v>
      </c>
      <c r="F152" s="19" t="s">
        <v>25</v>
      </c>
      <c r="G152" s="19" t="s">
        <v>26</v>
      </c>
      <c r="H152" s="19" t="s">
        <v>33</v>
      </c>
      <c r="I152" s="19">
        <v>3</v>
      </c>
      <c r="J152" s="19">
        <v>4798</v>
      </c>
      <c r="K152" s="19">
        <v>15</v>
      </c>
      <c r="L152" s="19">
        <v>12234.9</v>
      </c>
      <c r="M152" s="19">
        <f t="shared" si="6"/>
        <v>4153483.39</v>
      </c>
      <c r="N152" s="20">
        <f t="shared" si="7"/>
        <v>4886.4510470588239</v>
      </c>
      <c r="O152" s="19">
        <f t="shared" si="8"/>
        <v>2364</v>
      </c>
      <c r="P152" s="19" t="str">
        <v>High</v>
      </c>
    </row>
    <row r="153" spans="1:16" x14ac:dyDescent="0.3">
      <c r="A153" s="2" t="s">
        <v>1496</v>
      </c>
      <c r="B153" s="2" t="s">
        <v>776</v>
      </c>
      <c r="C153" s="19" t="s">
        <v>505</v>
      </c>
      <c r="D153" s="19" t="s">
        <v>15</v>
      </c>
      <c r="E153" s="19" t="s">
        <v>79</v>
      </c>
      <c r="F153" s="19" t="s">
        <v>25</v>
      </c>
      <c r="G153" s="19" t="s">
        <v>26</v>
      </c>
      <c r="H153" s="19" t="s">
        <v>33</v>
      </c>
      <c r="I153" s="19">
        <v>3</v>
      </c>
      <c r="J153" s="19">
        <v>4432</v>
      </c>
      <c r="K153" s="19">
        <v>8</v>
      </c>
      <c r="L153" s="19">
        <v>12232.32</v>
      </c>
      <c r="M153" s="19">
        <f t="shared" si="6"/>
        <v>4141248.4899999998</v>
      </c>
      <c r="N153" s="20">
        <f t="shared" si="7"/>
        <v>4877.7956301531212</v>
      </c>
      <c r="O153" s="19">
        <f t="shared" si="8"/>
        <v>2361</v>
      </c>
      <c r="P153" s="19" t="str">
        <v>High</v>
      </c>
    </row>
    <row r="154" spans="1:16" x14ac:dyDescent="0.3">
      <c r="A154" s="2" t="s">
        <v>566</v>
      </c>
      <c r="B154" s="2" t="s">
        <v>498</v>
      </c>
      <c r="C154" s="19" t="s">
        <v>567</v>
      </c>
      <c r="D154" s="19" t="s">
        <v>15</v>
      </c>
      <c r="E154" s="19" t="s">
        <v>31</v>
      </c>
      <c r="F154" s="19" t="s">
        <v>25</v>
      </c>
      <c r="G154" s="19" t="s">
        <v>26</v>
      </c>
      <c r="H154" s="19" t="s">
        <v>75</v>
      </c>
      <c r="I154" s="19">
        <v>4</v>
      </c>
      <c r="J154" s="19">
        <v>3596</v>
      </c>
      <c r="K154" s="19">
        <v>15</v>
      </c>
      <c r="L154" s="19">
        <v>12226.4</v>
      </c>
      <c r="M154" s="19">
        <f t="shared" si="6"/>
        <v>4129016.17</v>
      </c>
      <c r="N154" s="20">
        <f t="shared" si="7"/>
        <v>4869.1228419811323</v>
      </c>
      <c r="O154" s="19">
        <f t="shared" si="8"/>
        <v>2358</v>
      </c>
      <c r="P154" s="19" t="str">
        <v>High</v>
      </c>
    </row>
    <row r="155" spans="1:16" x14ac:dyDescent="0.3">
      <c r="A155" s="2" t="s">
        <v>1055</v>
      </c>
      <c r="B155" s="2" t="s">
        <v>495</v>
      </c>
      <c r="C155" s="19" t="s">
        <v>111</v>
      </c>
      <c r="D155" s="19" t="s">
        <v>30</v>
      </c>
      <c r="E155" s="19" t="s">
        <v>16</v>
      </c>
      <c r="F155" s="19" t="s">
        <v>17</v>
      </c>
      <c r="G155" s="19" t="s">
        <v>40</v>
      </c>
      <c r="H155" s="19" t="s">
        <v>44</v>
      </c>
      <c r="I155" s="19">
        <v>3</v>
      </c>
      <c r="J155" s="19">
        <v>4909</v>
      </c>
      <c r="K155" s="19">
        <v>17</v>
      </c>
      <c r="L155" s="19">
        <v>12223.41</v>
      </c>
      <c r="M155" s="19">
        <f t="shared" si="6"/>
        <v>4116789.77</v>
      </c>
      <c r="N155" s="20">
        <f t="shared" si="7"/>
        <v>4860.4365643447463</v>
      </c>
      <c r="O155" s="19">
        <f t="shared" si="8"/>
        <v>2354</v>
      </c>
      <c r="P155" s="19" t="str">
        <v>High</v>
      </c>
    </row>
    <row r="156" spans="1:16" x14ac:dyDescent="0.3">
      <c r="A156" s="2" t="s">
        <v>1259</v>
      </c>
      <c r="B156" s="2" t="s">
        <v>487</v>
      </c>
      <c r="C156" s="19" t="s">
        <v>47</v>
      </c>
      <c r="D156" s="19" t="s">
        <v>53</v>
      </c>
      <c r="E156" s="19" t="s">
        <v>31</v>
      </c>
      <c r="F156" s="19" t="s">
        <v>32</v>
      </c>
      <c r="G156" s="19" t="s">
        <v>62</v>
      </c>
      <c r="H156" s="19" t="s">
        <v>44</v>
      </c>
      <c r="I156" s="19">
        <v>3</v>
      </c>
      <c r="J156" s="19">
        <v>4791</v>
      </c>
      <c r="K156" s="19">
        <v>15</v>
      </c>
      <c r="L156" s="19">
        <v>12217.05</v>
      </c>
      <c r="M156" s="19">
        <f t="shared" si="6"/>
        <v>4104566.3599999994</v>
      </c>
      <c r="N156" s="20">
        <f t="shared" si="7"/>
        <v>4851.7332860520091</v>
      </c>
      <c r="O156" s="19">
        <f t="shared" si="8"/>
        <v>2351</v>
      </c>
      <c r="P156" s="19" t="str">
        <v>High</v>
      </c>
    </row>
    <row r="157" spans="1:16" x14ac:dyDescent="0.3">
      <c r="A157" s="2" t="s">
        <v>229</v>
      </c>
      <c r="B157" s="2" t="s">
        <v>208</v>
      </c>
      <c r="C157" s="19" t="s">
        <v>230</v>
      </c>
      <c r="D157" s="19" t="s">
        <v>15</v>
      </c>
      <c r="E157" s="19" t="s">
        <v>48</v>
      </c>
      <c r="F157" s="19" t="s">
        <v>49</v>
      </c>
      <c r="G157" s="19" t="s">
        <v>62</v>
      </c>
      <c r="H157" s="19" t="s">
        <v>33</v>
      </c>
      <c r="I157" s="19">
        <v>3</v>
      </c>
      <c r="J157" s="19">
        <v>4727</v>
      </c>
      <c r="K157" s="19">
        <v>14</v>
      </c>
      <c r="L157" s="19">
        <v>12195.66</v>
      </c>
      <c r="M157" s="19">
        <f t="shared" si="6"/>
        <v>4092349.3099999996</v>
      </c>
      <c r="N157" s="20">
        <f t="shared" si="7"/>
        <v>4843.0169349112421</v>
      </c>
      <c r="O157" s="19">
        <f t="shared" si="8"/>
        <v>2348</v>
      </c>
      <c r="P157" s="19" t="str">
        <v>High</v>
      </c>
    </row>
    <row r="158" spans="1:16" x14ac:dyDescent="0.3">
      <c r="A158" s="2" t="s">
        <v>1531</v>
      </c>
      <c r="B158" s="2" t="s">
        <v>1532</v>
      </c>
      <c r="C158" s="19" t="s">
        <v>43</v>
      </c>
      <c r="D158" s="19" t="s">
        <v>88</v>
      </c>
      <c r="E158" s="19" t="s">
        <v>68</v>
      </c>
      <c r="F158" s="19" t="s">
        <v>32</v>
      </c>
      <c r="G158" s="19" t="s">
        <v>62</v>
      </c>
      <c r="H158" s="19" t="s">
        <v>33</v>
      </c>
      <c r="I158" s="19">
        <v>4</v>
      </c>
      <c r="J158" s="19">
        <v>4337</v>
      </c>
      <c r="K158" s="19">
        <v>30</v>
      </c>
      <c r="L158" s="19">
        <v>12143.6</v>
      </c>
      <c r="M158" s="19">
        <f t="shared" si="6"/>
        <v>4080153.65</v>
      </c>
      <c r="N158" s="20">
        <f t="shared" si="7"/>
        <v>4834.3052725118487</v>
      </c>
      <c r="O158" s="19">
        <f t="shared" si="8"/>
        <v>2345</v>
      </c>
      <c r="P158" s="19" t="str">
        <v>High</v>
      </c>
    </row>
    <row r="159" spans="1:16" x14ac:dyDescent="0.3">
      <c r="A159" s="2" t="s">
        <v>380</v>
      </c>
      <c r="B159" s="2" t="s">
        <v>369</v>
      </c>
      <c r="C159" s="19" t="s">
        <v>381</v>
      </c>
      <c r="D159" s="19" t="s">
        <v>23</v>
      </c>
      <c r="E159" s="19" t="s">
        <v>16</v>
      </c>
      <c r="F159" s="19" t="s">
        <v>25</v>
      </c>
      <c r="G159" s="19" t="s">
        <v>62</v>
      </c>
      <c r="H159" s="19" t="s">
        <v>33</v>
      </c>
      <c r="I159" s="19">
        <v>3</v>
      </c>
      <c r="J159" s="19">
        <v>4578</v>
      </c>
      <c r="K159" s="19">
        <v>12</v>
      </c>
      <c r="L159" s="19">
        <v>12085.92</v>
      </c>
      <c r="M159" s="19">
        <f t="shared" si="6"/>
        <v>4068010.05</v>
      </c>
      <c r="N159" s="20">
        <f t="shared" si="7"/>
        <v>4825.6346975088964</v>
      </c>
      <c r="O159" s="19">
        <f t="shared" si="8"/>
        <v>2341</v>
      </c>
      <c r="P159" s="19" t="str">
        <v>High</v>
      </c>
    </row>
    <row r="160" spans="1:16" x14ac:dyDescent="0.3">
      <c r="A160" s="2" t="s">
        <v>774</v>
      </c>
      <c r="B160" s="2" t="s">
        <v>769</v>
      </c>
      <c r="C160" s="19" t="s">
        <v>370</v>
      </c>
      <c r="D160" s="19" t="s">
        <v>88</v>
      </c>
      <c r="E160" s="19" t="s">
        <v>58</v>
      </c>
      <c r="F160" s="19" t="s">
        <v>25</v>
      </c>
      <c r="G160" s="19" t="s">
        <v>54</v>
      </c>
      <c r="H160" s="19" t="s">
        <v>33</v>
      </c>
      <c r="I160" s="19">
        <v>3</v>
      </c>
      <c r="J160" s="19">
        <v>4312</v>
      </c>
      <c r="K160" s="19">
        <v>7</v>
      </c>
      <c r="L160" s="19">
        <v>12030.48</v>
      </c>
      <c r="M160" s="19">
        <f t="shared" si="6"/>
        <v>4055924.13</v>
      </c>
      <c r="N160" s="20">
        <f t="shared" si="7"/>
        <v>4817.0120308788601</v>
      </c>
      <c r="O160" s="19">
        <f t="shared" si="8"/>
        <v>2338</v>
      </c>
      <c r="P160" s="19" t="str">
        <v>High</v>
      </c>
    </row>
    <row r="161" spans="1:16" x14ac:dyDescent="0.3">
      <c r="A161" s="2" t="s">
        <v>979</v>
      </c>
      <c r="B161" s="2" t="s">
        <v>980</v>
      </c>
      <c r="C161" s="19" t="s">
        <v>175</v>
      </c>
      <c r="D161" s="19" t="s">
        <v>15</v>
      </c>
      <c r="E161" s="19" t="s">
        <v>58</v>
      </c>
      <c r="F161" s="19" t="s">
        <v>17</v>
      </c>
      <c r="G161" s="19" t="s">
        <v>26</v>
      </c>
      <c r="H161" s="19" t="s">
        <v>44</v>
      </c>
      <c r="I161" s="19">
        <v>4</v>
      </c>
      <c r="J161" s="19">
        <v>3567</v>
      </c>
      <c r="K161" s="19">
        <v>16</v>
      </c>
      <c r="L161" s="19">
        <v>11985.12</v>
      </c>
      <c r="M161" s="19">
        <f t="shared" si="6"/>
        <v>4043893.6500000004</v>
      </c>
      <c r="N161" s="20">
        <f t="shared" si="7"/>
        <v>4808.434780023782</v>
      </c>
      <c r="O161" s="19">
        <f t="shared" si="8"/>
        <v>2335</v>
      </c>
      <c r="P161" s="19" t="str">
        <v>High</v>
      </c>
    </row>
    <row r="162" spans="1:16" x14ac:dyDescent="0.3">
      <c r="A162" s="2" t="s">
        <v>970</v>
      </c>
      <c r="B162" s="2" t="s">
        <v>901</v>
      </c>
      <c r="C162" s="19" t="s">
        <v>253</v>
      </c>
      <c r="D162" s="19" t="s">
        <v>15</v>
      </c>
      <c r="E162" s="19" t="s">
        <v>68</v>
      </c>
      <c r="F162" s="19" t="s">
        <v>49</v>
      </c>
      <c r="G162" s="19" t="s">
        <v>18</v>
      </c>
      <c r="H162" s="19" t="s">
        <v>19</v>
      </c>
      <c r="I162" s="19">
        <v>4</v>
      </c>
      <c r="J162" s="19">
        <v>3825</v>
      </c>
      <c r="K162" s="19">
        <v>22</v>
      </c>
      <c r="L162" s="19">
        <v>11934</v>
      </c>
      <c r="M162" s="19">
        <f t="shared" si="6"/>
        <v>4031908.53</v>
      </c>
      <c r="N162" s="20">
        <f t="shared" si="7"/>
        <v>4799.8911071428565</v>
      </c>
      <c r="O162" s="19">
        <f t="shared" si="8"/>
        <v>2331</v>
      </c>
      <c r="P162" s="19" t="str">
        <v>High</v>
      </c>
    </row>
    <row r="163" spans="1:16" x14ac:dyDescent="0.3">
      <c r="A163" s="2" t="s">
        <v>806</v>
      </c>
      <c r="B163" s="2" t="s">
        <v>548</v>
      </c>
      <c r="C163" s="19" t="s">
        <v>804</v>
      </c>
      <c r="D163" s="19" t="s">
        <v>15</v>
      </c>
      <c r="E163" s="19" t="s">
        <v>79</v>
      </c>
      <c r="F163" s="19" t="s">
        <v>25</v>
      </c>
      <c r="G163" s="19" t="s">
        <v>26</v>
      </c>
      <c r="H163" s="19" t="s">
        <v>33</v>
      </c>
      <c r="I163" s="19">
        <v>3</v>
      </c>
      <c r="J163" s="19">
        <v>4790</v>
      </c>
      <c r="K163" s="19">
        <v>17</v>
      </c>
      <c r="L163" s="19">
        <v>11927.1</v>
      </c>
      <c r="M163" s="19">
        <f t="shared" si="6"/>
        <v>4019974.53</v>
      </c>
      <c r="N163" s="20">
        <f t="shared" si="7"/>
        <v>4791.3879976162098</v>
      </c>
      <c r="O163" s="19">
        <f t="shared" si="8"/>
        <v>2327</v>
      </c>
      <c r="P163" s="19" t="str">
        <v>High</v>
      </c>
    </row>
    <row r="164" spans="1:16" x14ac:dyDescent="0.3">
      <c r="A164" s="2" t="s">
        <v>1602</v>
      </c>
      <c r="B164" s="2" t="s">
        <v>1169</v>
      </c>
      <c r="C164" s="19" t="s">
        <v>1603</v>
      </c>
      <c r="D164" s="19" t="s">
        <v>30</v>
      </c>
      <c r="E164" s="19" t="s">
        <v>48</v>
      </c>
      <c r="F164" s="19" t="s">
        <v>40</v>
      </c>
      <c r="G164" s="19" t="s">
        <v>18</v>
      </c>
      <c r="H164" s="19" t="s">
        <v>75</v>
      </c>
      <c r="I164" s="19">
        <v>5</v>
      </c>
      <c r="J164" s="19">
        <v>3355</v>
      </c>
      <c r="K164" s="19">
        <v>30</v>
      </c>
      <c r="L164" s="19">
        <v>11742.5</v>
      </c>
      <c r="M164" s="19">
        <f t="shared" si="6"/>
        <v>4008047.4299999997</v>
      </c>
      <c r="N164" s="20">
        <f t="shared" si="7"/>
        <v>4782.8728281622907</v>
      </c>
      <c r="O164" s="19">
        <f t="shared" si="8"/>
        <v>2324</v>
      </c>
      <c r="P164" s="19" t="str">
        <v>High</v>
      </c>
    </row>
    <row r="165" spans="1:16" x14ac:dyDescent="0.3">
      <c r="A165" s="2" t="s">
        <v>939</v>
      </c>
      <c r="B165" s="2" t="s">
        <v>940</v>
      </c>
      <c r="C165" s="19" t="s">
        <v>860</v>
      </c>
      <c r="D165" s="19" t="s">
        <v>30</v>
      </c>
      <c r="E165" s="19" t="s">
        <v>31</v>
      </c>
      <c r="F165" s="19" t="s">
        <v>25</v>
      </c>
      <c r="G165" s="19" t="s">
        <v>18</v>
      </c>
      <c r="H165" s="19" t="s">
        <v>75</v>
      </c>
      <c r="I165" s="19">
        <v>3</v>
      </c>
      <c r="J165" s="19">
        <v>4597</v>
      </c>
      <c r="K165" s="19">
        <v>15</v>
      </c>
      <c r="L165" s="19">
        <v>11722.35</v>
      </c>
      <c r="M165" s="19">
        <f t="shared" si="6"/>
        <v>3996304.93</v>
      </c>
      <c r="N165" s="20">
        <f t="shared" si="7"/>
        <v>4774.5578614097967</v>
      </c>
      <c r="O165" s="19">
        <f t="shared" si="8"/>
        <v>2319</v>
      </c>
      <c r="P165" s="19" t="str">
        <v>High</v>
      </c>
    </row>
    <row r="166" spans="1:16" x14ac:dyDescent="0.3">
      <c r="A166" s="2" t="s">
        <v>775</v>
      </c>
      <c r="B166" s="2" t="s">
        <v>776</v>
      </c>
      <c r="C166" s="19" t="s">
        <v>777</v>
      </c>
      <c r="D166" s="19" t="s">
        <v>30</v>
      </c>
      <c r="E166" s="19" t="s">
        <v>68</v>
      </c>
      <c r="F166" s="19" t="s">
        <v>25</v>
      </c>
      <c r="G166" s="19" t="s">
        <v>26</v>
      </c>
      <c r="H166" s="19" t="s">
        <v>19</v>
      </c>
      <c r="I166" s="19">
        <v>3</v>
      </c>
      <c r="J166" s="19">
        <v>4474</v>
      </c>
      <c r="K166" s="19">
        <v>13</v>
      </c>
      <c r="L166" s="19">
        <v>11677.14</v>
      </c>
      <c r="M166" s="19">
        <f t="shared" si="6"/>
        <v>3984582.58</v>
      </c>
      <c r="N166" s="20">
        <f t="shared" si="7"/>
        <v>4766.2471052631581</v>
      </c>
      <c r="O166" s="19">
        <f t="shared" si="8"/>
        <v>2316</v>
      </c>
      <c r="P166" s="19" t="str">
        <v>High</v>
      </c>
    </row>
    <row r="167" spans="1:16" x14ac:dyDescent="0.3">
      <c r="A167" s="2" t="s">
        <v>1195</v>
      </c>
      <c r="B167" s="2" t="s">
        <v>275</v>
      </c>
      <c r="C167" s="19" t="s">
        <v>1075</v>
      </c>
      <c r="D167" s="19" t="s">
        <v>53</v>
      </c>
      <c r="E167" s="19" t="s">
        <v>16</v>
      </c>
      <c r="F167" s="19" t="s">
        <v>49</v>
      </c>
      <c r="G167" s="19" t="s">
        <v>18</v>
      </c>
      <c r="H167" s="19" t="s">
        <v>75</v>
      </c>
      <c r="I167" s="19">
        <v>3</v>
      </c>
      <c r="J167" s="19">
        <v>3917</v>
      </c>
      <c r="K167" s="19">
        <v>1</v>
      </c>
      <c r="L167" s="19">
        <v>11633.49</v>
      </c>
      <c r="M167" s="19">
        <f t="shared" si="6"/>
        <v>3972905.44</v>
      </c>
      <c r="N167" s="20">
        <f t="shared" si="7"/>
        <v>4757.9705868263472</v>
      </c>
      <c r="O167" s="19">
        <f t="shared" si="8"/>
        <v>2313</v>
      </c>
      <c r="P167" s="19" t="str">
        <v>High</v>
      </c>
    </row>
    <row r="168" spans="1:16" x14ac:dyDescent="0.3">
      <c r="A168" s="2" t="s">
        <v>365</v>
      </c>
      <c r="B168" s="2" t="s">
        <v>366</v>
      </c>
      <c r="C168" s="19" t="s">
        <v>367</v>
      </c>
      <c r="D168" s="19" t="s">
        <v>53</v>
      </c>
      <c r="E168" s="19" t="s">
        <v>16</v>
      </c>
      <c r="F168" s="19" t="s">
        <v>25</v>
      </c>
      <c r="G168" s="19" t="s">
        <v>62</v>
      </c>
      <c r="H168" s="19" t="s">
        <v>75</v>
      </c>
      <c r="I168" s="19">
        <v>5</v>
      </c>
      <c r="J168" s="19">
        <v>2854</v>
      </c>
      <c r="K168" s="19">
        <v>19</v>
      </c>
      <c r="L168" s="19">
        <v>11558.7</v>
      </c>
      <c r="M168" s="19">
        <f t="shared" si="6"/>
        <v>3961271.9499999997</v>
      </c>
      <c r="N168" s="20">
        <f t="shared" si="7"/>
        <v>4749.7265587529973</v>
      </c>
      <c r="O168" s="19">
        <f t="shared" si="8"/>
        <v>2310</v>
      </c>
      <c r="P168" s="19" t="str">
        <v>High</v>
      </c>
    </row>
    <row r="169" spans="1:16" x14ac:dyDescent="0.3">
      <c r="A169" s="2" t="s">
        <v>1228</v>
      </c>
      <c r="B169" s="2" t="s">
        <v>73</v>
      </c>
      <c r="C169" s="19" t="s">
        <v>270</v>
      </c>
      <c r="D169" s="19" t="s">
        <v>30</v>
      </c>
      <c r="E169" s="19" t="s">
        <v>48</v>
      </c>
      <c r="F169" s="19" t="s">
        <v>49</v>
      </c>
      <c r="G169" s="19" t="s">
        <v>26</v>
      </c>
      <c r="H169" s="19" t="s">
        <v>44</v>
      </c>
      <c r="I169" s="19">
        <v>3</v>
      </c>
      <c r="J169" s="19">
        <v>4265</v>
      </c>
      <c r="K169" s="19">
        <v>10</v>
      </c>
      <c r="L169" s="19">
        <v>11515.5</v>
      </c>
      <c r="M169" s="19">
        <f t="shared" si="6"/>
        <v>3949713.2499999995</v>
      </c>
      <c r="N169" s="20">
        <f t="shared" si="7"/>
        <v>4741.5525210084024</v>
      </c>
      <c r="O169" s="19">
        <f t="shared" si="8"/>
        <v>2305</v>
      </c>
      <c r="P169" s="19" t="str">
        <v>High</v>
      </c>
    </row>
    <row r="170" spans="1:16" x14ac:dyDescent="0.3">
      <c r="A170" s="2" t="s">
        <v>1251</v>
      </c>
      <c r="B170" s="2" t="s">
        <v>893</v>
      </c>
      <c r="C170" s="19" t="s">
        <v>1130</v>
      </c>
      <c r="D170" s="19" t="s">
        <v>88</v>
      </c>
      <c r="E170" s="19" t="s">
        <v>79</v>
      </c>
      <c r="F170" s="19" t="s">
        <v>49</v>
      </c>
      <c r="G170" s="19" t="s">
        <v>40</v>
      </c>
      <c r="H170" s="19" t="s">
        <v>75</v>
      </c>
      <c r="I170" s="19">
        <v>3</v>
      </c>
      <c r="J170" s="19">
        <v>4842</v>
      </c>
      <c r="K170" s="19">
        <v>21</v>
      </c>
      <c r="L170" s="19">
        <v>11475.54</v>
      </c>
      <c r="M170" s="19">
        <f t="shared" si="6"/>
        <v>3938197.7499999995</v>
      </c>
      <c r="N170" s="20">
        <f t="shared" si="7"/>
        <v>4733.4107572115381</v>
      </c>
      <c r="O170" s="19">
        <f t="shared" si="8"/>
        <v>2302</v>
      </c>
      <c r="P170" s="19" t="str">
        <v>High</v>
      </c>
    </row>
    <row r="171" spans="1:16" x14ac:dyDescent="0.3">
      <c r="A171" s="2" t="s">
        <v>189</v>
      </c>
      <c r="B171" s="2" t="s">
        <v>190</v>
      </c>
      <c r="C171" s="19" t="s">
        <v>191</v>
      </c>
      <c r="D171" s="19" t="s">
        <v>88</v>
      </c>
      <c r="E171" s="19" t="s">
        <v>48</v>
      </c>
      <c r="F171" s="19" t="s">
        <v>32</v>
      </c>
      <c r="G171" s="19" t="s">
        <v>40</v>
      </c>
      <c r="H171" s="19" t="s">
        <v>33</v>
      </c>
      <c r="I171" s="19">
        <v>3</v>
      </c>
      <c r="J171" s="19">
        <v>4293</v>
      </c>
      <c r="K171" s="19">
        <v>11</v>
      </c>
      <c r="L171" s="19">
        <v>11462.31</v>
      </c>
      <c r="M171" s="19">
        <f t="shared" si="6"/>
        <v>3926722.2099999995</v>
      </c>
      <c r="N171" s="20">
        <f t="shared" si="7"/>
        <v>4725.2974849578814</v>
      </c>
      <c r="O171" s="19">
        <f t="shared" si="8"/>
        <v>2299</v>
      </c>
      <c r="P171" s="19" t="str">
        <v>High</v>
      </c>
    </row>
    <row r="172" spans="1:16" x14ac:dyDescent="0.3">
      <c r="A172" s="2" t="s">
        <v>1473</v>
      </c>
      <c r="B172" s="2" t="s">
        <v>126</v>
      </c>
      <c r="C172" s="19" t="s">
        <v>241</v>
      </c>
      <c r="D172" s="19" t="s">
        <v>88</v>
      </c>
      <c r="E172" s="19" t="s">
        <v>58</v>
      </c>
      <c r="F172" s="19" t="s">
        <v>40</v>
      </c>
      <c r="G172" s="19" t="s">
        <v>40</v>
      </c>
      <c r="H172" s="19" t="s">
        <v>33</v>
      </c>
      <c r="I172" s="19">
        <v>3</v>
      </c>
      <c r="J172" s="19">
        <v>4233</v>
      </c>
      <c r="K172" s="19">
        <v>10</v>
      </c>
      <c r="L172" s="19">
        <v>11429.1</v>
      </c>
      <c r="M172" s="19">
        <f t="shared" si="6"/>
        <v>3915259.9</v>
      </c>
      <c r="N172" s="20">
        <f t="shared" si="7"/>
        <v>4717.1806024096386</v>
      </c>
      <c r="O172" s="19">
        <f t="shared" si="8"/>
        <v>2296</v>
      </c>
      <c r="P172" s="19" t="str">
        <v>High</v>
      </c>
    </row>
    <row r="173" spans="1:16" x14ac:dyDescent="0.3">
      <c r="A173" s="2" t="s">
        <v>654</v>
      </c>
      <c r="B173" s="2" t="s">
        <v>232</v>
      </c>
      <c r="C173" s="19" t="s">
        <v>655</v>
      </c>
      <c r="D173" s="19" t="s">
        <v>15</v>
      </c>
      <c r="E173" s="19" t="s">
        <v>24</v>
      </c>
      <c r="F173" s="19" t="s">
        <v>25</v>
      </c>
      <c r="G173" s="19" t="s">
        <v>40</v>
      </c>
      <c r="H173" s="19" t="s">
        <v>44</v>
      </c>
      <c r="I173" s="19">
        <v>3</v>
      </c>
      <c r="J173" s="19">
        <v>4180</v>
      </c>
      <c r="K173" s="19">
        <v>9</v>
      </c>
      <c r="L173" s="19">
        <v>11411.4</v>
      </c>
      <c r="M173" s="19">
        <f t="shared" si="6"/>
        <v>3903830.8000000003</v>
      </c>
      <c r="N173" s="20">
        <f t="shared" si="7"/>
        <v>4709.0841978287099</v>
      </c>
      <c r="O173" s="19">
        <f t="shared" si="8"/>
        <v>2293</v>
      </c>
      <c r="P173" s="19" t="str">
        <v>High</v>
      </c>
    </row>
    <row r="174" spans="1:16" x14ac:dyDescent="0.3">
      <c r="A174" s="2" t="s">
        <v>1622</v>
      </c>
      <c r="B174" s="2" t="s">
        <v>257</v>
      </c>
      <c r="C174" s="19" t="s">
        <v>700</v>
      </c>
      <c r="D174" s="19" t="s">
        <v>30</v>
      </c>
      <c r="E174" s="19" t="s">
        <v>48</v>
      </c>
      <c r="F174" s="19" t="s">
        <v>40</v>
      </c>
      <c r="G174" s="19" t="s">
        <v>54</v>
      </c>
      <c r="H174" s="19" t="s">
        <v>75</v>
      </c>
      <c r="I174" s="19">
        <v>4</v>
      </c>
      <c r="J174" s="19">
        <v>3794</v>
      </c>
      <c r="K174" s="19">
        <v>25</v>
      </c>
      <c r="L174" s="19">
        <v>11382</v>
      </c>
      <c r="M174" s="19">
        <f t="shared" si="6"/>
        <v>3892419.4</v>
      </c>
      <c r="N174" s="20">
        <f t="shared" si="7"/>
        <v>4700.9896135265699</v>
      </c>
      <c r="O174" s="19">
        <f t="shared" si="8"/>
        <v>2290</v>
      </c>
      <c r="P174" s="19" t="str">
        <v>High</v>
      </c>
    </row>
    <row r="175" spans="1:16" x14ac:dyDescent="0.3">
      <c r="A175" s="2" t="s">
        <v>388</v>
      </c>
      <c r="B175" s="2" t="s">
        <v>389</v>
      </c>
      <c r="C175" s="19" t="s">
        <v>390</v>
      </c>
      <c r="D175" s="19" t="s">
        <v>15</v>
      </c>
      <c r="E175" s="19" t="s">
        <v>58</v>
      </c>
      <c r="F175" s="19" t="s">
        <v>49</v>
      </c>
      <c r="G175" s="19" t="s">
        <v>54</v>
      </c>
      <c r="H175" s="19" t="s">
        <v>33</v>
      </c>
      <c r="I175" s="19">
        <v>3</v>
      </c>
      <c r="J175" s="19">
        <v>4511</v>
      </c>
      <c r="K175" s="19">
        <v>16</v>
      </c>
      <c r="L175" s="19">
        <v>11367.72</v>
      </c>
      <c r="M175" s="19">
        <f t="shared" si="6"/>
        <v>3881037.4000000004</v>
      </c>
      <c r="N175" s="20">
        <f t="shared" si="7"/>
        <v>4692.9110036275697</v>
      </c>
      <c r="O175" s="19">
        <f t="shared" si="8"/>
        <v>2286</v>
      </c>
      <c r="P175" s="19" t="str">
        <v>High</v>
      </c>
    </row>
    <row r="176" spans="1:16" x14ac:dyDescent="0.3">
      <c r="A176" s="2" t="s">
        <v>715</v>
      </c>
      <c r="B176" s="2" t="s">
        <v>716</v>
      </c>
      <c r="C176" s="19" t="s">
        <v>74</v>
      </c>
      <c r="D176" s="19" t="s">
        <v>23</v>
      </c>
      <c r="E176" s="19" t="s">
        <v>68</v>
      </c>
      <c r="F176" s="19" t="s">
        <v>17</v>
      </c>
      <c r="G176" s="19" t="s">
        <v>26</v>
      </c>
      <c r="H176" s="19" t="s">
        <v>33</v>
      </c>
      <c r="I176" s="19">
        <v>4</v>
      </c>
      <c r="J176" s="19">
        <v>3023</v>
      </c>
      <c r="K176" s="19">
        <v>6</v>
      </c>
      <c r="L176" s="19">
        <v>11366.48</v>
      </c>
      <c r="M176" s="19">
        <f t="shared" si="6"/>
        <v>3869669.6800000006</v>
      </c>
      <c r="N176" s="20">
        <f t="shared" si="7"/>
        <v>4684.8301210653763</v>
      </c>
      <c r="O176" s="19">
        <f t="shared" si="8"/>
        <v>2283</v>
      </c>
      <c r="P176" s="19" t="str">
        <v>High</v>
      </c>
    </row>
    <row r="177" spans="1:16" x14ac:dyDescent="0.3">
      <c r="A177" s="2" t="s">
        <v>1325</v>
      </c>
      <c r="B177" s="2" t="s">
        <v>662</v>
      </c>
      <c r="C177" s="19" t="s">
        <v>228</v>
      </c>
      <c r="D177" s="19" t="s">
        <v>88</v>
      </c>
      <c r="E177" s="19" t="s">
        <v>58</v>
      </c>
      <c r="F177" s="19" t="s">
        <v>40</v>
      </c>
      <c r="G177" s="19" t="s">
        <v>26</v>
      </c>
      <c r="H177" s="19" t="s">
        <v>44</v>
      </c>
      <c r="I177" s="19">
        <v>4</v>
      </c>
      <c r="J177" s="19">
        <v>3983</v>
      </c>
      <c r="K177" s="19">
        <v>29</v>
      </c>
      <c r="L177" s="19">
        <v>11311.72</v>
      </c>
      <c r="M177" s="19">
        <f t="shared" si="6"/>
        <v>3858303.2000000007</v>
      </c>
      <c r="N177" s="20">
        <f t="shared" si="7"/>
        <v>4676.7311515151523</v>
      </c>
      <c r="O177" s="19">
        <f t="shared" si="8"/>
        <v>2279</v>
      </c>
      <c r="P177" s="19" t="str">
        <v>High</v>
      </c>
    </row>
    <row r="178" spans="1:16" x14ac:dyDescent="0.3">
      <c r="A178" s="2" t="s">
        <v>1554</v>
      </c>
      <c r="B178" s="2" t="s">
        <v>38</v>
      </c>
      <c r="C178" s="19" t="s">
        <v>87</v>
      </c>
      <c r="D178" s="19" t="s">
        <v>53</v>
      </c>
      <c r="E178" s="19" t="s">
        <v>79</v>
      </c>
      <c r="F178" s="19" t="s">
        <v>17</v>
      </c>
      <c r="G178" s="19" t="s">
        <v>40</v>
      </c>
      <c r="H178" s="19" t="s">
        <v>33</v>
      </c>
      <c r="I178" s="19">
        <v>3</v>
      </c>
      <c r="J178" s="19">
        <v>3887</v>
      </c>
      <c r="K178" s="19">
        <v>3</v>
      </c>
      <c r="L178" s="19">
        <v>11311.17</v>
      </c>
      <c r="M178" s="19">
        <f t="shared" si="6"/>
        <v>3846991.4800000004</v>
      </c>
      <c r="N178" s="20">
        <f t="shared" si="7"/>
        <v>4668.6789805825247</v>
      </c>
      <c r="O178" s="19">
        <f t="shared" si="8"/>
        <v>2275</v>
      </c>
      <c r="P178" s="19" t="str">
        <v>High</v>
      </c>
    </row>
    <row r="179" spans="1:16" x14ac:dyDescent="0.3">
      <c r="A179" s="2" t="s">
        <v>686</v>
      </c>
      <c r="B179" s="2" t="s">
        <v>687</v>
      </c>
      <c r="C179" s="19" t="s">
        <v>641</v>
      </c>
      <c r="D179" s="19" t="s">
        <v>15</v>
      </c>
      <c r="E179" s="19" t="s">
        <v>16</v>
      </c>
      <c r="F179" s="19" t="s">
        <v>17</v>
      </c>
      <c r="G179" s="19" t="s">
        <v>54</v>
      </c>
      <c r="H179" s="19" t="s">
        <v>75</v>
      </c>
      <c r="I179" s="19">
        <v>3</v>
      </c>
      <c r="J179" s="19">
        <v>4935</v>
      </c>
      <c r="K179" s="19">
        <v>24</v>
      </c>
      <c r="L179" s="19">
        <v>11251.8</v>
      </c>
      <c r="M179" s="19">
        <f t="shared" si="6"/>
        <v>3835680.3100000005</v>
      </c>
      <c r="N179" s="20">
        <f t="shared" si="7"/>
        <v>4660.6079100850557</v>
      </c>
      <c r="O179" s="19">
        <f t="shared" si="8"/>
        <v>2272</v>
      </c>
      <c r="P179" s="19" t="str">
        <v>High</v>
      </c>
    </row>
    <row r="180" spans="1:16" x14ac:dyDescent="0.3">
      <c r="A180" s="2" t="s">
        <v>650</v>
      </c>
      <c r="B180" s="2" t="s">
        <v>651</v>
      </c>
      <c r="C180" s="19" t="s">
        <v>652</v>
      </c>
      <c r="D180" s="19" t="s">
        <v>53</v>
      </c>
      <c r="E180" s="19" t="s">
        <v>16</v>
      </c>
      <c r="F180" s="19" t="s">
        <v>49</v>
      </c>
      <c r="G180" s="19" t="s">
        <v>18</v>
      </c>
      <c r="H180" s="19" t="s">
        <v>44</v>
      </c>
      <c r="I180" s="19">
        <v>5</v>
      </c>
      <c r="J180" s="19">
        <v>2462</v>
      </c>
      <c r="K180" s="19">
        <v>9</v>
      </c>
      <c r="L180" s="19">
        <v>11202.1</v>
      </c>
      <c r="M180" s="19">
        <f t="shared" si="6"/>
        <v>3824428.5100000007</v>
      </c>
      <c r="N180" s="20">
        <f t="shared" si="7"/>
        <v>4652.5894282238451</v>
      </c>
      <c r="O180" s="19">
        <f t="shared" si="8"/>
        <v>2269</v>
      </c>
      <c r="P180" s="19" t="str">
        <v>High</v>
      </c>
    </row>
    <row r="181" spans="1:16" x14ac:dyDescent="0.3">
      <c r="A181" s="2" t="s">
        <v>1405</v>
      </c>
      <c r="B181" s="2" t="s">
        <v>667</v>
      </c>
      <c r="C181" s="19" t="s">
        <v>1249</v>
      </c>
      <c r="D181" s="19" t="s">
        <v>15</v>
      </c>
      <c r="E181" s="19" t="s">
        <v>79</v>
      </c>
      <c r="F181" s="19" t="s">
        <v>32</v>
      </c>
      <c r="G181" s="19" t="s">
        <v>18</v>
      </c>
      <c r="H181" s="19" t="s">
        <v>33</v>
      </c>
      <c r="I181" s="19">
        <v>5</v>
      </c>
      <c r="J181" s="19">
        <v>3180</v>
      </c>
      <c r="K181" s="19">
        <v>30</v>
      </c>
      <c r="L181" s="19">
        <v>11130</v>
      </c>
      <c r="M181" s="19">
        <f t="shared" si="6"/>
        <v>3813226.4100000006</v>
      </c>
      <c r="N181" s="20">
        <f t="shared" si="7"/>
        <v>4644.6119488428749</v>
      </c>
      <c r="O181" s="19">
        <f t="shared" si="8"/>
        <v>2264</v>
      </c>
      <c r="P181" s="19" t="str">
        <v>High</v>
      </c>
    </row>
    <row r="182" spans="1:16" x14ac:dyDescent="0.3">
      <c r="A182" s="2" t="s">
        <v>314</v>
      </c>
      <c r="B182" s="2" t="s">
        <v>315</v>
      </c>
      <c r="C182" s="19" t="s">
        <v>160</v>
      </c>
      <c r="D182" s="19" t="s">
        <v>23</v>
      </c>
      <c r="E182" s="19" t="s">
        <v>16</v>
      </c>
      <c r="F182" s="19" t="s">
        <v>49</v>
      </c>
      <c r="G182" s="19" t="s">
        <v>18</v>
      </c>
      <c r="H182" s="19" t="s">
        <v>33</v>
      </c>
      <c r="I182" s="19">
        <v>5</v>
      </c>
      <c r="J182" s="19">
        <v>2342</v>
      </c>
      <c r="K182" s="19">
        <v>5</v>
      </c>
      <c r="L182" s="19">
        <v>11124.5</v>
      </c>
      <c r="M182" s="19">
        <f t="shared" si="6"/>
        <v>3802096.41</v>
      </c>
      <c r="N182" s="20">
        <f t="shared" si="7"/>
        <v>4636.7029390243906</v>
      </c>
      <c r="O182" s="19">
        <f t="shared" si="8"/>
        <v>2259</v>
      </c>
      <c r="P182" s="19" t="str">
        <v>High</v>
      </c>
    </row>
    <row r="183" spans="1:16" x14ac:dyDescent="0.3">
      <c r="A183" s="2" t="s">
        <v>1642</v>
      </c>
      <c r="B183" s="2" t="s">
        <v>592</v>
      </c>
      <c r="C183" s="19" t="s">
        <v>228</v>
      </c>
      <c r="D183" s="19" t="s">
        <v>88</v>
      </c>
      <c r="E183" s="19" t="s">
        <v>68</v>
      </c>
      <c r="F183" s="19" t="s">
        <v>49</v>
      </c>
      <c r="G183" s="19" t="s">
        <v>54</v>
      </c>
      <c r="H183" s="19" t="s">
        <v>44</v>
      </c>
      <c r="I183" s="19">
        <v>5</v>
      </c>
      <c r="J183" s="19">
        <v>2616</v>
      </c>
      <c r="K183" s="19">
        <v>15</v>
      </c>
      <c r="L183" s="19">
        <v>11118</v>
      </c>
      <c r="M183" s="19">
        <f t="shared" si="6"/>
        <v>3790971.9100000006</v>
      </c>
      <c r="N183" s="20">
        <f t="shared" si="7"/>
        <v>4628.7813308913319</v>
      </c>
      <c r="O183" s="19">
        <f t="shared" si="8"/>
        <v>2254</v>
      </c>
      <c r="P183" s="19" t="str">
        <v>High</v>
      </c>
    </row>
    <row r="184" spans="1:16" x14ac:dyDescent="0.3">
      <c r="A184" s="2" t="s">
        <v>1192</v>
      </c>
      <c r="B184" s="2" t="s">
        <v>456</v>
      </c>
      <c r="C184" s="19" t="s">
        <v>794</v>
      </c>
      <c r="D184" s="19" t="s">
        <v>88</v>
      </c>
      <c r="E184" s="19" t="s">
        <v>24</v>
      </c>
      <c r="F184" s="19" t="s">
        <v>40</v>
      </c>
      <c r="G184" s="19" t="s">
        <v>18</v>
      </c>
      <c r="H184" s="19" t="s">
        <v>75</v>
      </c>
      <c r="I184" s="19">
        <v>4</v>
      </c>
      <c r="J184" s="19">
        <v>2804</v>
      </c>
      <c r="K184" s="19">
        <v>1</v>
      </c>
      <c r="L184" s="19">
        <v>11103.84</v>
      </c>
      <c r="M184" s="19">
        <f t="shared" si="6"/>
        <v>3779853.9100000006</v>
      </c>
      <c r="N184" s="20">
        <f t="shared" si="7"/>
        <v>4620.8483007334971</v>
      </c>
      <c r="O184" s="19">
        <f t="shared" si="8"/>
        <v>2249</v>
      </c>
      <c r="P184" s="19" t="str">
        <v>High</v>
      </c>
    </row>
    <row r="185" spans="1:16" x14ac:dyDescent="0.3">
      <c r="A185" s="2" t="s">
        <v>648</v>
      </c>
      <c r="B185" s="2" t="s">
        <v>594</v>
      </c>
      <c r="C185" s="19" t="s">
        <v>649</v>
      </c>
      <c r="D185" s="19" t="s">
        <v>15</v>
      </c>
      <c r="E185" s="19" t="s">
        <v>58</v>
      </c>
      <c r="F185" s="19" t="s">
        <v>49</v>
      </c>
      <c r="G185" s="19" t="s">
        <v>18</v>
      </c>
      <c r="H185" s="19" t="s">
        <v>19</v>
      </c>
      <c r="I185" s="19">
        <v>4</v>
      </c>
      <c r="J185" s="19">
        <v>3225</v>
      </c>
      <c r="K185" s="19">
        <v>14</v>
      </c>
      <c r="L185" s="19">
        <v>11094</v>
      </c>
      <c r="M185" s="19">
        <f t="shared" si="6"/>
        <v>3768750.0700000008</v>
      </c>
      <c r="N185" s="20">
        <f t="shared" si="7"/>
        <v>4612.913182374542</v>
      </c>
      <c r="O185" s="19">
        <f t="shared" si="8"/>
        <v>2245</v>
      </c>
      <c r="P185" s="19" t="str">
        <v>High</v>
      </c>
    </row>
    <row r="186" spans="1:16" x14ac:dyDescent="0.3">
      <c r="A186" s="2" t="s">
        <v>1343</v>
      </c>
      <c r="B186" s="2" t="s">
        <v>1052</v>
      </c>
      <c r="C186" s="19" t="s">
        <v>1278</v>
      </c>
      <c r="D186" s="19" t="s">
        <v>53</v>
      </c>
      <c r="E186" s="19" t="s">
        <v>68</v>
      </c>
      <c r="F186" s="19" t="s">
        <v>17</v>
      </c>
      <c r="G186" s="19" t="s">
        <v>62</v>
      </c>
      <c r="H186" s="19" t="s">
        <v>44</v>
      </c>
      <c r="I186" s="19">
        <v>3</v>
      </c>
      <c r="J186" s="19">
        <v>4612</v>
      </c>
      <c r="K186" s="19">
        <v>20</v>
      </c>
      <c r="L186" s="19">
        <v>11068.8</v>
      </c>
      <c r="M186" s="19">
        <f t="shared" si="6"/>
        <v>3757656.0700000008</v>
      </c>
      <c r="N186" s="20">
        <f t="shared" si="7"/>
        <v>4604.9706740196089</v>
      </c>
      <c r="O186" s="19">
        <f t="shared" si="8"/>
        <v>2241</v>
      </c>
      <c r="P186" s="19" t="str">
        <v>High</v>
      </c>
    </row>
    <row r="187" spans="1:16" x14ac:dyDescent="0.3">
      <c r="A187" s="2" t="s">
        <v>1651</v>
      </c>
      <c r="B187" s="2" t="s">
        <v>1045</v>
      </c>
      <c r="C187" s="19" t="s">
        <v>658</v>
      </c>
      <c r="D187" s="19" t="s">
        <v>15</v>
      </c>
      <c r="E187" s="19" t="s">
        <v>68</v>
      </c>
      <c r="F187" s="19" t="s">
        <v>40</v>
      </c>
      <c r="G187" s="19" t="s">
        <v>54</v>
      </c>
      <c r="H187" s="19" t="s">
        <v>44</v>
      </c>
      <c r="I187" s="19">
        <v>5</v>
      </c>
      <c r="J187" s="19">
        <v>2380</v>
      </c>
      <c r="K187" s="19">
        <v>7</v>
      </c>
      <c r="L187" s="19">
        <v>11067</v>
      </c>
      <c r="M187" s="19">
        <f t="shared" si="6"/>
        <v>3746587.27</v>
      </c>
      <c r="N187" s="20">
        <f t="shared" si="7"/>
        <v>4597.0395950920247</v>
      </c>
      <c r="O187" s="19">
        <f t="shared" si="8"/>
        <v>2238</v>
      </c>
      <c r="P187" s="19" t="str">
        <v>High</v>
      </c>
    </row>
    <row r="188" spans="1:16" x14ac:dyDescent="0.3">
      <c r="A188" s="2" t="s">
        <v>1277</v>
      </c>
      <c r="B188" s="2" t="s">
        <v>110</v>
      </c>
      <c r="C188" s="19" t="s">
        <v>1278</v>
      </c>
      <c r="D188" s="19" t="s">
        <v>15</v>
      </c>
      <c r="E188" s="19" t="s">
        <v>58</v>
      </c>
      <c r="F188" s="19" t="s">
        <v>32</v>
      </c>
      <c r="G188" s="19" t="s">
        <v>54</v>
      </c>
      <c r="H188" s="19" t="s">
        <v>19</v>
      </c>
      <c r="I188" s="19">
        <v>4</v>
      </c>
      <c r="J188" s="19">
        <v>3029</v>
      </c>
      <c r="K188" s="19">
        <v>9</v>
      </c>
      <c r="L188" s="19">
        <v>11025.56</v>
      </c>
      <c r="M188" s="19">
        <f t="shared" si="6"/>
        <v>3735520.2700000005</v>
      </c>
      <c r="N188" s="20">
        <f t="shared" si="7"/>
        <v>4589.0912407862415</v>
      </c>
      <c r="O188" s="19">
        <f t="shared" si="8"/>
        <v>2233</v>
      </c>
      <c r="P188" s="19" t="str">
        <v>High</v>
      </c>
    </row>
    <row r="189" spans="1:16" x14ac:dyDescent="0.3">
      <c r="A189" s="2" t="s">
        <v>837</v>
      </c>
      <c r="B189" s="2" t="s">
        <v>723</v>
      </c>
      <c r="C189" s="19" t="s">
        <v>838</v>
      </c>
      <c r="D189" s="19" t="s">
        <v>23</v>
      </c>
      <c r="E189" s="19" t="s">
        <v>79</v>
      </c>
      <c r="F189" s="19" t="s">
        <v>40</v>
      </c>
      <c r="G189" s="19" t="s">
        <v>26</v>
      </c>
      <c r="H189" s="19" t="s">
        <v>44</v>
      </c>
      <c r="I189" s="19">
        <v>4</v>
      </c>
      <c r="J189" s="19">
        <v>2735</v>
      </c>
      <c r="K189" s="19">
        <v>0</v>
      </c>
      <c r="L189" s="19">
        <v>10940</v>
      </c>
      <c r="M189" s="19">
        <f t="shared" si="6"/>
        <v>3724494.7100000004</v>
      </c>
      <c r="N189" s="20">
        <f t="shared" si="7"/>
        <v>4581.1743050430514</v>
      </c>
      <c r="O189" s="19">
        <f t="shared" si="8"/>
        <v>2229</v>
      </c>
      <c r="P189" s="19" t="str">
        <v>High</v>
      </c>
    </row>
    <row r="190" spans="1:16" x14ac:dyDescent="0.3">
      <c r="A190" s="2" t="s">
        <v>579</v>
      </c>
      <c r="B190" s="2" t="s">
        <v>300</v>
      </c>
      <c r="C190" s="19" t="s">
        <v>350</v>
      </c>
      <c r="D190" s="19" t="s">
        <v>53</v>
      </c>
      <c r="E190" s="19" t="s">
        <v>68</v>
      </c>
      <c r="F190" s="19" t="s">
        <v>40</v>
      </c>
      <c r="G190" s="19" t="s">
        <v>26</v>
      </c>
      <c r="H190" s="19" t="s">
        <v>44</v>
      </c>
      <c r="I190" s="19">
        <v>3</v>
      </c>
      <c r="J190" s="19">
        <v>4320</v>
      </c>
      <c r="K190" s="19">
        <v>16</v>
      </c>
      <c r="L190" s="19">
        <v>10886.4</v>
      </c>
      <c r="M190" s="19">
        <f t="shared" si="6"/>
        <v>3713554.7100000009</v>
      </c>
      <c r="N190" s="20">
        <f t="shared" si="7"/>
        <v>4573.3432389162572</v>
      </c>
      <c r="O190" s="19">
        <f t="shared" si="8"/>
        <v>2225</v>
      </c>
      <c r="P190" s="19" t="str">
        <v>High</v>
      </c>
    </row>
    <row r="191" spans="1:16" x14ac:dyDescent="0.3">
      <c r="A191" s="2" t="s">
        <v>464</v>
      </c>
      <c r="B191" s="2" t="s">
        <v>110</v>
      </c>
      <c r="C191" s="19" t="s">
        <v>465</v>
      </c>
      <c r="D191" s="19" t="s">
        <v>88</v>
      </c>
      <c r="E191" s="19" t="s">
        <v>68</v>
      </c>
      <c r="F191" s="19" t="s">
        <v>40</v>
      </c>
      <c r="G191" s="19" t="s">
        <v>26</v>
      </c>
      <c r="H191" s="19" t="s">
        <v>75</v>
      </c>
      <c r="I191" s="19">
        <v>4</v>
      </c>
      <c r="J191" s="19">
        <v>3354</v>
      </c>
      <c r="K191" s="19">
        <v>19</v>
      </c>
      <c r="L191" s="19">
        <v>10866.96</v>
      </c>
      <c r="M191" s="19">
        <f t="shared" si="6"/>
        <v>3702668.3100000005</v>
      </c>
      <c r="N191" s="20">
        <f t="shared" si="7"/>
        <v>4565.5589519112218</v>
      </c>
      <c r="O191" s="19">
        <f t="shared" si="8"/>
        <v>2222</v>
      </c>
      <c r="P191" s="19" t="str">
        <v>High</v>
      </c>
    </row>
    <row r="192" spans="1:16" x14ac:dyDescent="0.3">
      <c r="A192" s="2" t="s">
        <v>557</v>
      </c>
      <c r="B192" s="2" t="s">
        <v>495</v>
      </c>
      <c r="C192" s="19" t="s">
        <v>558</v>
      </c>
      <c r="D192" s="19" t="s">
        <v>15</v>
      </c>
      <c r="E192" s="19" t="s">
        <v>31</v>
      </c>
      <c r="F192" s="19" t="s">
        <v>32</v>
      </c>
      <c r="G192" s="19" t="s">
        <v>26</v>
      </c>
      <c r="H192" s="19" t="s">
        <v>19</v>
      </c>
      <c r="I192" s="19">
        <v>5</v>
      </c>
      <c r="J192" s="19">
        <v>2937</v>
      </c>
      <c r="K192" s="19">
        <v>26</v>
      </c>
      <c r="L192" s="19">
        <v>10866.9</v>
      </c>
      <c r="M192" s="19">
        <f t="shared" si="6"/>
        <v>3691801.3500000006</v>
      </c>
      <c r="N192" s="20">
        <f t="shared" si="7"/>
        <v>4557.7794444444453</v>
      </c>
      <c r="O192" s="19">
        <f t="shared" si="8"/>
        <v>2218</v>
      </c>
      <c r="P192" s="19" t="str">
        <v>High</v>
      </c>
    </row>
    <row r="193" spans="1:16" x14ac:dyDescent="0.3">
      <c r="A193" s="2" t="s">
        <v>680</v>
      </c>
      <c r="B193" s="2" t="s">
        <v>681</v>
      </c>
      <c r="C193" s="19" t="s">
        <v>682</v>
      </c>
      <c r="D193" s="19" t="s">
        <v>53</v>
      </c>
      <c r="E193" s="19" t="s">
        <v>58</v>
      </c>
      <c r="F193" s="19" t="s">
        <v>25</v>
      </c>
      <c r="G193" s="19" t="s">
        <v>26</v>
      </c>
      <c r="H193" s="19" t="s">
        <v>75</v>
      </c>
      <c r="I193" s="19">
        <v>5</v>
      </c>
      <c r="J193" s="19">
        <v>2547</v>
      </c>
      <c r="K193" s="19">
        <v>15</v>
      </c>
      <c r="L193" s="19">
        <v>10824.75</v>
      </c>
      <c r="M193" s="19">
        <f t="shared" si="6"/>
        <v>3680934.4500000007</v>
      </c>
      <c r="N193" s="20">
        <f t="shared" si="7"/>
        <v>4549.9807787391846</v>
      </c>
      <c r="O193" s="19">
        <f t="shared" si="8"/>
        <v>2213</v>
      </c>
      <c r="P193" s="19" t="str">
        <v>High</v>
      </c>
    </row>
    <row r="194" spans="1:16" x14ac:dyDescent="0.3">
      <c r="A194" s="2" t="s">
        <v>1441</v>
      </c>
      <c r="B194" s="2" t="s">
        <v>1442</v>
      </c>
      <c r="C194" s="19" t="s">
        <v>480</v>
      </c>
      <c r="D194" s="19" t="s">
        <v>53</v>
      </c>
      <c r="E194" s="19" t="s">
        <v>48</v>
      </c>
      <c r="F194" s="19" t="s">
        <v>40</v>
      </c>
      <c r="G194" s="19" t="s">
        <v>62</v>
      </c>
      <c r="H194" s="19" t="s">
        <v>75</v>
      </c>
      <c r="I194" s="19">
        <v>4</v>
      </c>
      <c r="J194" s="19">
        <v>3179</v>
      </c>
      <c r="K194" s="19">
        <v>15</v>
      </c>
      <c r="L194" s="19">
        <v>10808.6</v>
      </c>
      <c r="M194" s="19">
        <f t="shared" ref="M194:M257" si="9">SUM(L194:L1193)</f>
        <v>3670109.7000000007</v>
      </c>
      <c r="N194" s="20">
        <f t="shared" ref="N194:N257" si="10">AVERAGE(L194:L1193)</f>
        <v>4542.2149752475252</v>
      </c>
      <c r="O194" s="19">
        <f t="shared" ref="O194:O257" si="11">SUM(I194:I1193)</f>
        <v>2208</v>
      </c>
      <c r="P194" s="19" t="str">
        <v>High</v>
      </c>
    </row>
    <row r="195" spans="1:16" x14ac:dyDescent="0.3">
      <c r="A195" s="2" t="s">
        <v>452</v>
      </c>
      <c r="B195" s="2" t="s">
        <v>453</v>
      </c>
      <c r="C195" s="19" t="s">
        <v>454</v>
      </c>
      <c r="D195" s="19" t="s">
        <v>88</v>
      </c>
      <c r="E195" s="19" t="s">
        <v>31</v>
      </c>
      <c r="F195" s="19" t="s">
        <v>49</v>
      </c>
      <c r="G195" s="19" t="s">
        <v>40</v>
      </c>
      <c r="H195" s="19" t="s">
        <v>75</v>
      </c>
      <c r="I195" s="19">
        <v>3</v>
      </c>
      <c r="J195" s="19">
        <v>4445</v>
      </c>
      <c r="K195" s="19">
        <v>19</v>
      </c>
      <c r="L195" s="19">
        <v>10801.35</v>
      </c>
      <c r="M195" s="19">
        <f t="shared" si="9"/>
        <v>3659301.1</v>
      </c>
      <c r="N195" s="20">
        <f t="shared" si="10"/>
        <v>4534.4499380421312</v>
      </c>
      <c r="O195" s="19">
        <f t="shared" si="11"/>
        <v>2204</v>
      </c>
      <c r="P195" s="19" t="str">
        <v>High</v>
      </c>
    </row>
    <row r="196" spans="1:16" x14ac:dyDescent="0.3">
      <c r="A196" s="2" t="s">
        <v>1356</v>
      </c>
      <c r="B196" s="2" t="s">
        <v>138</v>
      </c>
      <c r="C196" s="19" t="s">
        <v>1266</v>
      </c>
      <c r="D196" s="19" t="s">
        <v>88</v>
      </c>
      <c r="E196" s="19" t="s">
        <v>31</v>
      </c>
      <c r="F196" s="19" t="s">
        <v>40</v>
      </c>
      <c r="G196" s="19" t="s">
        <v>26</v>
      </c>
      <c r="H196" s="19" t="s">
        <v>33</v>
      </c>
      <c r="I196" s="19">
        <v>4</v>
      </c>
      <c r="J196" s="19">
        <v>2803</v>
      </c>
      <c r="K196" s="19">
        <v>4</v>
      </c>
      <c r="L196" s="19">
        <v>10763.52</v>
      </c>
      <c r="M196" s="19">
        <f t="shared" si="9"/>
        <v>3648499.7499999995</v>
      </c>
      <c r="N196" s="20">
        <f t="shared" si="10"/>
        <v>4526.6746277915627</v>
      </c>
      <c r="O196" s="19">
        <f t="shared" si="11"/>
        <v>2201</v>
      </c>
      <c r="P196" s="19" t="str">
        <v>High</v>
      </c>
    </row>
    <row r="197" spans="1:16" x14ac:dyDescent="0.3">
      <c r="A197" s="2" t="s">
        <v>1069</v>
      </c>
      <c r="B197" s="2" t="s">
        <v>637</v>
      </c>
      <c r="C197" s="19" t="s">
        <v>273</v>
      </c>
      <c r="D197" s="19" t="s">
        <v>15</v>
      </c>
      <c r="E197" s="19" t="s">
        <v>16</v>
      </c>
      <c r="F197" s="19" t="s">
        <v>32</v>
      </c>
      <c r="G197" s="19" t="s">
        <v>18</v>
      </c>
      <c r="H197" s="19" t="s">
        <v>33</v>
      </c>
      <c r="I197" s="19">
        <v>4</v>
      </c>
      <c r="J197" s="19">
        <v>3537</v>
      </c>
      <c r="K197" s="19">
        <v>24</v>
      </c>
      <c r="L197" s="19">
        <v>10752.48</v>
      </c>
      <c r="M197" s="19">
        <f t="shared" si="9"/>
        <v>3637736.2299999995</v>
      </c>
      <c r="N197" s="20">
        <f t="shared" si="10"/>
        <v>4518.9269937888193</v>
      </c>
      <c r="O197" s="19">
        <f t="shared" si="11"/>
        <v>2197</v>
      </c>
      <c r="P197" s="19" t="str">
        <v>High</v>
      </c>
    </row>
    <row r="198" spans="1:16" x14ac:dyDescent="0.3">
      <c r="A198" s="2" t="s">
        <v>387</v>
      </c>
      <c r="B198" s="2" t="s">
        <v>21</v>
      </c>
      <c r="C198" s="19" t="s">
        <v>273</v>
      </c>
      <c r="D198" s="19" t="s">
        <v>23</v>
      </c>
      <c r="E198" s="19" t="s">
        <v>48</v>
      </c>
      <c r="F198" s="19" t="s">
        <v>49</v>
      </c>
      <c r="G198" s="19" t="s">
        <v>62</v>
      </c>
      <c r="H198" s="19" t="s">
        <v>33</v>
      </c>
      <c r="I198" s="19">
        <v>3</v>
      </c>
      <c r="J198" s="19">
        <v>4966</v>
      </c>
      <c r="K198" s="19">
        <v>28</v>
      </c>
      <c r="L198" s="19">
        <v>10726.56</v>
      </c>
      <c r="M198" s="19">
        <f t="shared" si="9"/>
        <v>3626983.7499999995</v>
      </c>
      <c r="N198" s="20">
        <f t="shared" si="10"/>
        <v>4511.1738184079595</v>
      </c>
      <c r="O198" s="19">
        <f t="shared" si="11"/>
        <v>2193</v>
      </c>
      <c r="P198" s="19" t="str">
        <v>High</v>
      </c>
    </row>
    <row r="199" spans="1:16" x14ac:dyDescent="0.3">
      <c r="A199" s="2" t="s">
        <v>1623</v>
      </c>
      <c r="B199" s="2" t="s">
        <v>440</v>
      </c>
      <c r="C199" s="19" t="s">
        <v>709</v>
      </c>
      <c r="D199" s="19" t="s">
        <v>53</v>
      </c>
      <c r="E199" s="19" t="s">
        <v>31</v>
      </c>
      <c r="F199" s="19" t="s">
        <v>17</v>
      </c>
      <c r="G199" s="19" t="s">
        <v>54</v>
      </c>
      <c r="H199" s="19" t="s">
        <v>19</v>
      </c>
      <c r="I199" s="19">
        <v>4</v>
      </c>
      <c r="J199" s="19">
        <v>3570</v>
      </c>
      <c r="K199" s="19">
        <v>25</v>
      </c>
      <c r="L199" s="19">
        <v>10710</v>
      </c>
      <c r="M199" s="19">
        <f t="shared" si="9"/>
        <v>3616257.19</v>
      </c>
      <c r="N199" s="20">
        <f t="shared" si="10"/>
        <v>4503.433611457036</v>
      </c>
      <c r="O199" s="19">
        <f t="shared" si="11"/>
        <v>2190</v>
      </c>
      <c r="P199" s="19" t="str">
        <v>High</v>
      </c>
    </row>
    <row r="200" spans="1:16" x14ac:dyDescent="0.3">
      <c r="A200" s="2" t="s">
        <v>1253</v>
      </c>
      <c r="B200" s="2" t="s">
        <v>1254</v>
      </c>
      <c r="C200" s="19" t="s">
        <v>172</v>
      </c>
      <c r="D200" s="19" t="s">
        <v>23</v>
      </c>
      <c r="E200" s="19" t="s">
        <v>48</v>
      </c>
      <c r="F200" s="19" t="s">
        <v>25</v>
      </c>
      <c r="G200" s="19" t="s">
        <v>40</v>
      </c>
      <c r="H200" s="19" t="s">
        <v>33</v>
      </c>
      <c r="I200" s="19">
        <v>3</v>
      </c>
      <c r="J200" s="19">
        <v>4184</v>
      </c>
      <c r="K200" s="19">
        <v>15</v>
      </c>
      <c r="L200" s="19">
        <v>10669.2</v>
      </c>
      <c r="M200" s="19">
        <f t="shared" si="9"/>
        <v>3605547.19</v>
      </c>
      <c r="N200" s="20">
        <f t="shared" si="10"/>
        <v>4495.694750623441</v>
      </c>
      <c r="O200" s="19">
        <f t="shared" si="11"/>
        <v>2186</v>
      </c>
      <c r="P200" s="19" t="str">
        <v>High</v>
      </c>
    </row>
    <row r="201" spans="1:16" x14ac:dyDescent="0.3">
      <c r="A201" s="2" t="s">
        <v>483</v>
      </c>
      <c r="B201" s="2" t="s">
        <v>362</v>
      </c>
      <c r="C201" s="19" t="s">
        <v>47</v>
      </c>
      <c r="D201" s="19" t="s">
        <v>15</v>
      </c>
      <c r="E201" s="19" t="s">
        <v>79</v>
      </c>
      <c r="F201" s="19" t="s">
        <v>49</v>
      </c>
      <c r="G201" s="19" t="s">
        <v>62</v>
      </c>
      <c r="H201" s="19" t="s">
        <v>19</v>
      </c>
      <c r="I201" s="19">
        <v>3</v>
      </c>
      <c r="J201" s="19">
        <v>4282</v>
      </c>
      <c r="K201" s="19">
        <v>17</v>
      </c>
      <c r="L201" s="19">
        <v>10662.18</v>
      </c>
      <c r="M201" s="19">
        <f t="shared" si="9"/>
        <v>3594877.9899999998</v>
      </c>
      <c r="N201" s="20">
        <f t="shared" si="10"/>
        <v>4487.9875031210986</v>
      </c>
      <c r="O201" s="19">
        <f t="shared" si="11"/>
        <v>2183</v>
      </c>
      <c r="P201" s="19" t="str">
        <v>High</v>
      </c>
    </row>
    <row r="202" spans="1:16" x14ac:dyDescent="0.3">
      <c r="A202" s="2" t="s">
        <v>951</v>
      </c>
      <c r="B202" s="2" t="s">
        <v>210</v>
      </c>
      <c r="C202" s="19" t="s">
        <v>342</v>
      </c>
      <c r="D202" s="19" t="s">
        <v>30</v>
      </c>
      <c r="E202" s="19" t="s">
        <v>24</v>
      </c>
      <c r="F202" s="19" t="s">
        <v>32</v>
      </c>
      <c r="G202" s="19" t="s">
        <v>26</v>
      </c>
      <c r="H202" s="19" t="s">
        <v>75</v>
      </c>
      <c r="I202" s="19">
        <v>4</v>
      </c>
      <c r="J202" s="19">
        <v>3204</v>
      </c>
      <c r="K202" s="19">
        <v>17</v>
      </c>
      <c r="L202" s="19">
        <v>10637.28</v>
      </c>
      <c r="M202" s="19">
        <f t="shared" si="9"/>
        <v>3584215.81</v>
      </c>
      <c r="N202" s="20">
        <f t="shared" si="10"/>
        <v>4480.2697625000001</v>
      </c>
      <c r="O202" s="19">
        <f t="shared" si="11"/>
        <v>2180</v>
      </c>
      <c r="P202" s="19" t="str">
        <v>High</v>
      </c>
    </row>
    <row r="203" spans="1:16" x14ac:dyDescent="0.3">
      <c r="A203" s="2" t="s">
        <v>762</v>
      </c>
      <c r="B203" s="2" t="s">
        <v>159</v>
      </c>
      <c r="C203" s="19" t="s">
        <v>743</v>
      </c>
      <c r="D203" s="19" t="s">
        <v>88</v>
      </c>
      <c r="E203" s="19" t="s">
        <v>79</v>
      </c>
      <c r="F203" s="19" t="s">
        <v>49</v>
      </c>
      <c r="G203" s="19" t="s">
        <v>62</v>
      </c>
      <c r="H203" s="19" t="s">
        <v>33</v>
      </c>
      <c r="I203" s="19">
        <v>5</v>
      </c>
      <c r="J203" s="19">
        <v>2216</v>
      </c>
      <c r="K203" s="19">
        <v>4</v>
      </c>
      <c r="L203" s="19">
        <v>10636.8</v>
      </c>
      <c r="M203" s="19">
        <f t="shared" si="9"/>
        <v>3573578.5299999993</v>
      </c>
      <c r="N203" s="20">
        <f t="shared" si="10"/>
        <v>4472.5638673341673</v>
      </c>
      <c r="O203" s="19">
        <f t="shared" si="11"/>
        <v>2176</v>
      </c>
      <c r="P203" s="19" t="str">
        <v>High</v>
      </c>
    </row>
    <row r="204" spans="1:16" x14ac:dyDescent="0.3">
      <c r="A204" s="2" t="s">
        <v>1328</v>
      </c>
      <c r="B204" s="2" t="s">
        <v>269</v>
      </c>
      <c r="C204" s="19" t="s">
        <v>311</v>
      </c>
      <c r="D204" s="19" t="s">
        <v>23</v>
      </c>
      <c r="E204" s="19" t="s">
        <v>58</v>
      </c>
      <c r="F204" s="19" t="s">
        <v>49</v>
      </c>
      <c r="G204" s="19" t="s">
        <v>26</v>
      </c>
      <c r="H204" s="19" t="s">
        <v>75</v>
      </c>
      <c r="I204" s="19">
        <v>4</v>
      </c>
      <c r="J204" s="19">
        <v>3088</v>
      </c>
      <c r="K204" s="19">
        <v>14</v>
      </c>
      <c r="L204" s="19">
        <v>10622.72</v>
      </c>
      <c r="M204" s="19">
        <f t="shared" si="9"/>
        <v>3562941.7299999995</v>
      </c>
      <c r="N204" s="20">
        <f t="shared" si="10"/>
        <v>4464.8392606516281</v>
      </c>
      <c r="O204" s="19">
        <f t="shared" si="11"/>
        <v>2171</v>
      </c>
      <c r="P204" s="19" t="str">
        <v>High</v>
      </c>
    </row>
    <row r="205" spans="1:16" x14ac:dyDescent="0.3">
      <c r="A205" s="2" t="s">
        <v>1056</v>
      </c>
      <c r="B205" s="2" t="s">
        <v>871</v>
      </c>
      <c r="C205" s="19" t="s">
        <v>1057</v>
      </c>
      <c r="D205" s="19" t="s">
        <v>15</v>
      </c>
      <c r="E205" s="19" t="s">
        <v>24</v>
      </c>
      <c r="F205" s="19" t="s">
        <v>25</v>
      </c>
      <c r="G205" s="19" t="s">
        <v>26</v>
      </c>
      <c r="H205" s="19" t="s">
        <v>19</v>
      </c>
      <c r="I205" s="19">
        <v>3</v>
      </c>
      <c r="J205" s="19">
        <v>3785</v>
      </c>
      <c r="K205" s="19">
        <v>7</v>
      </c>
      <c r="L205" s="19">
        <v>10560.15</v>
      </c>
      <c r="M205" s="19">
        <f t="shared" si="9"/>
        <v>3552319.01</v>
      </c>
      <c r="N205" s="20">
        <f t="shared" si="10"/>
        <v>4457.1129360100376</v>
      </c>
      <c r="O205" s="19">
        <f t="shared" si="11"/>
        <v>2167</v>
      </c>
      <c r="P205" s="19" t="str">
        <v>High</v>
      </c>
    </row>
    <row r="206" spans="1:16" x14ac:dyDescent="0.3">
      <c r="A206" s="2" t="s">
        <v>1076</v>
      </c>
      <c r="B206" s="2" t="s">
        <v>1077</v>
      </c>
      <c r="C206" s="19" t="s">
        <v>139</v>
      </c>
      <c r="D206" s="19" t="s">
        <v>15</v>
      </c>
      <c r="E206" s="19" t="s">
        <v>68</v>
      </c>
      <c r="F206" s="19" t="s">
        <v>25</v>
      </c>
      <c r="G206" s="19" t="s">
        <v>62</v>
      </c>
      <c r="H206" s="19" t="s">
        <v>44</v>
      </c>
      <c r="I206" s="19">
        <v>5</v>
      </c>
      <c r="J206" s="19">
        <v>2477</v>
      </c>
      <c r="K206" s="19">
        <v>15</v>
      </c>
      <c r="L206" s="19">
        <v>10527.25</v>
      </c>
      <c r="M206" s="19">
        <f t="shared" si="9"/>
        <v>3541758.86</v>
      </c>
      <c r="N206" s="20">
        <f t="shared" si="10"/>
        <v>4449.4458040201007</v>
      </c>
      <c r="O206" s="19">
        <f t="shared" si="11"/>
        <v>2164</v>
      </c>
      <c r="P206" s="19" t="str">
        <v>High</v>
      </c>
    </row>
    <row r="207" spans="1:16" x14ac:dyDescent="0.3">
      <c r="A207" s="2" t="s">
        <v>1022</v>
      </c>
      <c r="B207" s="2" t="s">
        <v>631</v>
      </c>
      <c r="C207" s="19" t="s">
        <v>711</v>
      </c>
      <c r="D207" s="19" t="s">
        <v>88</v>
      </c>
      <c r="E207" s="19" t="s">
        <v>48</v>
      </c>
      <c r="F207" s="19" t="s">
        <v>32</v>
      </c>
      <c r="G207" s="19" t="s">
        <v>54</v>
      </c>
      <c r="H207" s="19" t="s">
        <v>44</v>
      </c>
      <c r="I207" s="19">
        <v>4</v>
      </c>
      <c r="J207" s="19">
        <v>3162</v>
      </c>
      <c r="K207" s="19">
        <v>17</v>
      </c>
      <c r="L207" s="19">
        <v>10497.84</v>
      </c>
      <c r="M207" s="19">
        <f t="shared" si="9"/>
        <v>3531231.6100000003</v>
      </c>
      <c r="N207" s="20">
        <f t="shared" si="10"/>
        <v>4441.8007672955982</v>
      </c>
      <c r="O207" s="19">
        <f t="shared" si="11"/>
        <v>2159</v>
      </c>
      <c r="P207" s="19" t="str">
        <v>High</v>
      </c>
    </row>
    <row r="208" spans="1:16" x14ac:dyDescent="0.3">
      <c r="A208" s="2" t="s">
        <v>916</v>
      </c>
      <c r="B208" s="2" t="s">
        <v>509</v>
      </c>
      <c r="C208" s="19" t="s">
        <v>317</v>
      </c>
      <c r="D208" s="19" t="s">
        <v>30</v>
      </c>
      <c r="E208" s="19" t="s">
        <v>79</v>
      </c>
      <c r="F208" s="19" t="s">
        <v>49</v>
      </c>
      <c r="G208" s="19" t="s">
        <v>54</v>
      </c>
      <c r="H208" s="19" t="s">
        <v>44</v>
      </c>
      <c r="I208" s="19">
        <v>3</v>
      </c>
      <c r="J208" s="19">
        <v>4975</v>
      </c>
      <c r="K208" s="19">
        <v>30</v>
      </c>
      <c r="L208" s="19">
        <v>10447.5</v>
      </c>
      <c r="M208" s="19">
        <f t="shared" si="9"/>
        <v>3520733.7700000005</v>
      </c>
      <c r="N208" s="20">
        <f t="shared" si="10"/>
        <v>4434.1735138539052</v>
      </c>
      <c r="O208" s="19">
        <f t="shared" si="11"/>
        <v>2155</v>
      </c>
      <c r="P208" s="19" t="str">
        <v>High</v>
      </c>
    </row>
    <row r="209" spans="1:16" x14ac:dyDescent="0.3">
      <c r="A209" s="2" t="s">
        <v>1071</v>
      </c>
      <c r="B209" s="2" t="s">
        <v>1072</v>
      </c>
      <c r="C209" s="19" t="s">
        <v>480</v>
      </c>
      <c r="D209" s="19" t="s">
        <v>88</v>
      </c>
      <c r="E209" s="19" t="s">
        <v>68</v>
      </c>
      <c r="F209" s="19" t="s">
        <v>17</v>
      </c>
      <c r="G209" s="19" t="s">
        <v>54</v>
      </c>
      <c r="H209" s="19" t="s">
        <v>19</v>
      </c>
      <c r="I209" s="19">
        <v>4</v>
      </c>
      <c r="J209" s="19">
        <v>2991</v>
      </c>
      <c r="K209" s="19">
        <v>13</v>
      </c>
      <c r="L209" s="19">
        <v>10408.68</v>
      </c>
      <c r="M209" s="19">
        <f t="shared" si="9"/>
        <v>3510286.2700000005</v>
      </c>
      <c r="N209" s="20">
        <f t="shared" si="10"/>
        <v>4426.5905044136198</v>
      </c>
      <c r="O209" s="19">
        <f t="shared" si="11"/>
        <v>2152</v>
      </c>
      <c r="P209" s="19" t="str">
        <v>High</v>
      </c>
    </row>
    <row r="210" spans="1:16" x14ac:dyDescent="0.3">
      <c r="A210" s="2" t="s">
        <v>937</v>
      </c>
      <c r="B210" s="2" t="s">
        <v>734</v>
      </c>
      <c r="C210" s="19" t="s">
        <v>836</v>
      </c>
      <c r="D210" s="19" t="s">
        <v>88</v>
      </c>
      <c r="E210" s="19" t="s">
        <v>31</v>
      </c>
      <c r="F210" s="19" t="s">
        <v>32</v>
      </c>
      <c r="G210" s="19" t="s">
        <v>26</v>
      </c>
      <c r="H210" s="19" t="s">
        <v>19</v>
      </c>
      <c r="I210" s="19">
        <v>3</v>
      </c>
      <c r="J210" s="19">
        <v>4875</v>
      </c>
      <c r="K210" s="19">
        <v>29</v>
      </c>
      <c r="L210" s="19">
        <v>10383.75</v>
      </c>
      <c r="M210" s="19">
        <f t="shared" si="9"/>
        <v>3499877.5900000008</v>
      </c>
      <c r="N210" s="20">
        <f t="shared" si="10"/>
        <v>4419.0373611111117</v>
      </c>
      <c r="O210" s="19">
        <f t="shared" si="11"/>
        <v>2148</v>
      </c>
      <c r="P210" s="19" t="str">
        <v>High</v>
      </c>
    </row>
    <row r="211" spans="1:16" x14ac:dyDescent="0.3">
      <c r="A211" s="2" t="s">
        <v>697</v>
      </c>
      <c r="B211" s="2" t="s">
        <v>165</v>
      </c>
      <c r="C211" s="19" t="s">
        <v>698</v>
      </c>
      <c r="D211" s="19" t="s">
        <v>23</v>
      </c>
      <c r="E211" s="19" t="s">
        <v>16</v>
      </c>
      <c r="F211" s="19" t="s">
        <v>49</v>
      </c>
      <c r="G211" s="19" t="s">
        <v>26</v>
      </c>
      <c r="H211" s="19" t="s">
        <v>75</v>
      </c>
      <c r="I211" s="19">
        <v>5</v>
      </c>
      <c r="J211" s="19">
        <v>2296</v>
      </c>
      <c r="K211" s="19">
        <v>10</v>
      </c>
      <c r="L211" s="19">
        <v>10332</v>
      </c>
      <c r="M211" s="19">
        <f t="shared" si="9"/>
        <v>3489493.8400000008</v>
      </c>
      <c r="N211" s="20">
        <f t="shared" si="10"/>
        <v>4411.496637168143</v>
      </c>
      <c r="O211" s="19">
        <f t="shared" si="11"/>
        <v>2145</v>
      </c>
      <c r="P211" s="19" t="str">
        <v>High</v>
      </c>
    </row>
    <row r="212" spans="1:16" x14ac:dyDescent="0.3">
      <c r="A212" s="2" t="s">
        <v>382</v>
      </c>
      <c r="B212" s="2" t="s">
        <v>227</v>
      </c>
      <c r="C212" s="19" t="s">
        <v>383</v>
      </c>
      <c r="D212" s="19" t="s">
        <v>53</v>
      </c>
      <c r="E212" s="19" t="s">
        <v>31</v>
      </c>
      <c r="F212" s="19" t="s">
        <v>32</v>
      </c>
      <c r="G212" s="19" t="s">
        <v>26</v>
      </c>
      <c r="H212" s="19" t="s">
        <v>44</v>
      </c>
      <c r="I212" s="19">
        <v>3</v>
      </c>
      <c r="J212" s="19">
        <v>3437</v>
      </c>
      <c r="K212" s="19">
        <v>0</v>
      </c>
      <c r="L212" s="19">
        <v>10311</v>
      </c>
      <c r="M212" s="19">
        <f t="shared" si="9"/>
        <v>3479161.8400000003</v>
      </c>
      <c r="N212" s="20">
        <f t="shared" si="10"/>
        <v>4404.0023291139241</v>
      </c>
      <c r="O212" s="19">
        <f t="shared" si="11"/>
        <v>2140</v>
      </c>
      <c r="P212" s="19" t="str">
        <v>High</v>
      </c>
    </row>
    <row r="213" spans="1:16" x14ac:dyDescent="0.3">
      <c r="A213" s="2" t="s">
        <v>1313</v>
      </c>
      <c r="B213" s="2" t="s">
        <v>1314</v>
      </c>
      <c r="C213" s="19" t="s">
        <v>1276</v>
      </c>
      <c r="D213" s="19" t="s">
        <v>88</v>
      </c>
      <c r="E213" s="19" t="s">
        <v>79</v>
      </c>
      <c r="F213" s="19" t="s">
        <v>49</v>
      </c>
      <c r="G213" s="19" t="s">
        <v>54</v>
      </c>
      <c r="H213" s="19" t="s">
        <v>33</v>
      </c>
      <c r="I213" s="19">
        <v>4</v>
      </c>
      <c r="J213" s="19">
        <v>2863</v>
      </c>
      <c r="K213" s="19">
        <v>10</v>
      </c>
      <c r="L213" s="19">
        <v>10306.799999999999</v>
      </c>
      <c r="M213" s="19">
        <f t="shared" si="9"/>
        <v>3468850.8400000003</v>
      </c>
      <c r="N213" s="20">
        <f t="shared" si="10"/>
        <v>4396.5156400506976</v>
      </c>
      <c r="O213" s="19">
        <f t="shared" si="11"/>
        <v>2137</v>
      </c>
      <c r="P213" s="19" t="str">
        <v>High</v>
      </c>
    </row>
    <row r="214" spans="1:16" x14ac:dyDescent="0.3">
      <c r="A214" s="2" t="s">
        <v>1437</v>
      </c>
      <c r="B214" s="2" t="s">
        <v>810</v>
      </c>
      <c r="C214" s="19" t="s">
        <v>311</v>
      </c>
      <c r="D214" s="19" t="s">
        <v>30</v>
      </c>
      <c r="E214" s="19" t="s">
        <v>16</v>
      </c>
      <c r="F214" s="19" t="s">
        <v>49</v>
      </c>
      <c r="G214" s="19" t="s">
        <v>26</v>
      </c>
      <c r="H214" s="19" t="s">
        <v>44</v>
      </c>
      <c r="I214" s="19">
        <v>5</v>
      </c>
      <c r="J214" s="19">
        <v>2210</v>
      </c>
      <c r="K214" s="19">
        <v>7</v>
      </c>
      <c r="L214" s="19">
        <v>10276.5</v>
      </c>
      <c r="M214" s="19">
        <f t="shared" si="9"/>
        <v>3458544.0400000005</v>
      </c>
      <c r="N214" s="20">
        <f t="shared" si="10"/>
        <v>4389.0152791878181</v>
      </c>
      <c r="O214" s="19">
        <f t="shared" si="11"/>
        <v>2133</v>
      </c>
      <c r="P214" s="19" t="str">
        <v>High</v>
      </c>
    </row>
    <row r="215" spans="1:16" x14ac:dyDescent="0.3">
      <c r="A215" s="2" t="s">
        <v>1064</v>
      </c>
      <c r="B215" s="2" t="s">
        <v>498</v>
      </c>
      <c r="C215" s="19" t="s">
        <v>609</v>
      </c>
      <c r="D215" s="19" t="s">
        <v>88</v>
      </c>
      <c r="E215" s="19" t="s">
        <v>16</v>
      </c>
      <c r="F215" s="19" t="s">
        <v>17</v>
      </c>
      <c r="G215" s="19" t="s">
        <v>26</v>
      </c>
      <c r="H215" s="19" t="s">
        <v>75</v>
      </c>
      <c r="I215" s="19">
        <v>4</v>
      </c>
      <c r="J215" s="19">
        <v>2676</v>
      </c>
      <c r="K215" s="19">
        <v>4</v>
      </c>
      <c r="L215" s="19">
        <v>10275.84</v>
      </c>
      <c r="M215" s="19">
        <f t="shared" si="9"/>
        <v>3448267.540000001</v>
      </c>
      <c r="N215" s="20">
        <f t="shared" si="10"/>
        <v>4381.5343583227459</v>
      </c>
      <c r="O215" s="19">
        <f t="shared" si="11"/>
        <v>2128</v>
      </c>
      <c r="P215" s="19" t="str">
        <v>High</v>
      </c>
    </row>
    <row r="216" spans="1:16" x14ac:dyDescent="0.3">
      <c r="A216" s="2" t="s">
        <v>397</v>
      </c>
      <c r="B216" s="2" t="s">
        <v>398</v>
      </c>
      <c r="C216" s="19" t="s">
        <v>270</v>
      </c>
      <c r="D216" s="19" t="s">
        <v>30</v>
      </c>
      <c r="E216" s="19" t="s">
        <v>68</v>
      </c>
      <c r="F216" s="19" t="s">
        <v>17</v>
      </c>
      <c r="G216" s="19" t="s">
        <v>62</v>
      </c>
      <c r="H216" s="19" t="s">
        <v>75</v>
      </c>
      <c r="I216" s="19">
        <v>3</v>
      </c>
      <c r="J216" s="19">
        <v>4626</v>
      </c>
      <c r="K216" s="19">
        <v>26</v>
      </c>
      <c r="L216" s="19">
        <v>10269.719999999999</v>
      </c>
      <c r="M216" s="19">
        <f t="shared" si="9"/>
        <v>3437991.7000000007</v>
      </c>
      <c r="N216" s="20">
        <f t="shared" si="10"/>
        <v>4374.0352417302811</v>
      </c>
      <c r="O216" s="19">
        <f t="shared" si="11"/>
        <v>2124</v>
      </c>
      <c r="P216" s="19" t="str">
        <v>High</v>
      </c>
    </row>
    <row r="217" spans="1:16" x14ac:dyDescent="0.3">
      <c r="A217" s="2" t="s">
        <v>1020</v>
      </c>
      <c r="B217" s="2" t="s">
        <v>1021</v>
      </c>
      <c r="C217" s="19" t="s">
        <v>117</v>
      </c>
      <c r="D217" s="19" t="s">
        <v>15</v>
      </c>
      <c r="E217" s="19" t="s">
        <v>48</v>
      </c>
      <c r="F217" s="19" t="s">
        <v>49</v>
      </c>
      <c r="G217" s="19" t="s">
        <v>40</v>
      </c>
      <c r="H217" s="19" t="s">
        <v>33</v>
      </c>
      <c r="I217" s="19">
        <v>4</v>
      </c>
      <c r="J217" s="19">
        <v>2983</v>
      </c>
      <c r="K217" s="19">
        <v>14</v>
      </c>
      <c r="L217" s="19">
        <v>10261.52</v>
      </c>
      <c r="M217" s="19">
        <f t="shared" si="9"/>
        <v>3427721.9800000009</v>
      </c>
      <c r="N217" s="20">
        <f t="shared" si="10"/>
        <v>4366.5248152866252</v>
      </c>
      <c r="O217" s="19">
        <f t="shared" si="11"/>
        <v>2121</v>
      </c>
      <c r="P217" s="19" t="str">
        <v>High</v>
      </c>
    </row>
    <row r="218" spans="1:16" x14ac:dyDescent="0.3">
      <c r="A218" s="2" t="s">
        <v>922</v>
      </c>
      <c r="B218" s="2" t="s">
        <v>119</v>
      </c>
      <c r="C218" s="19" t="s">
        <v>872</v>
      </c>
      <c r="D218" s="19" t="s">
        <v>53</v>
      </c>
      <c r="E218" s="19" t="s">
        <v>48</v>
      </c>
      <c r="F218" s="19" t="s">
        <v>49</v>
      </c>
      <c r="G218" s="19" t="s">
        <v>62</v>
      </c>
      <c r="H218" s="19" t="s">
        <v>19</v>
      </c>
      <c r="I218" s="19">
        <v>3</v>
      </c>
      <c r="J218" s="19">
        <v>4748</v>
      </c>
      <c r="K218" s="19">
        <v>28</v>
      </c>
      <c r="L218" s="19">
        <v>10255.68</v>
      </c>
      <c r="M218" s="19">
        <f t="shared" si="9"/>
        <v>3417460.4600000009</v>
      </c>
      <c r="N218" s="20">
        <f t="shared" si="10"/>
        <v>4359.0056887755118</v>
      </c>
      <c r="O218" s="19">
        <f t="shared" si="11"/>
        <v>2117</v>
      </c>
      <c r="P218" s="19" t="str">
        <v>High</v>
      </c>
    </row>
    <row r="219" spans="1:16" x14ac:dyDescent="0.3">
      <c r="A219" s="2" t="s">
        <v>673</v>
      </c>
      <c r="B219" s="2" t="s">
        <v>674</v>
      </c>
      <c r="C219" s="19" t="s">
        <v>675</v>
      </c>
      <c r="D219" s="19" t="s">
        <v>30</v>
      </c>
      <c r="E219" s="19" t="s">
        <v>24</v>
      </c>
      <c r="F219" s="19" t="s">
        <v>40</v>
      </c>
      <c r="G219" s="19" t="s">
        <v>54</v>
      </c>
      <c r="H219" s="19" t="s">
        <v>75</v>
      </c>
      <c r="I219" s="19">
        <v>3</v>
      </c>
      <c r="J219" s="19">
        <v>3437</v>
      </c>
      <c r="K219" s="19">
        <v>1</v>
      </c>
      <c r="L219" s="19">
        <v>10207.89</v>
      </c>
      <c r="M219" s="19">
        <f t="shared" si="9"/>
        <v>3407204.7800000012</v>
      </c>
      <c r="N219" s="20">
        <f t="shared" si="10"/>
        <v>4351.4748148148165</v>
      </c>
      <c r="O219" s="19">
        <f t="shared" si="11"/>
        <v>2114</v>
      </c>
      <c r="P219" s="19" t="str">
        <v>High</v>
      </c>
    </row>
    <row r="220" spans="1:16" x14ac:dyDescent="0.3">
      <c r="A220" s="2" t="s">
        <v>1326</v>
      </c>
      <c r="B220" s="2" t="s">
        <v>81</v>
      </c>
      <c r="C220" s="19" t="s">
        <v>288</v>
      </c>
      <c r="D220" s="19" t="s">
        <v>88</v>
      </c>
      <c r="E220" s="19" t="s">
        <v>68</v>
      </c>
      <c r="F220" s="19" t="s">
        <v>49</v>
      </c>
      <c r="G220" s="19" t="s">
        <v>54</v>
      </c>
      <c r="H220" s="19" t="s">
        <v>75</v>
      </c>
      <c r="I220" s="19">
        <v>3</v>
      </c>
      <c r="J220" s="19">
        <v>3579</v>
      </c>
      <c r="K220" s="19">
        <v>5</v>
      </c>
      <c r="L220" s="19">
        <v>10200.15</v>
      </c>
      <c r="M220" s="19">
        <f t="shared" si="9"/>
        <v>3396996.8900000011</v>
      </c>
      <c r="N220" s="20">
        <f t="shared" si="10"/>
        <v>4343.9857928388765</v>
      </c>
      <c r="O220" s="19">
        <f t="shared" si="11"/>
        <v>2111</v>
      </c>
      <c r="P220" s="19" t="str">
        <v>High</v>
      </c>
    </row>
    <row r="221" spans="1:16" x14ac:dyDescent="0.3">
      <c r="A221" s="2" t="s">
        <v>1082</v>
      </c>
      <c r="B221" s="2" t="s">
        <v>1083</v>
      </c>
      <c r="C221" s="19" t="s">
        <v>413</v>
      </c>
      <c r="D221" s="19" t="s">
        <v>88</v>
      </c>
      <c r="E221" s="19" t="s">
        <v>48</v>
      </c>
      <c r="F221" s="19" t="s">
        <v>32</v>
      </c>
      <c r="G221" s="19" t="s">
        <v>40</v>
      </c>
      <c r="H221" s="19" t="s">
        <v>19</v>
      </c>
      <c r="I221" s="19">
        <v>3</v>
      </c>
      <c r="J221" s="19">
        <v>4688</v>
      </c>
      <c r="K221" s="19">
        <v>28</v>
      </c>
      <c r="L221" s="19">
        <v>10126.08</v>
      </c>
      <c r="M221" s="19">
        <f t="shared" si="9"/>
        <v>3386796.7400000012</v>
      </c>
      <c r="N221" s="20">
        <f t="shared" si="10"/>
        <v>4336.4875032010259</v>
      </c>
      <c r="O221" s="19">
        <f t="shared" si="11"/>
        <v>2108</v>
      </c>
      <c r="P221" s="19" t="str">
        <v>High</v>
      </c>
    </row>
    <row r="222" spans="1:16" x14ac:dyDescent="0.3">
      <c r="A222" s="2" t="s">
        <v>612</v>
      </c>
      <c r="B222" s="2" t="s">
        <v>613</v>
      </c>
      <c r="C222" s="19" t="s">
        <v>108</v>
      </c>
      <c r="D222" s="19" t="s">
        <v>30</v>
      </c>
      <c r="E222" s="19" t="s">
        <v>16</v>
      </c>
      <c r="F222" s="19" t="s">
        <v>17</v>
      </c>
      <c r="G222" s="19" t="s">
        <v>54</v>
      </c>
      <c r="H222" s="19" t="s">
        <v>44</v>
      </c>
      <c r="I222" s="19">
        <v>3</v>
      </c>
      <c r="J222" s="19">
        <v>3827</v>
      </c>
      <c r="K222" s="19">
        <v>12</v>
      </c>
      <c r="L222" s="19">
        <v>10103.280000000001</v>
      </c>
      <c r="M222" s="19">
        <f t="shared" si="9"/>
        <v>3376670.6600000015</v>
      </c>
      <c r="N222" s="20">
        <f t="shared" si="10"/>
        <v>4329.0649487179508</v>
      </c>
      <c r="O222" s="19">
        <f t="shared" si="11"/>
        <v>2105</v>
      </c>
      <c r="P222" s="19" t="str">
        <v>High</v>
      </c>
    </row>
    <row r="223" spans="1:16" x14ac:dyDescent="0.3">
      <c r="A223" s="2" t="s">
        <v>1241</v>
      </c>
      <c r="B223" s="2" t="s">
        <v>1242</v>
      </c>
      <c r="C223" s="19" t="s">
        <v>1243</v>
      </c>
      <c r="D223" s="19" t="s">
        <v>53</v>
      </c>
      <c r="E223" s="19" t="s">
        <v>68</v>
      </c>
      <c r="F223" s="19" t="s">
        <v>32</v>
      </c>
      <c r="G223" s="19" t="s">
        <v>26</v>
      </c>
      <c r="H223" s="19" t="s">
        <v>33</v>
      </c>
      <c r="I223" s="19">
        <v>5</v>
      </c>
      <c r="J223" s="19">
        <v>2377</v>
      </c>
      <c r="K223" s="19">
        <v>15</v>
      </c>
      <c r="L223" s="19">
        <v>10102.25</v>
      </c>
      <c r="M223" s="19">
        <f t="shared" si="9"/>
        <v>3366567.3800000018</v>
      </c>
      <c r="N223" s="20">
        <f t="shared" si="10"/>
        <v>4321.6526059050084</v>
      </c>
      <c r="O223" s="19">
        <f t="shared" si="11"/>
        <v>2102</v>
      </c>
      <c r="P223" s="19" t="str">
        <v>High</v>
      </c>
    </row>
    <row r="224" spans="1:16" x14ac:dyDescent="0.3">
      <c r="A224" s="2" t="s">
        <v>946</v>
      </c>
      <c r="B224" s="2" t="s">
        <v>446</v>
      </c>
      <c r="C224" s="19" t="s">
        <v>22</v>
      </c>
      <c r="D224" s="19" t="s">
        <v>53</v>
      </c>
      <c r="E224" s="19" t="s">
        <v>48</v>
      </c>
      <c r="F224" s="19" t="s">
        <v>32</v>
      </c>
      <c r="G224" s="19" t="s">
        <v>26</v>
      </c>
      <c r="H224" s="19" t="s">
        <v>19</v>
      </c>
      <c r="I224" s="19">
        <v>3</v>
      </c>
      <c r="J224" s="19">
        <v>3822</v>
      </c>
      <c r="K224" s="19">
        <v>12</v>
      </c>
      <c r="L224" s="19">
        <v>10090.08</v>
      </c>
      <c r="M224" s="19">
        <f t="shared" si="9"/>
        <v>3356465.1300000013</v>
      </c>
      <c r="N224" s="20">
        <f t="shared" si="10"/>
        <v>4314.2225321336773</v>
      </c>
      <c r="O224" s="19">
        <f t="shared" si="11"/>
        <v>2097</v>
      </c>
      <c r="P224" s="19" t="str">
        <v>High</v>
      </c>
    </row>
    <row r="225" spans="1:16" x14ac:dyDescent="0.3">
      <c r="A225" s="2" t="s">
        <v>861</v>
      </c>
      <c r="B225" s="2" t="s">
        <v>440</v>
      </c>
      <c r="C225" s="19" t="s">
        <v>862</v>
      </c>
      <c r="D225" s="19" t="s">
        <v>30</v>
      </c>
      <c r="E225" s="19" t="s">
        <v>68</v>
      </c>
      <c r="F225" s="19" t="s">
        <v>40</v>
      </c>
      <c r="G225" s="19" t="s">
        <v>26</v>
      </c>
      <c r="H225" s="19" t="s">
        <v>33</v>
      </c>
      <c r="I225" s="19">
        <v>3</v>
      </c>
      <c r="J225" s="19">
        <v>4255</v>
      </c>
      <c r="K225" s="19">
        <v>21</v>
      </c>
      <c r="L225" s="19">
        <v>10084.35</v>
      </c>
      <c r="M225" s="19">
        <f t="shared" si="9"/>
        <v>3346375.0500000017</v>
      </c>
      <c r="N225" s="20">
        <f t="shared" si="10"/>
        <v>4306.7889961389983</v>
      </c>
      <c r="O225" s="19">
        <f t="shared" si="11"/>
        <v>2094</v>
      </c>
      <c r="P225" s="19" t="str">
        <v>High</v>
      </c>
    </row>
    <row r="226" spans="1:16" x14ac:dyDescent="0.3">
      <c r="A226" s="2" t="s">
        <v>1499</v>
      </c>
      <c r="B226" s="2" t="s">
        <v>582</v>
      </c>
      <c r="C226" s="19" t="s">
        <v>124</v>
      </c>
      <c r="D226" s="19" t="s">
        <v>23</v>
      </c>
      <c r="E226" s="19" t="s">
        <v>16</v>
      </c>
      <c r="F226" s="19" t="s">
        <v>49</v>
      </c>
      <c r="G226" s="19" t="s">
        <v>18</v>
      </c>
      <c r="H226" s="19" t="s">
        <v>44</v>
      </c>
      <c r="I226" s="19">
        <v>3</v>
      </c>
      <c r="J226" s="19">
        <v>4731</v>
      </c>
      <c r="K226" s="19">
        <v>29</v>
      </c>
      <c r="L226" s="19">
        <v>10077.030000000001</v>
      </c>
      <c r="M226" s="19">
        <f t="shared" si="9"/>
        <v>3336290.7000000016</v>
      </c>
      <c r="N226" s="20">
        <f t="shared" si="10"/>
        <v>4299.3436855670125</v>
      </c>
      <c r="O226" s="19">
        <f t="shared" si="11"/>
        <v>2091</v>
      </c>
      <c r="P226" s="19" t="str">
        <v>High</v>
      </c>
    </row>
    <row r="227" spans="1:16" x14ac:dyDescent="0.3">
      <c r="A227" s="2" t="s">
        <v>1445</v>
      </c>
      <c r="B227" s="2" t="s">
        <v>1144</v>
      </c>
      <c r="C227" s="19" t="s">
        <v>543</v>
      </c>
      <c r="D227" s="19" t="s">
        <v>88</v>
      </c>
      <c r="E227" s="19" t="s">
        <v>48</v>
      </c>
      <c r="F227" s="19" t="s">
        <v>40</v>
      </c>
      <c r="G227" s="19" t="s">
        <v>18</v>
      </c>
      <c r="H227" s="19" t="s">
        <v>19</v>
      </c>
      <c r="I227" s="19">
        <v>5</v>
      </c>
      <c r="J227" s="19">
        <v>2547</v>
      </c>
      <c r="K227" s="19">
        <v>21</v>
      </c>
      <c r="L227" s="19">
        <v>10060.65</v>
      </c>
      <c r="M227" s="19">
        <f t="shared" si="9"/>
        <v>3326213.6700000013</v>
      </c>
      <c r="N227" s="20">
        <f t="shared" si="10"/>
        <v>4291.8886064516146</v>
      </c>
      <c r="O227" s="19">
        <f t="shared" si="11"/>
        <v>2088</v>
      </c>
      <c r="P227" s="19" t="str">
        <v>High</v>
      </c>
    </row>
    <row r="228" spans="1:16" x14ac:dyDescent="0.3">
      <c r="A228" s="2" t="s">
        <v>1542</v>
      </c>
      <c r="B228" s="2" t="s">
        <v>825</v>
      </c>
      <c r="C228" s="19" t="s">
        <v>878</v>
      </c>
      <c r="D228" s="19" t="s">
        <v>88</v>
      </c>
      <c r="E228" s="19" t="s">
        <v>68</v>
      </c>
      <c r="F228" s="19" t="s">
        <v>49</v>
      </c>
      <c r="G228" s="19" t="s">
        <v>26</v>
      </c>
      <c r="H228" s="19" t="s">
        <v>33</v>
      </c>
      <c r="I228" s="19">
        <v>4</v>
      </c>
      <c r="J228" s="19">
        <v>3242</v>
      </c>
      <c r="K228" s="19">
        <v>23</v>
      </c>
      <c r="L228" s="19">
        <v>9985.36</v>
      </c>
      <c r="M228" s="19">
        <f t="shared" si="9"/>
        <v>3316153.0200000014</v>
      </c>
      <c r="N228" s="20">
        <f t="shared" si="10"/>
        <v>4284.4354263565911</v>
      </c>
      <c r="O228" s="19">
        <f t="shared" si="11"/>
        <v>2083</v>
      </c>
      <c r="P228" s="19" t="str">
        <v>High</v>
      </c>
    </row>
    <row r="229" spans="1:16" x14ac:dyDescent="0.3">
      <c r="A229" s="2" t="s">
        <v>1256</v>
      </c>
      <c r="B229" s="2" t="s">
        <v>866</v>
      </c>
      <c r="C229" s="19" t="s">
        <v>477</v>
      </c>
      <c r="D229" s="19" t="s">
        <v>30</v>
      </c>
      <c r="E229" s="19" t="s">
        <v>79</v>
      </c>
      <c r="F229" s="19" t="s">
        <v>49</v>
      </c>
      <c r="G229" s="19" t="s">
        <v>18</v>
      </c>
      <c r="H229" s="19" t="s">
        <v>19</v>
      </c>
      <c r="I229" s="19">
        <v>4</v>
      </c>
      <c r="J229" s="19">
        <v>3561</v>
      </c>
      <c r="K229" s="19">
        <v>30</v>
      </c>
      <c r="L229" s="19">
        <v>9970.7999999999993</v>
      </c>
      <c r="M229" s="19">
        <f t="shared" si="9"/>
        <v>3306167.6600000011</v>
      </c>
      <c r="N229" s="20">
        <f t="shared" si="10"/>
        <v>4277.0603622250983</v>
      </c>
      <c r="O229" s="19">
        <f t="shared" si="11"/>
        <v>2079</v>
      </c>
      <c r="P229" s="19" t="str">
        <v>High</v>
      </c>
    </row>
    <row r="230" spans="1:16" x14ac:dyDescent="0.3">
      <c r="A230" s="2" t="s">
        <v>1216</v>
      </c>
      <c r="B230" s="2" t="s">
        <v>90</v>
      </c>
      <c r="C230" s="19" t="s">
        <v>253</v>
      </c>
      <c r="D230" s="19" t="s">
        <v>88</v>
      </c>
      <c r="E230" s="19" t="s">
        <v>48</v>
      </c>
      <c r="F230" s="19" t="s">
        <v>49</v>
      </c>
      <c r="G230" s="19" t="s">
        <v>18</v>
      </c>
      <c r="H230" s="19" t="s">
        <v>19</v>
      </c>
      <c r="I230" s="19">
        <v>5</v>
      </c>
      <c r="J230" s="19">
        <v>2215</v>
      </c>
      <c r="K230" s="19">
        <v>10</v>
      </c>
      <c r="L230" s="19">
        <v>9967.5</v>
      </c>
      <c r="M230" s="19">
        <f t="shared" si="9"/>
        <v>3296196.8600000008</v>
      </c>
      <c r="N230" s="20">
        <f t="shared" si="10"/>
        <v>4269.6850518134725</v>
      </c>
      <c r="O230" s="19">
        <f t="shared" si="11"/>
        <v>2075</v>
      </c>
      <c r="P230" s="19" t="str">
        <v>High</v>
      </c>
    </row>
    <row r="231" spans="1:16" x14ac:dyDescent="0.3">
      <c r="A231" s="2" t="s">
        <v>359</v>
      </c>
      <c r="B231" s="2" t="s">
        <v>352</v>
      </c>
      <c r="C231" s="19" t="s">
        <v>360</v>
      </c>
      <c r="D231" s="19" t="s">
        <v>88</v>
      </c>
      <c r="E231" s="19" t="s">
        <v>24</v>
      </c>
      <c r="F231" s="19" t="s">
        <v>49</v>
      </c>
      <c r="G231" s="19" t="s">
        <v>40</v>
      </c>
      <c r="H231" s="19" t="s">
        <v>75</v>
      </c>
      <c r="I231" s="19">
        <v>3</v>
      </c>
      <c r="J231" s="19">
        <v>3939</v>
      </c>
      <c r="K231" s="19">
        <v>16</v>
      </c>
      <c r="L231" s="19">
        <v>9926.2800000000007</v>
      </c>
      <c r="M231" s="19">
        <f t="shared" si="9"/>
        <v>3286229.3600000008</v>
      </c>
      <c r="N231" s="20">
        <f t="shared" si="10"/>
        <v>4262.294889753568</v>
      </c>
      <c r="O231" s="19">
        <f t="shared" si="11"/>
        <v>2070</v>
      </c>
      <c r="P231" s="19" t="str">
        <v>High</v>
      </c>
    </row>
    <row r="232" spans="1:16" x14ac:dyDescent="0.3">
      <c r="A232" s="2" t="s">
        <v>236</v>
      </c>
      <c r="B232" s="2" t="s">
        <v>237</v>
      </c>
      <c r="C232" s="19" t="s">
        <v>238</v>
      </c>
      <c r="D232" s="19" t="s">
        <v>53</v>
      </c>
      <c r="E232" s="19" t="s">
        <v>79</v>
      </c>
      <c r="F232" s="19" t="s">
        <v>32</v>
      </c>
      <c r="G232" s="19" t="s">
        <v>26</v>
      </c>
      <c r="H232" s="19" t="s">
        <v>75</v>
      </c>
      <c r="I232" s="19">
        <v>4</v>
      </c>
      <c r="J232" s="19">
        <v>2885</v>
      </c>
      <c r="K232" s="19">
        <v>14</v>
      </c>
      <c r="L232" s="19">
        <v>9924.4</v>
      </c>
      <c r="M232" s="19">
        <f t="shared" si="9"/>
        <v>3276303.08</v>
      </c>
      <c r="N232" s="20">
        <f t="shared" si="10"/>
        <v>4254.9390649350653</v>
      </c>
      <c r="O232" s="19">
        <f t="shared" si="11"/>
        <v>2067</v>
      </c>
      <c r="P232" s="19" t="str">
        <v>High</v>
      </c>
    </row>
    <row r="233" spans="1:16" x14ac:dyDescent="0.3">
      <c r="A233" s="2" t="s">
        <v>265</v>
      </c>
      <c r="B233" s="2" t="s">
        <v>266</v>
      </c>
      <c r="C233" s="19" t="s">
        <v>267</v>
      </c>
      <c r="D233" s="19" t="s">
        <v>23</v>
      </c>
      <c r="E233" s="19" t="s">
        <v>58</v>
      </c>
      <c r="F233" s="19" t="s">
        <v>40</v>
      </c>
      <c r="G233" s="19" t="s">
        <v>40</v>
      </c>
      <c r="H233" s="19" t="s">
        <v>33</v>
      </c>
      <c r="I233" s="19">
        <v>3</v>
      </c>
      <c r="J233" s="19">
        <v>4240</v>
      </c>
      <c r="K233" s="19">
        <v>22</v>
      </c>
      <c r="L233" s="19">
        <v>9921.6</v>
      </c>
      <c r="M233" s="19">
        <f t="shared" si="9"/>
        <v>3266378.68</v>
      </c>
      <c r="N233" s="20">
        <f t="shared" si="10"/>
        <v>4247.5665539661904</v>
      </c>
      <c r="O233" s="19">
        <f t="shared" si="11"/>
        <v>2063</v>
      </c>
      <c r="P233" s="19" t="str">
        <v>High</v>
      </c>
    </row>
    <row r="234" spans="1:16" x14ac:dyDescent="0.3">
      <c r="A234" s="2" t="s">
        <v>751</v>
      </c>
      <c r="B234" s="2" t="s">
        <v>752</v>
      </c>
      <c r="C234" s="19" t="s">
        <v>502</v>
      </c>
      <c r="D234" s="19" t="s">
        <v>53</v>
      </c>
      <c r="E234" s="19" t="s">
        <v>79</v>
      </c>
      <c r="F234" s="19" t="s">
        <v>17</v>
      </c>
      <c r="G234" s="19" t="s">
        <v>26</v>
      </c>
      <c r="H234" s="19" t="s">
        <v>19</v>
      </c>
      <c r="I234" s="19">
        <v>4</v>
      </c>
      <c r="J234" s="19">
        <v>3524</v>
      </c>
      <c r="K234" s="19">
        <v>30</v>
      </c>
      <c r="L234" s="19">
        <v>9867.2000000000007</v>
      </c>
      <c r="M234" s="19">
        <f t="shared" si="9"/>
        <v>3256457.08</v>
      </c>
      <c r="N234" s="20">
        <f t="shared" si="10"/>
        <v>4240.1784895833334</v>
      </c>
      <c r="O234" s="19">
        <f t="shared" si="11"/>
        <v>2060</v>
      </c>
      <c r="P234" s="19" t="str">
        <v>High</v>
      </c>
    </row>
    <row r="235" spans="1:16" x14ac:dyDescent="0.3">
      <c r="A235" s="2" t="s">
        <v>282</v>
      </c>
      <c r="B235" s="2" t="s">
        <v>283</v>
      </c>
      <c r="C235" s="19" t="s">
        <v>284</v>
      </c>
      <c r="D235" s="19" t="s">
        <v>23</v>
      </c>
      <c r="E235" s="19" t="s">
        <v>79</v>
      </c>
      <c r="F235" s="19" t="s">
        <v>17</v>
      </c>
      <c r="G235" s="19" t="s">
        <v>26</v>
      </c>
      <c r="H235" s="19" t="s">
        <v>19</v>
      </c>
      <c r="I235" s="19">
        <v>5</v>
      </c>
      <c r="J235" s="19">
        <v>2085</v>
      </c>
      <c r="K235" s="19">
        <v>6</v>
      </c>
      <c r="L235" s="19">
        <v>9799.5</v>
      </c>
      <c r="M235" s="19">
        <f t="shared" si="9"/>
        <v>3246589.8799999994</v>
      </c>
      <c r="N235" s="20">
        <f t="shared" si="10"/>
        <v>4232.8420860495426</v>
      </c>
      <c r="O235" s="19">
        <f t="shared" si="11"/>
        <v>2056</v>
      </c>
      <c r="P235" s="19" t="str">
        <v>High</v>
      </c>
    </row>
    <row r="236" spans="1:16" x14ac:dyDescent="0.3">
      <c r="A236" s="2" t="s">
        <v>357</v>
      </c>
      <c r="B236" s="2" t="s">
        <v>358</v>
      </c>
      <c r="C236" s="19" t="s">
        <v>270</v>
      </c>
      <c r="D236" s="19" t="s">
        <v>88</v>
      </c>
      <c r="E236" s="19" t="s">
        <v>16</v>
      </c>
      <c r="F236" s="19" t="s">
        <v>32</v>
      </c>
      <c r="G236" s="19" t="s">
        <v>62</v>
      </c>
      <c r="H236" s="19" t="s">
        <v>33</v>
      </c>
      <c r="I236" s="19">
        <v>5</v>
      </c>
      <c r="J236" s="19">
        <v>2390</v>
      </c>
      <c r="K236" s="19">
        <v>18</v>
      </c>
      <c r="L236" s="19">
        <v>9799</v>
      </c>
      <c r="M236" s="19">
        <f t="shared" si="9"/>
        <v>3236790.3799999994</v>
      </c>
      <c r="N236" s="20">
        <f t="shared" si="10"/>
        <v>4225.5749086161868</v>
      </c>
      <c r="O236" s="19">
        <f t="shared" si="11"/>
        <v>2051</v>
      </c>
      <c r="P236" s="19" t="str">
        <v>High</v>
      </c>
    </row>
    <row r="237" spans="1:16" x14ac:dyDescent="0.3">
      <c r="A237" s="2" t="s">
        <v>1236</v>
      </c>
      <c r="B237" s="2" t="s">
        <v>252</v>
      </c>
      <c r="C237" s="19" t="s">
        <v>524</v>
      </c>
      <c r="D237" s="19" t="s">
        <v>53</v>
      </c>
      <c r="E237" s="19" t="s">
        <v>24</v>
      </c>
      <c r="F237" s="19" t="s">
        <v>32</v>
      </c>
      <c r="G237" s="19" t="s">
        <v>54</v>
      </c>
      <c r="H237" s="19" t="s">
        <v>44</v>
      </c>
      <c r="I237" s="19">
        <v>5</v>
      </c>
      <c r="J237" s="19">
        <v>2126</v>
      </c>
      <c r="K237" s="19">
        <v>8</v>
      </c>
      <c r="L237" s="19">
        <v>9779.6</v>
      </c>
      <c r="M237" s="19">
        <f t="shared" si="9"/>
        <v>3226991.3799999994</v>
      </c>
      <c r="N237" s="20">
        <f t="shared" si="10"/>
        <v>4218.2893856209139</v>
      </c>
      <c r="O237" s="19">
        <f t="shared" si="11"/>
        <v>2046</v>
      </c>
      <c r="P237" s="19" t="str">
        <v>High</v>
      </c>
    </row>
    <row r="238" spans="1:16" x14ac:dyDescent="0.3">
      <c r="A238" s="2" t="s">
        <v>531</v>
      </c>
      <c r="B238" s="2" t="s">
        <v>121</v>
      </c>
      <c r="C238" s="19" t="s">
        <v>532</v>
      </c>
      <c r="D238" s="19" t="s">
        <v>23</v>
      </c>
      <c r="E238" s="19" t="s">
        <v>58</v>
      </c>
      <c r="F238" s="19" t="s">
        <v>32</v>
      </c>
      <c r="G238" s="19" t="s">
        <v>62</v>
      </c>
      <c r="H238" s="19" t="s">
        <v>33</v>
      </c>
      <c r="I238" s="19">
        <v>3</v>
      </c>
      <c r="J238" s="19">
        <v>3288</v>
      </c>
      <c r="K238" s="19">
        <v>2</v>
      </c>
      <c r="L238" s="19">
        <v>9666.7199999999993</v>
      </c>
      <c r="M238" s="19">
        <f t="shared" si="9"/>
        <v>3217211.7799999993</v>
      </c>
      <c r="N238" s="20">
        <f t="shared" si="10"/>
        <v>4211.0101832460723</v>
      </c>
      <c r="O238" s="19">
        <f t="shared" si="11"/>
        <v>2041</v>
      </c>
      <c r="P238" s="19" t="str">
        <v>High</v>
      </c>
    </row>
    <row r="239" spans="1:16" x14ac:dyDescent="0.3">
      <c r="A239" s="2" t="s">
        <v>1527</v>
      </c>
      <c r="B239" s="2" t="s">
        <v>1528</v>
      </c>
      <c r="C239" s="19" t="s">
        <v>342</v>
      </c>
      <c r="D239" s="19" t="s">
        <v>23</v>
      </c>
      <c r="E239" s="19" t="s">
        <v>79</v>
      </c>
      <c r="F239" s="19" t="s">
        <v>49</v>
      </c>
      <c r="G239" s="19" t="s">
        <v>40</v>
      </c>
      <c r="H239" s="19" t="s">
        <v>75</v>
      </c>
      <c r="I239" s="19">
        <v>5</v>
      </c>
      <c r="J239" s="19">
        <v>2172</v>
      </c>
      <c r="K239" s="19">
        <v>11</v>
      </c>
      <c r="L239" s="19">
        <v>9665.4</v>
      </c>
      <c r="M239" s="19">
        <f t="shared" si="9"/>
        <v>3207545.0599999987</v>
      </c>
      <c r="N239" s="20">
        <f t="shared" si="10"/>
        <v>4203.8598427260795</v>
      </c>
      <c r="O239" s="19">
        <f t="shared" si="11"/>
        <v>2038</v>
      </c>
      <c r="P239" s="19" t="str">
        <v>High</v>
      </c>
    </row>
    <row r="240" spans="1:16" x14ac:dyDescent="0.3">
      <c r="A240" s="2" t="s">
        <v>308</v>
      </c>
      <c r="B240" s="2" t="s">
        <v>309</v>
      </c>
      <c r="C240" s="19" t="s">
        <v>214</v>
      </c>
      <c r="D240" s="19" t="s">
        <v>15</v>
      </c>
      <c r="E240" s="19" t="s">
        <v>31</v>
      </c>
      <c r="F240" s="19" t="s">
        <v>32</v>
      </c>
      <c r="G240" s="19" t="s">
        <v>18</v>
      </c>
      <c r="H240" s="19" t="s">
        <v>44</v>
      </c>
      <c r="I240" s="19">
        <v>4</v>
      </c>
      <c r="J240" s="19">
        <v>2711</v>
      </c>
      <c r="K240" s="19">
        <v>11</v>
      </c>
      <c r="L240" s="19">
        <v>9651.16</v>
      </c>
      <c r="M240" s="19">
        <f t="shared" si="9"/>
        <v>3197879.6599999988</v>
      </c>
      <c r="N240" s="20">
        <f t="shared" si="10"/>
        <v>4196.6924671915995</v>
      </c>
      <c r="O240" s="19">
        <f t="shared" si="11"/>
        <v>2033</v>
      </c>
      <c r="P240" s="19" t="str">
        <v>High</v>
      </c>
    </row>
    <row r="241" spans="1:16" x14ac:dyDescent="0.3">
      <c r="A241" s="2" t="s">
        <v>1316</v>
      </c>
      <c r="B241" s="2" t="s">
        <v>379</v>
      </c>
      <c r="C241" s="19" t="s">
        <v>151</v>
      </c>
      <c r="D241" s="19" t="s">
        <v>53</v>
      </c>
      <c r="E241" s="19" t="s">
        <v>79</v>
      </c>
      <c r="F241" s="19" t="s">
        <v>49</v>
      </c>
      <c r="G241" s="19" t="s">
        <v>18</v>
      </c>
      <c r="H241" s="19" t="s">
        <v>33</v>
      </c>
      <c r="I241" s="19">
        <v>3</v>
      </c>
      <c r="J241" s="19">
        <v>3282</v>
      </c>
      <c r="K241" s="19">
        <v>2</v>
      </c>
      <c r="L241" s="19">
        <v>9649.08</v>
      </c>
      <c r="M241" s="19">
        <f t="shared" si="9"/>
        <v>3188228.4999999986</v>
      </c>
      <c r="N241" s="20">
        <f t="shared" si="10"/>
        <v>4189.5249671484871</v>
      </c>
      <c r="O241" s="19">
        <f t="shared" si="11"/>
        <v>2029</v>
      </c>
      <c r="P241" s="19" t="str">
        <v>High</v>
      </c>
    </row>
    <row r="242" spans="1:16" x14ac:dyDescent="0.3">
      <c r="A242" s="2" t="s">
        <v>1033</v>
      </c>
      <c r="B242" s="2" t="s">
        <v>113</v>
      </c>
      <c r="C242" s="19" t="s">
        <v>597</v>
      </c>
      <c r="D242" s="19" t="s">
        <v>15</v>
      </c>
      <c r="E242" s="19" t="s">
        <v>58</v>
      </c>
      <c r="F242" s="19" t="s">
        <v>32</v>
      </c>
      <c r="G242" s="19" t="s">
        <v>40</v>
      </c>
      <c r="H242" s="19" t="s">
        <v>44</v>
      </c>
      <c r="I242" s="19">
        <v>3</v>
      </c>
      <c r="J242" s="19">
        <v>3778</v>
      </c>
      <c r="K242" s="19">
        <v>15</v>
      </c>
      <c r="L242" s="19">
        <v>9633.9</v>
      </c>
      <c r="M242" s="19">
        <f t="shared" si="9"/>
        <v>3178579.4199999981</v>
      </c>
      <c r="N242" s="20">
        <f t="shared" si="10"/>
        <v>4182.341342105261</v>
      </c>
      <c r="O242" s="19">
        <f t="shared" si="11"/>
        <v>2026</v>
      </c>
      <c r="P242" s="19" t="str">
        <v>High</v>
      </c>
    </row>
    <row r="243" spans="1:16" x14ac:dyDescent="0.3">
      <c r="A243" s="2" t="s">
        <v>1505</v>
      </c>
      <c r="B243" s="2" t="s">
        <v>985</v>
      </c>
      <c r="C243" s="19" t="s">
        <v>860</v>
      </c>
      <c r="D243" s="19" t="s">
        <v>53</v>
      </c>
      <c r="E243" s="19" t="s">
        <v>31</v>
      </c>
      <c r="F243" s="19" t="s">
        <v>25</v>
      </c>
      <c r="G243" s="19" t="s">
        <v>18</v>
      </c>
      <c r="H243" s="19" t="s">
        <v>75</v>
      </c>
      <c r="I243" s="19">
        <v>4</v>
      </c>
      <c r="J243" s="19">
        <v>3114</v>
      </c>
      <c r="K243" s="19">
        <v>23</v>
      </c>
      <c r="L243" s="19">
        <v>9591.1200000000008</v>
      </c>
      <c r="M243" s="19">
        <f t="shared" si="9"/>
        <v>3168945.5199999986</v>
      </c>
      <c r="N243" s="20">
        <f t="shared" si="10"/>
        <v>4175.1587878787859</v>
      </c>
      <c r="O243" s="19">
        <f t="shared" si="11"/>
        <v>2023</v>
      </c>
      <c r="P243" s="19" t="str">
        <v>High</v>
      </c>
    </row>
    <row r="244" spans="1:16" x14ac:dyDescent="0.3">
      <c r="A244" s="2" t="s">
        <v>580</v>
      </c>
      <c r="B244" s="2" t="s">
        <v>208</v>
      </c>
      <c r="C244" s="19" t="s">
        <v>29</v>
      </c>
      <c r="D244" s="19" t="s">
        <v>53</v>
      </c>
      <c r="E244" s="19" t="s">
        <v>48</v>
      </c>
      <c r="F244" s="19" t="s">
        <v>40</v>
      </c>
      <c r="G244" s="19" t="s">
        <v>26</v>
      </c>
      <c r="H244" s="19" t="s">
        <v>33</v>
      </c>
      <c r="I244" s="19">
        <v>3</v>
      </c>
      <c r="J244" s="19">
        <v>4489</v>
      </c>
      <c r="K244" s="19">
        <v>29</v>
      </c>
      <c r="L244" s="19">
        <v>9561.57</v>
      </c>
      <c r="M244" s="19">
        <f t="shared" si="9"/>
        <v>3159354.3999999985</v>
      </c>
      <c r="N244" s="20">
        <f t="shared" si="10"/>
        <v>4168.0137203166205</v>
      </c>
      <c r="O244" s="19">
        <f t="shared" si="11"/>
        <v>2019</v>
      </c>
      <c r="P244" s="19" t="str">
        <v>High</v>
      </c>
    </row>
    <row r="245" spans="1:16" x14ac:dyDescent="0.3">
      <c r="A245" s="2" t="s">
        <v>1198</v>
      </c>
      <c r="B245" s="2" t="s">
        <v>1199</v>
      </c>
      <c r="C245" s="19" t="s">
        <v>396</v>
      </c>
      <c r="D245" s="19" t="s">
        <v>53</v>
      </c>
      <c r="E245" s="19" t="s">
        <v>68</v>
      </c>
      <c r="F245" s="19" t="s">
        <v>40</v>
      </c>
      <c r="G245" s="19" t="s">
        <v>18</v>
      </c>
      <c r="H245" s="19" t="s">
        <v>44</v>
      </c>
      <c r="I245" s="19">
        <v>4</v>
      </c>
      <c r="J245" s="19">
        <v>2433</v>
      </c>
      <c r="K245" s="19">
        <v>2</v>
      </c>
      <c r="L245" s="19">
        <v>9537.36</v>
      </c>
      <c r="M245" s="19">
        <f t="shared" si="9"/>
        <v>3149792.8299999991</v>
      </c>
      <c r="N245" s="20">
        <f t="shared" si="10"/>
        <v>4160.8888110964317</v>
      </c>
      <c r="O245" s="19">
        <f t="shared" si="11"/>
        <v>2016</v>
      </c>
      <c r="P245" s="19" t="str">
        <v>High</v>
      </c>
    </row>
    <row r="246" spans="1:16" x14ac:dyDescent="0.3">
      <c r="A246" s="2" t="s">
        <v>1559</v>
      </c>
      <c r="B246" s="2" t="s">
        <v>330</v>
      </c>
      <c r="C246" s="19" t="s">
        <v>230</v>
      </c>
      <c r="D246" s="19" t="s">
        <v>23</v>
      </c>
      <c r="E246" s="19" t="s">
        <v>58</v>
      </c>
      <c r="F246" s="19" t="s">
        <v>25</v>
      </c>
      <c r="G246" s="19" t="s">
        <v>62</v>
      </c>
      <c r="H246" s="19" t="s">
        <v>75</v>
      </c>
      <c r="I246" s="19">
        <v>3</v>
      </c>
      <c r="J246" s="19">
        <v>3374</v>
      </c>
      <c r="K246" s="19">
        <v>6</v>
      </c>
      <c r="L246" s="19">
        <v>9514.68</v>
      </c>
      <c r="M246" s="19">
        <f t="shared" si="9"/>
        <v>3140255.4699999988</v>
      </c>
      <c r="N246" s="20">
        <f t="shared" si="10"/>
        <v>4153.7770767195752</v>
      </c>
      <c r="O246" s="19">
        <f t="shared" si="11"/>
        <v>2012</v>
      </c>
      <c r="P246" s="19" t="str">
        <v>High</v>
      </c>
    </row>
    <row r="247" spans="1:16" x14ac:dyDescent="0.3">
      <c r="A247" s="2" t="s">
        <v>941</v>
      </c>
      <c r="B247" s="2" t="s">
        <v>575</v>
      </c>
      <c r="C247" s="19" t="s">
        <v>942</v>
      </c>
      <c r="D247" s="19" t="s">
        <v>23</v>
      </c>
      <c r="E247" s="19" t="s">
        <v>24</v>
      </c>
      <c r="F247" s="19" t="s">
        <v>32</v>
      </c>
      <c r="G247" s="19" t="s">
        <v>18</v>
      </c>
      <c r="H247" s="19" t="s">
        <v>19</v>
      </c>
      <c r="I247" s="19">
        <v>5</v>
      </c>
      <c r="J247" s="19">
        <v>2439</v>
      </c>
      <c r="K247" s="19">
        <v>22</v>
      </c>
      <c r="L247" s="19">
        <v>9512.1</v>
      </c>
      <c r="M247" s="19">
        <f t="shared" si="9"/>
        <v>3130740.7899999991</v>
      </c>
      <c r="N247" s="20">
        <f t="shared" si="10"/>
        <v>4146.6765430463565</v>
      </c>
      <c r="O247" s="19">
        <f t="shared" si="11"/>
        <v>2009</v>
      </c>
      <c r="P247" s="19" t="str">
        <v>High</v>
      </c>
    </row>
    <row r="248" spans="1:16" x14ac:dyDescent="0.3">
      <c r="A248" s="2" t="s">
        <v>917</v>
      </c>
      <c r="B248" s="2" t="s">
        <v>159</v>
      </c>
      <c r="C248" s="19" t="s">
        <v>918</v>
      </c>
      <c r="D248" s="19" t="s">
        <v>88</v>
      </c>
      <c r="E248" s="19" t="s">
        <v>48</v>
      </c>
      <c r="F248" s="19" t="s">
        <v>17</v>
      </c>
      <c r="G248" s="19" t="s">
        <v>18</v>
      </c>
      <c r="H248" s="19" t="s">
        <v>33</v>
      </c>
      <c r="I248" s="19">
        <v>5</v>
      </c>
      <c r="J248" s="19">
        <v>2677</v>
      </c>
      <c r="K248" s="19">
        <v>29</v>
      </c>
      <c r="L248" s="19">
        <v>9503.35</v>
      </c>
      <c r="M248" s="19">
        <f t="shared" si="9"/>
        <v>3121228.689999999</v>
      </c>
      <c r="N248" s="20">
        <f t="shared" si="10"/>
        <v>4139.5605968169748</v>
      </c>
      <c r="O248" s="19">
        <f t="shared" si="11"/>
        <v>2004</v>
      </c>
      <c r="P248" s="19" t="str">
        <v>High</v>
      </c>
    </row>
    <row r="249" spans="1:16" x14ac:dyDescent="0.3">
      <c r="A249" s="2" t="s">
        <v>292</v>
      </c>
      <c r="B249" s="2" t="s">
        <v>293</v>
      </c>
      <c r="C249" s="19" t="s">
        <v>94</v>
      </c>
      <c r="D249" s="19" t="s">
        <v>53</v>
      </c>
      <c r="E249" s="19" t="s">
        <v>31</v>
      </c>
      <c r="F249" s="19" t="s">
        <v>40</v>
      </c>
      <c r="G249" s="19" t="s">
        <v>62</v>
      </c>
      <c r="H249" s="19" t="s">
        <v>44</v>
      </c>
      <c r="I249" s="19">
        <v>3</v>
      </c>
      <c r="J249" s="19">
        <v>4337</v>
      </c>
      <c r="K249" s="19">
        <v>27</v>
      </c>
      <c r="L249" s="19">
        <v>9498.0300000000007</v>
      </c>
      <c r="M249" s="19">
        <f t="shared" si="9"/>
        <v>3111725.3399999989</v>
      </c>
      <c r="N249" s="20">
        <f t="shared" si="10"/>
        <v>4132.4373705179269</v>
      </c>
      <c r="O249" s="19">
        <f t="shared" si="11"/>
        <v>1999</v>
      </c>
      <c r="P249" s="19" t="str">
        <v>High</v>
      </c>
    </row>
    <row r="250" spans="1:16" x14ac:dyDescent="0.3">
      <c r="A250" s="2" t="s">
        <v>1391</v>
      </c>
      <c r="B250" s="2" t="s">
        <v>962</v>
      </c>
      <c r="C250" s="19" t="s">
        <v>860</v>
      </c>
      <c r="D250" s="19" t="s">
        <v>15</v>
      </c>
      <c r="E250" s="19" t="s">
        <v>68</v>
      </c>
      <c r="F250" s="19" t="s">
        <v>40</v>
      </c>
      <c r="G250" s="19" t="s">
        <v>26</v>
      </c>
      <c r="H250" s="19" t="s">
        <v>19</v>
      </c>
      <c r="I250" s="19">
        <v>3</v>
      </c>
      <c r="J250" s="19">
        <v>4454</v>
      </c>
      <c r="K250" s="19">
        <v>29</v>
      </c>
      <c r="L250" s="19">
        <v>9487.02</v>
      </c>
      <c r="M250" s="19">
        <f t="shared" si="9"/>
        <v>3102227.3099999991</v>
      </c>
      <c r="N250" s="20">
        <f t="shared" si="10"/>
        <v>4125.3022739361686</v>
      </c>
      <c r="O250" s="19">
        <f t="shared" si="11"/>
        <v>1996</v>
      </c>
      <c r="P250" s="19" t="str">
        <v>High</v>
      </c>
    </row>
    <row r="251" spans="1:16" x14ac:dyDescent="0.3">
      <c r="A251" s="2" t="s">
        <v>929</v>
      </c>
      <c r="B251" s="2" t="s">
        <v>266</v>
      </c>
      <c r="C251" s="19" t="s">
        <v>356</v>
      </c>
      <c r="D251" s="19" t="s">
        <v>53</v>
      </c>
      <c r="E251" s="19" t="s">
        <v>68</v>
      </c>
      <c r="F251" s="19" t="s">
        <v>25</v>
      </c>
      <c r="G251" s="19" t="s">
        <v>62</v>
      </c>
      <c r="H251" s="19" t="s">
        <v>44</v>
      </c>
      <c r="I251" s="19">
        <v>4</v>
      </c>
      <c r="J251" s="19">
        <v>2430</v>
      </c>
      <c r="K251" s="19">
        <v>3</v>
      </c>
      <c r="L251" s="19">
        <v>9428.4</v>
      </c>
      <c r="M251" s="19">
        <f t="shared" si="9"/>
        <v>3092740.2899999996</v>
      </c>
      <c r="N251" s="20">
        <f t="shared" si="10"/>
        <v>4118.1628362183747</v>
      </c>
      <c r="O251" s="19">
        <f t="shared" si="11"/>
        <v>1993</v>
      </c>
      <c r="P251" s="19" t="str">
        <v>High</v>
      </c>
    </row>
    <row r="252" spans="1:16" x14ac:dyDescent="0.3">
      <c r="A252" s="2" t="s">
        <v>1530</v>
      </c>
      <c r="B252" s="2" t="s">
        <v>1211</v>
      </c>
      <c r="C252" s="19" t="s">
        <v>968</v>
      </c>
      <c r="D252" s="19" t="s">
        <v>15</v>
      </c>
      <c r="E252" s="19" t="s">
        <v>31</v>
      </c>
      <c r="F252" s="19" t="s">
        <v>40</v>
      </c>
      <c r="G252" s="19" t="s">
        <v>26</v>
      </c>
      <c r="H252" s="19" t="s">
        <v>33</v>
      </c>
      <c r="I252" s="19">
        <v>5</v>
      </c>
      <c r="J252" s="19">
        <v>2539</v>
      </c>
      <c r="K252" s="19">
        <v>26</v>
      </c>
      <c r="L252" s="19">
        <v>9394.2999999999993</v>
      </c>
      <c r="M252" s="19">
        <f t="shared" si="9"/>
        <v>3083311.8899999992</v>
      </c>
      <c r="N252" s="20">
        <f t="shared" si="10"/>
        <v>4111.082519999999</v>
      </c>
      <c r="O252" s="19">
        <f t="shared" si="11"/>
        <v>1989</v>
      </c>
      <c r="P252" s="19" t="str">
        <v>High</v>
      </c>
    </row>
    <row r="253" spans="1:16" x14ac:dyDescent="0.3">
      <c r="A253" s="2" t="s">
        <v>792</v>
      </c>
      <c r="B253" s="2" t="s">
        <v>572</v>
      </c>
      <c r="C253" s="19" t="s">
        <v>328</v>
      </c>
      <c r="D253" s="19" t="s">
        <v>30</v>
      </c>
      <c r="E253" s="19" t="s">
        <v>31</v>
      </c>
      <c r="F253" s="19" t="s">
        <v>40</v>
      </c>
      <c r="G253" s="19" t="s">
        <v>62</v>
      </c>
      <c r="H253" s="19" t="s">
        <v>33</v>
      </c>
      <c r="I253" s="19">
        <v>3</v>
      </c>
      <c r="J253" s="19">
        <v>3590</v>
      </c>
      <c r="K253" s="19">
        <v>13</v>
      </c>
      <c r="L253" s="19">
        <v>9369.9</v>
      </c>
      <c r="M253" s="19">
        <f t="shared" si="9"/>
        <v>3073917.5899999994</v>
      </c>
      <c r="N253" s="20">
        <f t="shared" si="10"/>
        <v>4104.028825100133</v>
      </c>
      <c r="O253" s="19">
        <f t="shared" si="11"/>
        <v>1984</v>
      </c>
      <c r="P253" s="19" t="str">
        <v>High</v>
      </c>
    </row>
    <row r="254" spans="1:16" x14ac:dyDescent="0.3">
      <c r="A254" s="2" t="s">
        <v>1430</v>
      </c>
      <c r="B254" s="2" t="s">
        <v>1431</v>
      </c>
      <c r="C254" s="19" t="s">
        <v>225</v>
      </c>
      <c r="D254" s="19" t="s">
        <v>53</v>
      </c>
      <c r="E254" s="19" t="s">
        <v>24</v>
      </c>
      <c r="F254" s="19" t="s">
        <v>25</v>
      </c>
      <c r="G254" s="19" t="s">
        <v>54</v>
      </c>
      <c r="H254" s="19" t="s">
        <v>44</v>
      </c>
      <c r="I254" s="19">
        <v>4</v>
      </c>
      <c r="J254" s="19">
        <v>2341</v>
      </c>
      <c r="K254" s="19">
        <v>0</v>
      </c>
      <c r="L254" s="19">
        <v>9364</v>
      </c>
      <c r="M254" s="19">
        <f t="shared" si="9"/>
        <v>3064547.689999999</v>
      </c>
      <c r="N254" s="20">
        <f t="shared" si="10"/>
        <v>4096.9888903743304</v>
      </c>
      <c r="O254" s="19">
        <f t="shared" si="11"/>
        <v>1981</v>
      </c>
      <c r="P254" s="19" t="str">
        <v>High</v>
      </c>
    </row>
    <row r="255" spans="1:16" x14ac:dyDescent="0.3">
      <c r="A255" s="2" t="s">
        <v>604</v>
      </c>
      <c r="B255" s="2" t="s">
        <v>605</v>
      </c>
      <c r="C255" s="19" t="s">
        <v>111</v>
      </c>
      <c r="D255" s="19" t="s">
        <v>53</v>
      </c>
      <c r="E255" s="19" t="s">
        <v>58</v>
      </c>
      <c r="F255" s="19" t="s">
        <v>49</v>
      </c>
      <c r="G255" s="19" t="s">
        <v>62</v>
      </c>
      <c r="H255" s="19" t="s">
        <v>33</v>
      </c>
      <c r="I255" s="19">
        <v>3</v>
      </c>
      <c r="J255" s="19">
        <v>3784</v>
      </c>
      <c r="K255" s="19">
        <v>18</v>
      </c>
      <c r="L255" s="19">
        <v>9308.64</v>
      </c>
      <c r="M255" s="19">
        <f t="shared" si="9"/>
        <v>3055183.689999999</v>
      </c>
      <c r="N255" s="20">
        <f t="shared" si="10"/>
        <v>4089.9380053547511</v>
      </c>
      <c r="O255" s="19">
        <f t="shared" si="11"/>
        <v>1977</v>
      </c>
      <c r="P255" s="19" t="str">
        <v>High</v>
      </c>
    </row>
    <row r="256" spans="1:16" x14ac:dyDescent="0.3">
      <c r="A256" s="2" t="s">
        <v>1038</v>
      </c>
      <c r="B256" s="2" t="s">
        <v>1039</v>
      </c>
      <c r="C256" s="19" t="s">
        <v>325</v>
      </c>
      <c r="D256" s="19" t="s">
        <v>30</v>
      </c>
      <c r="E256" s="19" t="s">
        <v>68</v>
      </c>
      <c r="F256" s="19" t="s">
        <v>32</v>
      </c>
      <c r="G256" s="19" t="s">
        <v>62</v>
      </c>
      <c r="H256" s="19" t="s">
        <v>19</v>
      </c>
      <c r="I256" s="19">
        <v>3</v>
      </c>
      <c r="J256" s="19">
        <v>4389</v>
      </c>
      <c r="K256" s="19">
        <v>30</v>
      </c>
      <c r="L256" s="19">
        <v>9216.9</v>
      </c>
      <c r="M256" s="19">
        <f t="shared" si="9"/>
        <v>3045875.0499999989</v>
      </c>
      <c r="N256" s="20">
        <f t="shared" si="10"/>
        <v>4082.9424262734569</v>
      </c>
      <c r="O256" s="19">
        <f t="shared" si="11"/>
        <v>1974</v>
      </c>
      <c r="P256" s="19" t="str">
        <v>High</v>
      </c>
    </row>
    <row r="257" spans="1:16" x14ac:dyDescent="0.3">
      <c r="A257" s="2" t="s">
        <v>1093</v>
      </c>
      <c r="B257" s="2" t="s">
        <v>304</v>
      </c>
      <c r="C257" s="19" t="s">
        <v>157</v>
      </c>
      <c r="D257" s="19" t="s">
        <v>30</v>
      </c>
      <c r="E257" s="19" t="s">
        <v>48</v>
      </c>
      <c r="F257" s="19" t="s">
        <v>49</v>
      </c>
      <c r="G257" s="19" t="s">
        <v>18</v>
      </c>
      <c r="H257" s="19" t="s">
        <v>33</v>
      </c>
      <c r="I257" s="19">
        <v>4</v>
      </c>
      <c r="J257" s="19">
        <v>2879</v>
      </c>
      <c r="K257" s="19">
        <v>20</v>
      </c>
      <c r="L257" s="19">
        <v>9212.7999999999993</v>
      </c>
      <c r="M257" s="19">
        <f t="shared" si="9"/>
        <v>3036658.149999999</v>
      </c>
      <c r="N257" s="20">
        <f t="shared" si="10"/>
        <v>4076.0512080536901</v>
      </c>
      <c r="O257" s="19">
        <f t="shared" si="11"/>
        <v>1971</v>
      </c>
      <c r="P257" s="19" t="str">
        <v>High</v>
      </c>
    </row>
    <row r="258" spans="1:16" x14ac:dyDescent="0.3">
      <c r="A258" s="2" t="s">
        <v>1533</v>
      </c>
      <c r="B258" s="2" t="s">
        <v>739</v>
      </c>
      <c r="C258" s="19" t="s">
        <v>441</v>
      </c>
      <c r="D258" s="19" t="s">
        <v>30</v>
      </c>
      <c r="E258" s="19" t="s">
        <v>79</v>
      </c>
      <c r="F258" s="19" t="s">
        <v>49</v>
      </c>
      <c r="G258" s="19" t="s">
        <v>40</v>
      </c>
      <c r="H258" s="19" t="s">
        <v>19</v>
      </c>
      <c r="I258" s="19">
        <v>5</v>
      </c>
      <c r="J258" s="19">
        <v>2557</v>
      </c>
      <c r="K258" s="19">
        <v>28</v>
      </c>
      <c r="L258" s="19">
        <v>9205.2000000000007</v>
      </c>
      <c r="M258" s="19">
        <f t="shared" ref="M258:M321" si="12">SUM(L258:L1257)</f>
        <v>3027445.3499999992</v>
      </c>
      <c r="N258" s="20">
        <f t="shared" ref="N258:N321" si="13">AVERAGE(L258:L1257)</f>
        <v>4069.1469758064504</v>
      </c>
      <c r="O258" s="19">
        <f t="shared" ref="O258:O321" si="14">SUM(I258:I1257)</f>
        <v>1967</v>
      </c>
      <c r="P258" s="19" t="str">
        <v>High</v>
      </c>
    </row>
    <row r="259" spans="1:16" x14ac:dyDescent="0.3">
      <c r="A259" s="2" t="s">
        <v>1327</v>
      </c>
      <c r="B259" s="2" t="s">
        <v>83</v>
      </c>
      <c r="C259" s="19" t="s">
        <v>1249</v>
      </c>
      <c r="D259" s="19" t="s">
        <v>15</v>
      </c>
      <c r="E259" s="19" t="s">
        <v>79</v>
      </c>
      <c r="F259" s="19" t="s">
        <v>40</v>
      </c>
      <c r="G259" s="19" t="s">
        <v>26</v>
      </c>
      <c r="H259" s="19" t="s">
        <v>44</v>
      </c>
      <c r="I259" s="19">
        <v>4</v>
      </c>
      <c r="J259" s="19">
        <v>2372</v>
      </c>
      <c r="K259" s="19">
        <v>3</v>
      </c>
      <c r="L259" s="19">
        <v>9203.36</v>
      </c>
      <c r="M259" s="19">
        <f t="shared" si="12"/>
        <v>3018240.149999999</v>
      </c>
      <c r="N259" s="20">
        <f t="shared" si="13"/>
        <v>4062.2343876177642</v>
      </c>
      <c r="O259" s="19">
        <f t="shared" si="14"/>
        <v>1962</v>
      </c>
      <c r="P259" s="19" t="str">
        <v>High</v>
      </c>
    </row>
    <row r="260" spans="1:16" x14ac:dyDescent="0.3">
      <c r="A260" s="2" t="s">
        <v>1250</v>
      </c>
      <c r="B260" s="2" t="s">
        <v>104</v>
      </c>
      <c r="C260" s="19" t="s">
        <v>84</v>
      </c>
      <c r="D260" s="19" t="s">
        <v>23</v>
      </c>
      <c r="E260" s="19" t="s">
        <v>24</v>
      </c>
      <c r="F260" s="19" t="s">
        <v>17</v>
      </c>
      <c r="G260" s="19" t="s">
        <v>26</v>
      </c>
      <c r="H260" s="19" t="s">
        <v>75</v>
      </c>
      <c r="I260" s="19">
        <v>3</v>
      </c>
      <c r="J260" s="19">
        <v>3823</v>
      </c>
      <c r="K260" s="19">
        <v>20</v>
      </c>
      <c r="L260" s="19">
        <v>9175.2000000000007</v>
      </c>
      <c r="M260" s="19">
        <f t="shared" si="12"/>
        <v>3009036.7899999991</v>
      </c>
      <c r="N260" s="20">
        <f t="shared" si="13"/>
        <v>4055.3056469002681</v>
      </c>
      <c r="O260" s="19">
        <f t="shared" si="14"/>
        <v>1958</v>
      </c>
      <c r="P260" s="19" t="str">
        <v>High</v>
      </c>
    </row>
    <row r="261" spans="1:16" x14ac:dyDescent="0.3">
      <c r="A261" s="2" t="s">
        <v>1113</v>
      </c>
      <c r="B261" s="2" t="s">
        <v>1114</v>
      </c>
      <c r="C261" s="19" t="s">
        <v>1004</v>
      </c>
      <c r="D261" s="19" t="s">
        <v>15</v>
      </c>
      <c r="E261" s="19" t="s">
        <v>24</v>
      </c>
      <c r="F261" s="19" t="s">
        <v>49</v>
      </c>
      <c r="G261" s="19" t="s">
        <v>62</v>
      </c>
      <c r="H261" s="19" t="s">
        <v>33</v>
      </c>
      <c r="I261" s="19">
        <v>4</v>
      </c>
      <c r="J261" s="19">
        <v>3225</v>
      </c>
      <c r="K261" s="19">
        <v>29</v>
      </c>
      <c r="L261" s="19">
        <v>9159</v>
      </c>
      <c r="M261" s="19">
        <f t="shared" si="12"/>
        <v>2999861.5899999989</v>
      </c>
      <c r="N261" s="20">
        <f t="shared" si="13"/>
        <v>4048.3962078272589</v>
      </c>
      <c r="O261" s="19">
        <f t="shared" si="14"/>
        <v>1955</v>
      </c>
      <c r="P261" s="19" t="str">
        <v>High</v>
      </c>
    </row>
    <row r="262" spans="1:16" x14ac:dyDescent="0.3">
      <c r="A262" s="2" t="s">
        <v>544</v>
      </c>
      <c r="B262" s="2" t="s">
        <v>234</v>
      </c>
      <c r="C262" s="19" t="s">
        <v>407</v>
      </c>
      <c r="D262" s="19" t="s">
        <v>23</v>
      </c>
      <c r="E262" s="19" t="s">
        <v>79</v>
      </c>
      <c r="F262" s="19" t="s">
        <v>32</v>
      </c>
      <c r="G262" s="19" t="s">
        <v>62</v>
      </c>
      <c r="H262" s="19" t="s">
        <v>19</v>
      </c>
      <c r="I262" s="19">
        <v>3</v>
      </c>
      <c r="J262" s="19">
        <v>3663</v>
      </c>
      <c r="K262" s="19">
        <v>17</v>
      </c>
      <c r="L262" s="19">
        <v>9120.8700000000008</v>
      </c>
      <c r="M262" s="19">
        <f t="shared" si="12"/>
        <v>2990702.5899999989</v>
      </c>
      <c r="N262" s="20">
        <f t="shared" si="13"/>
        <v>4041.4899864864851</v>
      </c>
      <c r="O262" s="19">
        <f t="shared" si="14"/>
        <v>1951</v>
      </c>
      <c r="P262" s="19" t="str">
        <v>High</v>
      </c>
    </row>
    <row r="263" spans="1:16" x14ac:dyDescent="0.3">
      <c r="A263" s="2" t="s">
        <v>1247</v>
      </c>
      <c r="B263" s="2" t="s">
        <v>1194</v>
      </c>
      <c r="C263" s="19" t="s">
        <v>419</v>
      </c>
      <c r="D263" s="19" t="s">
        <v>30</v>
      </c>
      <c r="E263" s="19" t="s">
        <v>48</v>
      </c>
      <c r="F263" s="19" t="s">
        <v>49</v>
      </c>
      <c r="G263" s="19" t="s">
        <v>18</v>
      </c>
      <c r="H263" s="19" t="s">
        <v>75</v>
      </c>
      <c r="I263" s="19">
        <v>3</v>
      </c>
      <c r="J263" s="19">
        <v>3071</v>
      </c>
      <c r="K263" s="19">
        <v>1</v>
      </c>
      <c r="L263" s="19">
        <v>9120.8700000000008</v>
      </c>
      <c r="M263" s="19">
        <f t="shared" si="12"/>
        <v>2981581.7199999988</v>
      </c>
      <c r="N263" s="20">
        <f t="shared" si="13"/>
        <v>4034.6166711772648</v>
      </c>
      <c r="O263" s="19">
        <f t="shared" si="14"/>
        <v>1948</v>
      </c>
      <c r="P263" s="19" t="str">
        <v>High</v>
      </c>
    </row>
    <row r="264" spans="1:16" x14ac:dyDescent="0.3">
      <c r="A264" s="2" t="s">
        <v>695</v>
      </c>
      <c r="B264" s="2" t="s">
        <v>696</v>
      </c>
      <c r="C264" s="19" t="s">
        <v>635</v>
      </c>
      <c r="D264" s="19" t="s">
        <v>53</v>
      </c>
      <c r="E264" s="19" t="s">
        <v>16</v>
      </c>
      <c r="F264" s="19" t="s">
        <v>25</v>
      </c>
      <c r="G264" s="19" t="s">
        <v>62</v>
      </c>
      <c r="H264" s="19" t="s">
        <v>33</v>
      </c>
      <c r="I264" s="19">
        <v>4</v>
      </c>
      <c r="J264" s="19">
        <v>2279</v>
      </c>
      <c r="K264" s="19">
        <v>0</v>
      </c>
      <c r="L264" s="19">
        <v>9116</v>
      </c>
      <c r="M264" s="19">
        <f t="shared" si="12"/>
        <v>2972460.8499999982</v>
      </c>
      <c r="N264" s="20">
        <f t="shared" si="13"/>
        <v>4027.7247289972875</v>
      </c>
      <c r="O264" s="19">
        <f t="shared" si="14"/>
        <v>1945</v>
      </c>
      <c r="P264" s="19" t="str">
        <v>High</v>
      </c>
    </row>
    <row r="265" spans="1:16" x14ac:dyDescent="0.3">
      <c r="A265" s="2" t="s">
        <v>259</v>
      </c>
      <c r="B265" s="2" t="s">
        <v>260</v>
      </c>
      <c r="C265" s="19" t="s">
        <v>261</v>
      </c>
      <c r="D265" s="19" t="s">
        <v>23</v>
      </c>
      <c r="E265" s="19" t="s">
        <v>79</v>
      </c>
      <c r="F265" s="19" t="s">
        <v>32</v>
      </c>
      <c r="G265" s="19" t="s">
        <v>26</v>
      </c>
      <c r="H265" s="19" t="s">
        <v>75</v>
      </c>
      <c r="I265" s="19">
        <v>3</v>
      </c>
      <c r="J265" s="19">
        <v>3336</v>
      </c>
      <c r="K265" s="19">
        <v>9</v>
      </c>
      <c r="L265" s="19">
        <v>9107.2800000000007</v>
      </c>
      <c r="M265" s="19">
        <f t="shared" si="12"/>
        <v>2963344.8499999987</v>
      </c>
      <c r="N265" s="20">
        <f t="shared" si="13"/>
        <v>4020.820691994571</v>
      </c>
      <c r="O265" s="19">
        <f t="shared" si="14"/>
        <v>1941</v>
      </c>
      <c r="P265" s="19" t="str">
        <v>High</v>
      </c>
    </row>
    <row r="266" spans="1:16" x14ac:dyDescent="0.3">
      <c r="A266" s="2" t="s">
        <v>1015</v>
      </c>
      <c r="B266" s="2" t="s">
        <v>813</v>
      </c>
      <c r="C266" s="19" t="s">
        <v>84</v>
      </c>
      <c r="D266" s="19" t="s">
        <v>88</v>
      </c>
      <c r="E266" s="19" t="s">
        <v>16</v>
      </c>
      <c r="F266" s="19" t="s">
        <v>49</v>
      </c>
      <c r="G266" s="19" t="s">
        <v>62</v>
      </c>
      <c r="H266" s="19" t="s">
        <v>75</v>
      </c>
      <c r="I266" s="19">
        <v>2</v>
      </c>
      <c r="J266" s="19">
        <v>4895</v>
      </c>
      <c r="K266" s="19">
        <v>7</v>
      </c>
      <c r="L266" s="19">
        <v>9104.7000000000007</v>
      </c>
      <c r="M266" s="19">
        <f t="shared" si="12"/>
        <v>2954237.5699999984</v>
      </c>
      <c r="N266" s="20">
        <f t="shared" si="13"/>
        <v>4013.9097418478241</v>
      </c>
      <c r="O266" s="19">
        <f t="shared" si="14"/>
        <v>1938</v>
      </c>
      <c r="P266" s="19" t="str">
        <v>High</v>
      </c>
    </row>
    <row r="267" spans="1:16" x14ac:dyDescent="0.3">
      <c r="A267" s="2" t="s">
        <v>1579</v>
      </c>
      <c r="B267" s="2" t="s">
        <v>991</v>
      </c>
      <c r="C267" s="19" t="s">
        <v>342</v>
      </c>
      <c r="D267" s="19" t="s">
        <v>30</v>
      </c>
      <c r="E267" s="19" t="s">
        <v>24</v>
      </c>
      <c r="F267" s="19" t="s">
        <v>49</v>
      </c>
      <c r="G267" s="19" t="s">
        <v>40</v>
      </c>
      <c r="H267" s="19" t="s">
        <v>33</v>
      </c>
      <c r="I267" s="19">
        <v>2</v>
      </c>
      <c r="J267" s="19">
        <v>4581</v>
      </c>
      <c r="K267" s="19">
        <v>1</v>
      </c>
      <c r="L267" s="19">
        <v>9070.3799999999992</v>
      </c>
      <c r="M267" s="19">
        <f t="shared" si="12"/>
        <v>2945132.8699999987</v>
      </c>
      <c r="N267" s="20">
        <f t="shared" si="13"/>
        <v>4006.9834965986379</v>
      </c>
      <c r="O267" s="19">
        <f t="shared" si="14"/>
        <v>1936</v>
      </c>
      <c r="P267" s="19" t="str">
        <v>High</v>
      </c>
    </row>
    <row r="268" spans="1:16" x14ac:dyDescent="0.3">
      <c r="A268" s="2" t="s">
        <v>1102</v>
      </c>
      <c r="B268" s="2" t="s">
        <v>119</v>
      </c>
      <c r="C268" s="19" t="s">
        <v>983</v>
      </c>
      <c r="D268" s="19" t="s">
        <v>53</v>
      </c>
      <c r="E268" s="19" t="s">
        <v>24</v>
      </c>
      <c r="F268" s="19" t="s">
        <v>17</v>
      </c>
      <c r="G268" s="19" t="s">
        <v>18</v>
      </c>
      <c r="H268" s="19" t="s">
        <v>75</v>
      </c>
      <c r="I268" s="19">
        <v>4</v>
      </c>
      <c r="J268" s="19">
        <v>3009</v>
      </c>
      <c r="K268" s="19">
        <v>25</v>
      </c>
      <c r="L268" s="19">
        <v>9027</v>
      </c>
      <c r="M268" s="19">
        <f t="shared" si="12"/>
        <v>2936062.4899999988</v>
      </c>
      <c r="N268" s="20">
        <f t="shared" si="13"/>
        <v>4000.0851362397802</v>
      </c>
      <c r="O268" s="19">
        <f t="shared" si="14"/>
        <v>1934</v>
      </c>
      <c r="P268" s="19" t="str">
        <v>High</v>
      </c>
    </row>
    <row r="269" spans="1:16" x14ac:dyDescent="0.3">
      <c r="A269" s="2" t="s">
        <v>59</v>
      </c>
      <c r="B269" s="2" t="s">
        <v>60</v>
      </c>
      <c r="C269" s="19" t="s">
        <v>61</v>
      </c>
      <c r="D269" s="19" t="s">
        <v>30</v>
      </c>
      <c r="E269" s="19" t="s">
        <v>48</v>
      </c>
      <c r="F269" s="19" t="s">
        <v>17</v>
      </c>
      <c r="G269" s="19" t="s">
        <v>62</v>
      </c>
      <c r="H269" s="19" t="s">
        <v>33</v>
      </c>
      <c r="I269" s="19">
        <v>3</v>
      </c>
      <c r="J269" s="19">
        <v>4287</v>
      </c>
      <c r="K269" s="19">
        <v>30</v>
      </c>
      <c r="L269" s="19">
        <v>9002.7000000000007</v>
      </c>
      <c r="M269" s="19">
        <f t="shared" si="12"/>
        <v>2927035.4899999988</v>
      </c>
      <c r="N269" s="20">
        <f t="shared" si="13"/>
        <v>3993.2271350613901</v>
      </c>
      <c r="O269" s="19">
        <f t="shared" si="14"/>
        <v>1930</v>
      </c>
      <c r="P269" s="19" t="str">
        <v>High</v>
      </c>
    </row>
    <row r="270" spans="1:16" x14ac:dyDescent="0.3">
      <c r="A270" s="2" t="s">
        <v>1233</v>
      </c>
      <c r="B270" s="2" t="s">
        <v>196</v>
      </c>
      <c r="C270" s="19" t="s">
        <v>858</v>
      </c>
      <c r="D270" s="19" t="s">
        <v>88</v>
      </c>
      <c r="E270" s="19" t="s">
        <v>58</v>
      </c>
      <c r="F270" s="19" t="s">
        <v>17</v>
      </c>
      <c r="G270" s="19" t="s">
        <v>26</v>
      </c>
      <c r="H270" s="19" t="s">
        <v>33</v>
      </c>
      <c r="I270" s="19">
        <v>5</v>
      </c>
      <c r="J270" s="19">
        <v>1912</v>
      </c>
      <c r="K270" s="19">
        <v>6</v>
      </c>
      <c r="L270" s="19">
        <v>8986.4</v>
      </c>
      <c r="M270" s="19">
        <f t="shared" si="12"/>
        <v>2918032.7899999991</v>
      </c>
      <c r="N270" s="20">
        <f t="shared" si="13"/>
        <v>3986.3835928961735</v>
      </c>
      <c r="O270" s="19">
        <f t="shared" si="14"/>
        <v>1927</v>
      </c>
      <c r="P270" s="19" t="str">
        <v>High</v>
      </c>
    </row>
    <row r="271" spans="1:16" x14ac:dyDescent="0.3">
      <c r="A271" s="2" t="s">
        <v>1005</v>
      </c>
      <c r="B271" s="2" t="s">
        <v>980</v>
      </c>
      <c r="C271" s="19" t="s">
        <v>438</v>
      </c>
      <c r="D271" s="19" t="s">
        <v>23</v>
      </c>
      <c r="E271" s="19" t="s">
        <v>31</v>
      </c>
      <c r="F271" s="19" t="s">
        <v>40</v>
      </c>
      <c r="G271" s="19" t="s">
        <v>62</v>
      </c>
      <c r="H271" s="19" t="s">
        <v>19</v>
      </c>
      <c r="I271" s="19">
        <v>4</v>
      </c>
      <c r="J271" s="19">
        <v>2414</v>
      </c>
      <c r="K271" s="19">
        <v>7</v>
      </c>
      <c r="L271" s="19">
        <v>8980.08</v>
      </c>
      <c r="M271" s="19">
        <f t="shared" si="12"/>
        <v>2909046.3899999987</v>
      </c>
      <c r="N271" s="20">
        <f t="shared" si="13"/>
        <v>3979.5436251709971</v>
      </c>
      <c r="O271" s="19">
        <f t="shared" si="14"/>
        <v>1922</v>
      </c>
      <c r="P271" s="19" t="str">
        <v>High</v>
      </c>
    </row>
    <row r="272" spans="1:16" x14ac:dyDescent="0.3">
      <c r="A272" s="2" t="s">
        <v>1070</v>
      </c>
      <c r="B272" s="2" t="s">
        <v>989</v>
      </c>
      <c r="C272" s="19" t="s">
        <v>111</v>
      </c>
      <c r="D272" s="19" t="s">
        <v>88</v>
      </c>
      <c r="E272" s="19" t="s">
        <v>48</v>
      </c>
      <c r="F272" s="19" t="s">
        <v>49</v>
      </c>
      <c r="G272" s="19" t="s">
        <v>26</v>
      </c>
      <c r="H272" s="19" t="s">
        <v>19</v>
      </c>
      <c r="I272" s="19">
        <v>4</v>
      </c>
      <c r="J272" s="19">
        <v>3204</v>
      </c>
      <c r="K272" s="19">
        <v>30</v>
      </c>
      <c r="L272" s="19">
        <v>8971.2000000000007</v>
      </c>
      <c r="M272" s="19">
        <f t="shared" si="12"/>
        <v>2900066.3099999982</v>
      </c>
      <c r="N272" s="20">
        <f t="shared" si="13"/>
        <v>3972.6935753424632</v>
      </c>
      <c r="O272" s="19">
        <f t="shared" si="14"/>
        <v>1918</v>
      </c>
      <c r="P272" s="19" t="str">
        <v>High</v>
      </c>
    </row>
    <row r="273" spans="1:16" x14ac:dyDescent="0.3">
      <c r="A273" s="2" t="s">
        <v>215</v>
      </c>
      <c r="B273" s="2" t="s">
        <v>110</v>
      </c>
      <c r="C273" s="19" t="s">
        <v>216</v>
      </c>
      <c r="D273" s="19" t="s">
        <v>88</v>
      </c>
      <c r="E273" s="19" t="s">
        <v>24</v>
      </c>
      <c r="F273" s="19" t="s">
        <v>25</v>
      </c>
      <c r="G273" s="19" t="s">
        <v>62</v>
      </c>
      <c r="H273" s="19" t="s">
        <v>44</v>
      </c>
      <c r="I273" s="19">
        <v>4</v>
      </c>
      <c r="J273" s="19">
        <v>2910</v>
      </c>
      <c r="K273" s="19">
        <v>23</v>
      </c>
      <c r="L273" s="19">
        <v>8962.7999999999993</v>
      </c>
      <c r="M273" s="19">
        <f t="shared" si="12"/>
        <v>2891095.1099999975</v>
      </c>
      <c r="N273" s="20">
        <f t="shared" si="13"/>
        <v>3965.8369135802436</v>
      </c>
      <c r="O273" s="19">
        <f t="shared" si="14"/>
        <v>1914</v>
      </c>
      <c r="P273" s="19" t="str">
        <v>High</v>
      </c>
    </row>
    <row r="274" spans="1:16" x14ac:dyDescent="0.3">
      <c r="A274" s="2" t="s">
        <v>1440</v>
      </c>
      <c r="B274" s="2" t="s">
        <v>224</v>
      </c>
      <c r="C274" s="19" t="s">
        <v>175</v>
      </c>
      <c r="D274" s="19" t="s">
        <v>88</v>
      </c>
      <c r="E274" s="19" t="s">
        <v>24</v>
      </c>
      <c r="F274" s="19" t="s">
        <v>25</v>
      </c>
      <c r="G274" s="19" t="s">
        <v>18</v>
      </c>
      <c r="H274" s="19" t="s">
        <v>19</v>
      </c>
      <c r="I274" s="19">
        <v>3</v>
      </c>
      <c r="J274" s="19">
        <v>4036</v>
      </c>
      <c r="K274" s="19">
        <v>26</v>
      </c>
      <c r="L274" s="19">
        <v>8959.92</v>
      </c>
      <c r="M274" s="19">
        <f t="shared" si="12"/>
        <v>2882132.3099999977</v>
      </c>
      <c r="N274" s="20">
        <f t="shared" si="13"/>
        <v>3958.9729532967003</v>
      </c>
      <c r="O274" s="19">
        <f t="shared" si="14"/>
        <v>1910</v>
      </c>
      <c r="P274" s="19" t="str">
        <v>High</v>
      </c>
    </row>
    <row r="275" spans="1:16" x14ac:dyDescent="0.3">
      <c r="A275" s="2" t="s">
        <v>1290</v>
      </c>
      <c r="B275" s="2" t="s">
        <v>1137</v>
      </c>
      <c r="C275" s="19" t="s">
        <v>441</v>
      </c>
      <c r="D275" s="19" t="s">
        <v>88</v>
      </c>
      <c r="E275" s="19" t="s">
        <v>79</v>
      </c>
      <c r="F275" s="19" t="s">
        <v>49</v>
      </c>
      <c r="G275" s="19" t="s">
        <v>18</v>
      </c>
      <c r="H275" s="19" t="s">
        <v>33</v>
      </c>
      <c r="I275" s="19">
        <v>5</v>
      </c>
      <c r="J275" s="19">
        <v>2036</v>
      </c>
      <c r="K275" s="19">
        <v>12</v>
      </c>
      <c r="L275" s="19">
        <v>8958.4</v>
      </c>
      <c r="M275" s="19">
        <f t="shared" si="12"/>
        <v>2873172.3899999973</v>
      </c>
      <c r="N275" s="20">
        <f t="shared" si="13"/>
        <v>3952.0940715268189</v>
      </c>
      <c r="O275" s="19">
        <f t="shared" si="14"/>
        <v>1907</v>
      </c>
      <c r="P275" s="19" t="str">
        <v>High</v>
      </c>
    </row>
    <row r="276" spans="1:16" x14ac:dyDescent="0.3">
      <c r="A276" s="2" t="s">
        <v>1586</v>
      </c>
      <c r="B276" s="2" t="s">
        <v>366</v>
      </c>
      <c r="C276" s="19" t="s">
        <v>127</v>
      </c>
      <c r="D276" s="19" t="s">
        <v>15</v>
      </c>
      <c r="E276" s="19" t="s">
        <v>58</v>
      </c>
      <c r="F276" s="19" t="s">
        <v>40</v>
      </c>
      <c r="G276" s="19" t="s">
        <v>40</v>
      </c>
      <c r="H276" s="19" t="s">
        <v>75</v>
      </c>
      <c r="I276" s="19">
        <v>4</v>
      </c>
      <c r="J276" s="19">
        <v>2370</v>
      </c>
      <c r="K276" s="19">
        <v>6</v>
      </c>
      <c r="L276" s="19">
        <v>8911.2000000000007</v>
      </c>
      <c r="M276" s="19">
        <f t="shared" si="12"/>
        <v>2864213.9899999974</v>
      </c>
      <c r="N276" s="20">
        <f t="shared" si="13"/>
        <v>3945.1983333333296</v>
      </c>
      <c r="O276" s="19">
        <f t="shared" si="14"/>
        <v>1902</v>
      </c>
      <c r="P276" s="19" t="str">
        <v>High</v>
      </c>
    </row>
    <row r="277" spans="1:16" x14ac:dyDescent="0.3">
      <c r="A277" s="2" t="s">
        <v>1119</v>
      </c>
      <c r="B277" s="2" t="s">
        <v>1120</v>
      </c>
      <c r="C277" s="19" t="s">
        <v>711</v>
      </c>
      <c r="D277" s="19" t="s">
        <v>88</v>
      </c>
      <c r="E277" s="19" t="s">
        <v>68</v>
      </c>
      <c r="F277" s="19" t="s">
        <v>25</v>
      </c>
      <c r="G277" s="19" t="s">
        <v>62</v>
      </c>
      <c r="H277" s="19" t="s">
        <v>44</v>
      </c>
      <c r="I277" s="19">
        <v>5</v>
      </c>
      <c r="J277" s="19">
        <v>2304</v>
      </c>
      <c r="K277" s="19">
        <v>23</v>
      </c>
      <c r="L277" s="19">
        <v>8870.4</v>
      </c>
      <c r="M277" s="19">
        <f t="shared" si="12"/>
        <v>2855302.7899999977</v>
      </c>
      <c r="N277" s="20">
        <f t="shared" si="13"/>
        <v>3938.3486758620656</v>
      </c>
      <c r="O277" s="19">
        <f t="shared" si="14"/>
        <v>1898</v>
      </c>
      <c r="P277" s="19" t="str">
        <v>High</v>
      </c>
    </row>
    <row r="278" spans="1:16" x14ac:dyDescent="0.3">
      <c r="A278" s="2" t="s">
        <v>1370</v>
      </c>
      <c r="B278" s="2" t="s">
        <v>304</v>
      </c>
      <c r="C278" s="19" t="s">
        <v>1371</v>
      </c>
      <c r="D278" s="19" t="s">
        <v>15</v>
      </c>
      <c r="E278" s="19" t="s">
        <v>31</v>
      </c>
      <c r="F278" s="19" t="s">
        <v>40</v>
      </c>
      <c r="G278" s="19" t="s">
        <v>18</v>
      </c>
      <c r="H278" s="19" t="s">
        <v>19</v>
      </c>
      <c r="I278" s="19">
        <v>5</v>
      </c>
      <c r="J278" s="19">
        <v>2458</v>
      </c>
      <c r="K278" s="19">
        <v>28</v>
      </c>
      <c r="L278" s="19">
        <v>8848.7999999999993</v>
      </c>
      <c r="M278" s="19">
        <f t="shared" si="12"/>
        <v>2846432.3899999973</v>
      </c>
      <c r="N278" s="20">
        <f t="shared" si="13"/>
        <v>3931.5364502762395</v>
      </c>
      <c r="O278" s="19">
        <f t="shared" si="14"/>
        <v>1893</v>
      </c>
      <c r="P278" s="19" t="str">
        <v>High</v>
      </c>
    </row>
    <row r="279" spans="1:16" x14ac:dyDescent="0.3">
      <c r="A279" s="2" t="s">
        <v>781</v>
      </c>
      <c r="B279" s="2" t="s">
        <v>309</v>
      </c>
      <c r="C279" s="19" t="s">
        <v>590</v>
      </c>
      <c r="D279" s="19" t="s">
        <v>88</v>
      </c>
      <c r="E279" s="19" t="s">
        <v>48</v>
      </c>
      <c r="F279" s="19" t="s">
        <v>25</v>
      </c>
      <c r="G279" s="19" t="s">
        <v>54</v>
      </c>
      <c r="H279" s="19" t="s">
        <v>33</v>
      </c>
      <c r="I279" s="19">
        <v>2</v>
      </c>
      <c r="J279" s="19">
        <v>4558</v>
      </c>
      <c r="K279" s="19">
        <v>3</v>
      </c>
      <c r="L279" s="19">
        <v>8842.52</v>
      </c>
      <c r="M279" s="19">
        <f t="shared" si="12"/>
        <v>2837583.5899999975</v>
      </c>
      <c r="N279" s="20">
        <f t="shared" si="13"/>
        <v>3924.7352558782814</v>
      </c>
      <c r="O279" s="19">
        <f t="shared" si="14"/>
        <v>1888</v>
      </c>
      <c r="P279" s="19" t="str">
        <v>High</v>
      </c>
    </row>
    <row r="280" spans="1:16" x14ac:dyDescent="0.3">
      <c r="A280" s="2" t="s">
        <v>1332</v>
      </c>
      <c r="B280" s="2" t="s">
        <v>1333</v>
      </c>
      <c r="C280" s="19" t="s">
        <v>1203</v>
      </c>
      <c r="D280" s="19" t="s">
        <v>23</v>
      </c>
      <c r="E280" s="19" t="s">
        <v>16</v>
      </c>
      <c r="F280" s="19" t="s">
        <v>49</v>
      </c>
      <c r="G280" s="19" t="s">
        <v>26</v>
      </c>
      <c r="H280" s="19" t="s">
        <v>75</v>
      </c>
      <c r="I280" s="19">
        <v>2</v>
      </c>
      <c r="J280" s="19">
        <v>4459</v>
      </c>
      <c r="K280" s="19">
        <v>1</v>
      </c>
      <c r="L280" s="19">
        <v>8828.82</v>
      </c>
      <c r="M280" s="19">
        <f t="shared" si="12"/>
        <v>2828741.0699999975</v>
      </c>
      <c r="N280" s="20">
        <f t="shared" si="13"/>
        <v>3917.9239196675867</v>
      </c>
      <c r="O280" s="19">
        <f t="shared" si="14"/>
        <v>1886</v>
      </c>
      <c r="P280" s="19" t="str">
        <v>High</v>
      </c>
    </row>
    <row r="281" spans="1:16" x14ac:dyDescent="0.3">
      <c r="A281" s="2" t="s">
        <v>248</v>
      </c>
      <c r="B281" s="2" t="s">
        <v>249</v>
      </c>
      <c r="C281" s="19" t="s">
        <v>250</v>
      </c>
      <c r="D281" s="19" t="s">
        <v>15</v>
      </c>
      <c r="E281" s="19" t="s">
        <v>58</v>
      </c>
      <c r="F281" s="19" t="s">
        <v>17</v>
      </c>
      <c r="G281" s="19" t="s">
        <v>26</v>
      </c>
      <c r="H281" s="19" t="s">
        <v>75</v>
      </c>
      <c r="I281" s="19">
        <v>3</v>
      </c>
      <c r="J281" s="19">
        <v>3422</v>
      </c>
      <c r="K281" s="19">
        <v>14</v>
      </c>
      <c r="L281" s="19">
        <v>8828.76</v>
      </c>
      <c r="M281" s="19">
        <f t="shared" si="12"/>
        <v>2819912.2499999977</v>
      </c>
      <c r="N281" s="20">
        <f t="shared" si="13"/>
        <v>3911.1126907073476</v>
      </c>
      <c r="O281" s="19">
        <f t="shared" si="14"/>
        <v>1884</v>
      </c>
      <c r="P281" s="19" t="str">
        <v>High</v>
      </c>
    </row>
    <row r="282" spans="1:16" x14ac:dyDescent="0.3">
      <c r="A282" s="2" t="s">
        <v>1408</v>
      </c>
      <c r="B282" s="2" t="s">
        <v>645</v>
      </c>
      <c r="C282" s="19" t="s">
        <v>1278</v>
      </c>
      <c r="D282" s="19" t="s">
        <v>53</v>
      </c>
      <c r="E282" s="19" t="s">
        <v>79</v>
      </c>
      <c r="F282" s="19" t="s">
        <v>17</v>
      </c>
      <c r="G282" s="19" t="s">
        <v>54</v>
      </c>
      <c r="H282" s="19" t="s">
        <v>44</v>
      </c>
      <c r="I282" s="19">
        <v>2</v>
      </c>
      <c r="J282" s="19">
        <v>4502</v>
      </c>
      <c r="K282" s="19">
        <v>2</v>
      </c>
      <c r="L282" s="19">
        <v>8823.92</v>
      </c>
      <c r="M282" s="19">
        <f t="shared" si="12"/>
        <v>2811083.4899999979</v>
      </c>
      <c r="N282" s="20">
        <f t="shared" si="13"/>
        <v>3904.2826249999971</v>
      </c>
      <c r="O282" s="19">
        <f t="shared" si="14"/>
        <v>1881</v>
      </c>
      <c r="P282" s="19" t="str">
        <v>High</v>
      </c>
    </row>
    <row r="283" spans="1:16" x14ac:dyDescent="0.3">
      <c r="A283" s="2" t="s">
        <v>1613</v>
      </c>
      <c r="B283" s="2" t="s">
        <v>1153</v>
      </c>
      <c r="C283" s="19" t="s">
        <v>331</v>
      </c>
      <c r="D283" s="19" t="s">
        <v>53</v>
      </c>
      <c r="E283" s="19" t="s">
        <v>48</v>
      </c>
      <c r="F283" s="19" t="s">
        <v>17</v>
      </c>
      <c r="G283" s="19" t="s">
        <v>18</v>
      </c>
      <c r="H283" s="19" t="s">
        <v>44</v>
      </c>
      <c r="I283" s="19">
        <v>3</v>
      </c>
      <c r="J283" s="19">
        <v>3870</v>
      </c>
      <c r="K283" s="19">
        <v>24</v>
      </c>
      <c r="L283" s="19">
        <v>8823.6</v>
      </c>
      <c r="M283" s="19">
        <f t="shared" si="12"/>
        <v>2802259.569999998</v>
      </c>
      <c r="N283" s="20">
        <f t="shared" si="13"/>
        <v>3897.4402920723201</v>
      </c>
      <c r="O283" s="19">
        <f t="shared" si="14"/>
        <v>1879</v>
      </c>
      <c r="P283" s="19" t="str">
        <v>High</v>
      </c>
    </row>
    <row r="284" spans="1:16" x14ac:dyDescent="0.3">
      <c r="A284" s="2" t="s">
        <v>1621</v>
      </c>
      <c r="B284" s="2" t="s">
        <v>188</v>
      </c>
      <c r="C284" s="19" t="s">
        <v>845</v>
      </c>
      <c r="D284" s="19" t="s">
        <v>88</v>
      </c>
      <c r="E284" s="19" t="s">
        <v>24</v>
      </c>
      <c r="F284" s="19" t="s">
        <v>40</v>
      </c>
      <c r="G284" s="19" t="s">
        <v>26</v>
      </c>
      <c r="H284" s="19" t="s">
        <v>33</v>
      </c>
      <c r="I284" s="19">
        <v>4</v>
      </c>
      <c r="J284" s="19">
        <v>2249</v>
      </c>
      <c r="K284" s="19">
        <v>2</v>
      </c>
      <c r="L284" s="19">
        <v>8816.08</v>
      </c>
      <c r="M284" s="19">
        <f t="shared" si="12"/>
        <v>2793435.9699999988</v>
      </c>
      <c r="N284" s="20">
        <f t="shared" si="13"/>
        <v>3890.5793454038981</v>
      </c>
      <c r="O284" s="19">
        <f t="shared" si="14"/>
        <v>1876</v>
      </c>
      <c r="P284" s="19" t="str">
        <v>High</v>
      </c>
    </row>
    <row r="285" spans="1:16" x14ac:dyDescent="0.3">
      <c r="A285" s="2" t="s">
        <v>943</v>
      </c>
      <c r="B285" s="2" t="s">
        <v>202</v>
      </c>
      <c r="C285" s="19" t="s">
        <v>421</v>
      </c>
      <c r="D285" s="19" t="s">
        <v>30</v>
      </c>
      <c r="E285" s="19" t="s">
        <v>48</v>
      </c>
      <c r="F285" s="19" t="s">
        <v>32</v>
      </c>
      <c r="G285" s="19" t="s">
        <v>18</v>
      </c>
      <c r="H285" s="19" t="s">
        <v>75</v>
      </c>
      <c r="I285" s="19">
        <v>3</v>
      </c>
      <c r="J285" s="19">
        <v>3455</v>
      </c>
      <c r="K285" s="19">
        <v>15</v>
      </c>
      <c r="L285" s="19">
        <v>8810.25</v>
      </c>
      <c r="M285" s="19">
        <f t="shared" si="12"/>
        <v>2784619.8899999992</v>
      </c>
      <c r="N285" s="20">
        <f t="shared" si="13"/>
        <v>3883.7097489539738</v>
      </c>
      <c r="O285" s="19">
        <f t="shared" si="14"/>
        <v>1872</v>
      </c>
      <c r="P285" s="19" t="str">
        <v>High</v>
      </c>
    </row>
    <row r="286" spans="1:16" x14ac:dyDescent="0.3">
      <c r="A286" s="2" t="s">
        <v>1641</v>
      </c>
      <c r="B286" s="2" t="s">
        <v>985</v>
      </c>
      <c r="C286" s="19" t="s">
        <v>994</v>
      </c>
      <c r="D286" s="19" t="s">
        <v>53</v>
      </c>
      <c r="E286" s="19" t="s">
        <v>58</v>
      </c>
      <c r="F286" s="19" t="s">
        <v>49</v>
      </c>
      <c r="G286" s="19" t="s">
        <v>26</v>
      </c>
      <c r="H286" s="19" t="s">
        <v>19</v>
      </c>
      <c r="I286" s="19">
        <v>2</v>
      </c>
      <c r="J286" s="19">
        <v>4662</v>
      </c>
      <c r="K286" s="19">
        <v>6</v>
      </c>
      <c r="L286" s="19">
        <v>8764.56</v>
      </c>
      <c r="M286" s="19">
        <f t="shared" si="12"/>
        <v>2775809.6399999987</v>
      </c>
      <c r="N286" s="20">
        <f t="shared" si="13"/>
        <v>3876.8291061452496</v>
      </c>
      <c r="O286" s="19">
        <f t="shared" si="14"/>
        <v>1869</v>
      </c>
      <c r="P286" s="19" t="str">
        <v>High</v>
      </c>
    </row>
    <row r="287" spans="1:16" x14ac:dyDescent="0.3">
      <c r="A287" s="2" t="s">
        <v>997</v>
      </c>
      <c r="B287" s="2" t="s">
        <v>998</v>
      </c>
      <c r="C287" s="19" t="s">
        <v>999</v>
      </c>
      <c r="D287" s="19" t="s">
        <v>23</v>
      </c>
      <c r="E287" s="19" t="s">
        <v>79</v>
      </c>
      <c r="F287" s="19" t="s">
        <v>32</v>
      </c>
      <c r="G287" s="19" t="s">
        <v>54</v>
      </c>
      <c r="H287" s="19" t="s">
        <v>75</v>
      </c>
      <c r="I287" s="19">
        <v>3</v>
      </c>
      <c r="J287" s="19">
        <v>2933</v>
      </c>
      <c r="K287" s="19">
        <v>1</v>
      </c>
      <c r="L287" s="19">
        <v>8711.01</v>
      </c>
      <c r="M287" s="19">
        <f t="shared" si="12"/>
        <v>2767045.0799999987</v>
      </c>
      <c r="N287" s="20">
        <f t="shared" si="13"/>
        <v>3869.993118881117</v>
      </c>
      <c r="O287" s="19">
        <f t="shared" si="14"/>
        <v>1867</v>
      </c>
      <c r="P287" s="19" t="str">
        <v>High</v>
      </c>
    </row>
    <row r="288" spans="1:16" x14ac:dyDescent="0.3">
      <c r="A288" s="2" t="s">
        <v>1455</v>
      </c>
      <c r="B288" s="2" t="s">
        <v>734</v>
      </c>
      <c r="C288" s="19" t="s">
        <v>180</v>
      </c>
      <c r="D288" s="19" t="s">
        <v>88</v>
      </c>
      <c r="E288" s="19" t="s">
        <v>48</v>
      </c>
      <c r="F288" s="19" t="s">
        <v>49</v>
      </c>
      <c r="G288" s="19" t="s">
        <v>40</v>
      </c>
      <c r="H288" s="19" t="s">
        <v>19</v>
      </c>
      <c r="I288" s="19">
        <v>5</v>
      </c>
      <c r="J288" s="19">
        <v>2172</v>
      </c>
      <c r="K288" s="19">
        <v>20</v>
      </c>
      <c r="L288" s="19">
        <v>8688</v>
      </c>
      <c r="M288" s="19">
        <f t="shared" si="12"/>
        <v>2758334.0699999989</v>
      </c>
      <c r="N288" s="20">
        <f t="shared" si="13"/>
        <v>3863.2129831932757</v>
      </c>
      <c r="O288" s="19">
        <f t="shared" si="14"/>
        <v>1864</v>
      </c>
      <c r="P288" s="19" t="str">
        <v>High</v>
      </c>
    </row>
    <row r="289" spans="1:16" x14ac:dyDescent="0.3">
      <c r="A289" s="2" t="s">
        <v>1513</v>
      </c>
      <c r="B289" s="2" t="s">
        <v>255</v>
      </c>
      <c r="C289" s="19" t="s">
        <v>130</v>
      </c>
      <c r="D289" s="19" t="s">
        <v>23</v>
      </c>
      <c r="E289" s="19" t="s">
        <v>79</v>
      </c>
      <c r="F289" s="19" t="s">
        <v>49</v>
      </c>
      <c r="G289" s="19" t="s">
        <v>62</v>
      </c>
      <c r="H289" s="19" t="s">
        <v>44</v>
      </c>
      <c r="I289" s="19">
        <v>3</v>
      </c>
      <c r="J289" s="19">
        <v>2950</v>
      </c>
      <c r="K289" s="19">
        <v>2</v>
      </c>
      <c r="L289" s="19">
        <v>8673</v>
      </c>
      <c r="M289" s="19">
        <f t="shared" si="12"/>
        <v>2749646.0699999994</v>
      </c>
      <c r="N289" s="20">
        <f t="shared" si="13"/>
        <v>3856.4461009817664</v>
      </c>
      <c r="O289" s="19">
        <f t="shared" si="14"/>
        <v>1859</v>
      </c>
      <c r="P289" s="19" t="str">
        <v>High</v>
      </c>
    </row>
    <row r="290" spans="1:16" x14ac:dyDescent="0.3">
      <c r="A290" s="2" t="s">
        <v>536</v>
      </c>
      <c r="B290" s="2" t="s">
        <v>537</v>
      </c>
      <c r="C290" s="19" t="s">
        <v>538</v>
      </c>
      <c r="D290" s="19" t="s">
        <v>53</v>
      </c>
      <c r="E290" s="19" t="s">
        <v>24</v>
      </c>
      <c r="F290" s="19" t="s">
        <v>17</v>
      </c>
      <c r="G290" s="19" t="s">
        <v>62</v>
      </c>
      <c r="H290" s="19" t="s">
        <v>19</v>
      </c>
      <c r="I290" s="19">
        <v>3</v>
      </c>
      <c r="J290" s="19">
        <v>3068</v>
      </c>
      <c r="K290" s="19">
        <v>6</v>
      </c>
      <c r="L290" s="19">
        <v>8651.76</v>
      </c>
      <c r="M290" s="19">
        <f t="shared" si="12"/>
        <v>2740973.0699999994</v>
      </c>
      <c r="N290" s="20">
        <f t="shared" si="13"/>
        <v>3849.6812780898867</v>
      </c>
      <c r="O290" s="19">
        <f t="shared" si="14"/>
        <v>1856</v>
      </c>
      <c r="P290" s="19" t="str">
        <v>High</v>
      </c>
    </row>
    <row r="291" spans="1:16" x14ac:dyDescent="0.3">
      <c r="A291" s="2" t="s">
        <v>1639</v>
      </c>
      <c r="B291" s="2" t="s">
        <v>427</v>
      </c>
      <c r="C291" s="19" t="s">
        <v>732</v>
      </c>
      <c r="D291" s="19" t="s">
        <v>30</v>
      </c>
      <c r="E291" s="19" t="s">
        <v>48</v>
      </c>
      <c r="F291" s="19" t="s">
        <v>40</v>
      </c>
      <c r="G291" s="19" t="s">
        <v>40</v>
      </c>
      <c r="H291" s="19" t="s">
        <v>33</v>
      </c>
      <c r="I291" s="19">
        <v>5</v>
      </c>
      <c r="J291" s="19">
        <v>2155</v>
      </c>
      <c r="K291" s="19">
        <v>20</v>
      </c>
      <c r="L291" s="19">
        <v>8620</v>
      </c>
      <c r="M291" s="19">
        <f t="shared" si="12"/>
        <v>2732321.3099999991</v>
      </c>
      <c r="N291" s="20">
        <f t="shared" si="13"/>
        <v>3842.927299578058</v>
      </c>
      <c r="O291" s="19">
        <f t="shared" si="14"/>
        <v>1853</v>
      </c>
      <c r="P291" s="19" t="str">
        <v>High</v>
      </c>
    </row>
    <row r="292" spans="1:16" x14ac:dyDescent="0.3">
      <c r="A292" s="2" t="s">
        <v>798</v>
      </c>
      <c r="B292" s="2" t="s">
        <v>467</v>
      </c>
      <c r="C292" s="19" t="s">
        <v>197</v>
      </c>
      <c r="D292" s="19" t="s">
        <v>53</v>
      </c>
      <c r="E292" s="19" t="s">
        <v>16</v>
      </c>
      <c r="F292" s="19" t="s">
        <v>25</v>
      </c>
      <c r="G292" s="19" t="s">
        <v>62</v>
      </c>
      <c r="H292" s="19" t="s">
        <v>19</v>
      </c>
      <c r="I292" s="19">
        <v>5</v>
      </c>
      <c r="J292" s="19">
        <v>1913</v>
      </c>
      <c r="K292" s="19">
        <v>10</v>
      </c>
      <c r="L292" s="19">
        <v>8608.5</v>
      </c>
      <c r="M292" s="19">
        <f t="shared" si="12"/>
        <v>2723701.3099999987</v>
      </c>
      <c r="N292" s="20">
        <f t="shared" si="13"/>
        <v>3836.1990281690123</v>
      </c>
      <c r="O292" s="19">
        <f t="shared" si="14"/>
        <v>1848</v>
      </c>
      <c r="P292" s="19" t="str">
        <v>High</v>
      </c>
    </row>
    <row r="293" spans="1:16" x14ac:dyDescent="0.3">
      <c r="A293" s="2" t="s">
        <v>1116</v>
      </c>
      <c r="B293" s="2" t="s">
        <v>165</v>
      </c>
      <c r="C293" s="19" t="s">
        <v>880</v>
      </c>
      <c r="D293" s="19" t="s">
        <v>88</v>
      </c>
      <c r="E293" s="19" t="s">
        <v>16</v>
      </c>
      <c r="F293" s="19" t="s">
        <v>49</v>
      </c>
      <c r="G293" s="19" t="s">
        <v>26</v>
      </c>
      <c r="H293" s="19" t="s">
        <v>19</v>
      </c>
      <c r="I293" s="19">
        <v>5</v>
      </c>
      <c r="J293" s="19">
        <v>2391</v>
      </c>
      <c r="K293" s="19">
        <v>28</v>
      </c>
      <c r="L293" s="19">
        <v>8607.6</v>
      </c>
      <c r="M293" s="19">
        <f t="shared" si="12"/>
        <v>2715092.8099999987</v>
      </c>
      <c r="N293" s="20">
        <f t="shared" si="13"/>
        <v>3829.4679971791238</v>
      </c>
      <c r="O293" s="19">
        <f t="shared" si="14"/>
        <v>1843</v>
      </c>
      <c r="P293" s="19" t="str">
        <v>High</v>
      </c>
    </row>
    <row r="294" spans="1:16" x14ac:dyDescent="0.3">
      <c r="A294" s="2" t="s">
        <v>938</v>
      </c>
      <c r="B294" s="2" t="s">
        <v>153</v>
      </c>
      <c r="C294" s="19" t="s">
        <v>214</v>
      </c>
      <c r="D294" s="19" t="s">
        <v>88</v>
      </c>
      <c r="E294" s="19" t="s">
        <v>48</v>
      </c>
      <c r="F294" s="19" t="s">
        <v>17</v>
      </c>
      <c r="G294" s="19" t="s">
        <v>62</v>
      </c>
      <c r="H294" s="19" t="s">
        <v>33</v>
      </c>
      <c r="I294" s="19">
        <v>4</v>
      </c>
      <c r="J294" s="19">
        <v>2575</v>
      </c>
      <c r="K294" s="19">
        <v>17</v>
      </c>
      <c r="L294" s="19">
        <v>8549</v>
      </c>
      <c r="M294" s="19">
        <f t="shared" si="12"/>
        <v>2706485.2099999981</v>
      </c>
      <c r="N294" s="20">
        <f t="shared" si="13"/>
        <v>3822.7192231638392</v>
      </c>
      <c r="O294" s="19">
        <f t="shared" si="14"/>
        <v>1838</v>
      </c>
      <c r="P294" s="19" t="str">
        <v>High</v>
      </c>
    </row>
    <row r="295" spans="1:16" x14ac:dyDescent="0.3">
      <c r="A295" s="2" t="s">
        <v>1424</v>
      </c>
      <c r="B295" s="2" t="s">
        <v>1425</v>
      </c>
      <c r="C295" s="19" t="s">
        <v>983</v>
      </c>
      <c r="D295" s="19" t="s">
        <v>15</v>
      </c>
      <c r="E295" s="19" t="s">
        <v>16</v>
      </c>
      <c r="F295" s="19" t="s">
        <v>49</v>
      </c>
      <c r="G295" s="19" t="s">
        <v>40</v>
      </c>
      <c r="H295" s="19" t="s">
        <v>19</v>
      </c>
      <c r="I295" s="19">
        <v>4</v>
      </c>
      <c r="J295" s="19">
        <v>2736</v>
      </c>
      <c r="K295" s="19">
        <v>22</v>
      </c>
      <c r="L295" s="19">
        <v>8536.32</v>
      </c>
      <c r="M295" s="19">
        <f t="shared" si="12"/>
        <v>2697936.2099999981</v>
      </c>
      <c r="N295" s="20">
        <f t="shared" si="13"/>
        <v>3816.0342432814682</v>
      </c>
      <c r="O295" s="19">
        <f t="shared" si="14"/>
        <v>1834</v>
      </c>
      <c r="P295" s="19" t="str">
        <v>High</v>
      </c>
    </row>
    <row r="296" spans="1:16" x14ac:dyDescent="0.3">
      <c r="A296" s="2" t="s">
        <v>1351</v>
      </c>
      <c r="B296" s="2" t="s">
        <v>330</v>
      </c>
      <c r="C296" s="19" t="s">
        <v>197</v>
      </c>
      <c r="D296" s="19" t="s">
        <v>23</v>
      </c>
      <c r="E296" s="19" t="s">
        <v>68</v>
      </c>
      <c r="F296" s="19" t="s">
        <v>25</v>
      </c>
      <c r="G296" s="19" t="s">
        <v>18</v>
      </c>
      <c r="H296" s="19" t="s">
        <v>44</v>
      </c>
      <c r="I296" s="19">
        <v>2</v>
      </c>
      <c r="J296" s="19">
        <v>4776</v>
      </c>
      <c r="K296" s="19">
        <v>11</v>
      </c>
      <c r="L296" s="19">
        <v>8501.2800000000007</v>
      </c>
      <c r="M296" s="19">
        <f t="shared" si="12"/>
        <v>2689399.8899999983</v>
      </c>
      <c r="N296" s="20">
        <f t="shared" si="13"/>
        <v>3809.3482861189777</v>
      </c>
      <c r="O296" s="19">
        <f t="shared" si="14"/>
        <v>1830</v>
      </c>
      <c r="P296" s="19" t="str">
        <v>High</v>
      </c>
    </row>
    <row r="297" spans="1:16" x14ac:dyDescent="0.3">
      <c r="A297" s="2" t="s">
        <v>844</v>
      </c>
      <c r="B297" s="2" t="s">
        <v>147</v>
      </c>
      <c r="C297" s="19" t="s">
        <v>845</v>
      </c>
      <c r="D297" s="19" t="s">
        <v>30</v>
      </c>
      <c r="E297" s="19" t="s">
        <v>58</v>
      </c>
      <c r="F297" s="19" t="s">
        <v>32</v>
      </c>
      <c r="G297" s="19" t="s">
        <v>54</v>
      </c>
      <c r="H297" s="19" t="s">
        <v>33</v>
      </c>
      <c r="I297" s="19">
        <v>5</v>
      </c>
      <c r="J297" s="19">
        <v>1734</v>
      </c>
      <c r="K297" s="19">
        <v>2</v>
      </c>
      <c r="L297" s="19">
        <v>8496.6</v>
      </c>
      <c r="M297" s="19">
        <f t="shared" si="12"/>
        <v>2680898.6099999985</v>
      </c>
      <c r="N297" s="20">
        <f t="shared" si="13"/>
        <v>3802.6930638297849</v>
      </c>
      <c r="O297" s="19">
        <f t="shared" si="14"/>
        <v>1828</v>
      </c>
      <c r="P297" s="19" t="str">
        <v>High</v>
      </c>
    </row>
    <row r="298" spans="1:16" x14ac:dyDescent="0.3">
      <c r="A298" s="2" t="s">
        <v>294</v>
      </c>
      <c r="B298" s="2" t="s">
        <v>295</v>
      </c>
      <c r="C298" s="19" t="s">
        <v>296</v>
      </c>
      <c r="D298" s="19" t="s">
        <v>30</v>
      </c>
      <c r="E298" s="19" t="s">
        <v>68</v>
      </c>
      <c r="F298" s="19" t="s">
        <v>49</v>
      </c>
      <c r="G298" s="19" t="s">
        <v>40</v>
      </c>
      <c r="H298" s="19" t="s">
        <v>33</v>
      </c>
      <c r="I298" s="19">
        <v>2</v>
      </c>
      <c r="J298" s="19">
        <v>4515</v>
      </c>
      <c r="K298" s="19">
        <v>6</v>
      </c>
      <c r="L298" s="19">
        <v>8488.2000000000007</v>
      </c>
      <c r="M298" s="19">
        <f t="shared" si="12"/>
        <v>2672402.0099999979</v>
      </c>
      <c r="N298" s="20">
        <f t="shared" si="13"/>
        <v>3796.0255823863608</v>
      </c>
      <c r="O298" s="19">
        <f t="shared" si="14"/>
        <v>1823</v>
      </c>
      <c r="P298" s="19" t="str">
        <v>High</v>
      </c>
    </row>
    <row r="299" spans="1:16" x14ac:dyDescent="0.3">
      <c r="A299" s="2" t="s">
        <v>875</v>
      </c>
      <c r="B299" s="2" t="s">
        <v>876</v>
      </c>
      <c r="C299" s="19" t="s">
        <v>311</v>
      </c>
      <c r="D299" s="19" t="s">
        <v>53</v>
      </c>
      <c r="E299" s="19" t="s">
        <v>48</v>
      </c>
      <c r="F299" s="19" t="s">
        <v>49</v>
      </c>
      <c r="G299" s="19" t="s">
        <v>62</v>
      </c>
      <c r="H299" s="19" t="s">
        <v>44</v>
      </c>
      <c r="I299" s="19">
        <v>4</v>
      </c>
      <c r="J299" s="19">
        <v>2748</v>
      </c>
      <c r="K299" s="19">
        <v>23</v>
      </c>
      <c r="L299" s="19">
        <v>8463.84</v>
      </c>
      <c r="M299" s="19">
        <f t="shared" si="12"/>
        <v>2663913.8099999987</v>
      </c>
      <c r="N299" s="20">
        <f t="shared" si="13"/>
        <v>3789.351081081079</v>
      </c>
      <c r="O299" s="19">
        <f t="shared" si="14"/>
        <v>1821</v>
      </c>
      <c r="P299" s="19" t="str">
        <v>High</v>
      </c>
    </row>
    <row r="300" spans="1:16" x14ac:dyDescent="0.3">
      <c r="A300" s="2" t="s">
        <v>679</v>
      </c>
      <c r="B300" s="2" t="s">
        <v>64</v>
      </c>
      <c r="C300" s="19" t="s">
        <v>535</v>
      </c>
      <c r="D300" s="19" t="s">
        <v>15</v>
      </c>
      <c r="E300" s="19" t="s">
        <v>68</v>
      </c>
      <c r="F300" s="19" t="s">
        <v>17</v>
      </c>
      <c r="G300" s="19" t="s">
        <v>18</v>
      </c>
      <c r="H300" s="19" t="s">
        <v>44</v>
      </c>
      <c r="I300" s="19">
        <v>2</v>
      </c>
      <c r="J300" s="19">
        <v>4907</v>
      </c>
      <c r="K300" s="19">
        <v>14</v>
      </c>
      <c r="L300" s="19">
        <v>8440.0400000000009</v>
      </c>
      <c r="M300" s="19">
        <f t="shared" si="12"/>
        <v>2655449.9699999988</v>
      </c>
      <c r="N300" s="20">
        <f t="shared" si="13"/>
        <v>3782.6922649572634</v>
      </c>
      <c r="O300" s="19">
        <f t="shared" si="14"/>
        <v>1817</v>
      </c>
      <c r="P300" s="19" t="str">
        <v>High</v>
      </c>
    </row>
    <row r="301" spans="1:16" x14ac:dyDescent="0.3">
      <c r="A301" s="2" t="s">
        <v>1608</v>
      </c>
      <c r="B301" s="2" t="s">
        <v>237</v>
      </c>
      <c r="C301" s="19" t="s">
        <v>127</v>
      </c>
      <c r="D301" s="19" t="s">
        <v>30</v>
      </c>
      <c r="E301" s="19" t="s">
        <v>79</v>
      </c>
      <c r="F301" s="19" t="s">
        <v>49</v>
      </c>
      <c r="G301" s="19" t="s">
        <v>18</v>
      </c>
      <c r="H301" s="19" t="s">
        <v>19</v>
      </c>
      <c r="I301" s="19">
        <v>4</v>
      </c>
      <c r="J301" s="19">
        <v>2880</v>
      </c>
      <c r="K301" s="19">
        <v>27</v>
      </c>
      <c r="L301" s="19">
        <v>8409.6</v>
      </c>
      <c r="M301" s="19">
        <f t="shared" si="12"/>
        <v>2647009.9299999988</v>
      </c>
      <c r="N301" s="20">
        <f t="shared" si="13"/>
        <v>3776.0484022824517</v>
      </c>
      <c r="O301" s="19">
        <f t="shared" si="14"/>
        <v>1815</v>
      </c>
      <c r="P301" s="19" t="str">
        <v>High</v>
      </c>
    </row>
    <row r="302" spans="1:16" x14ac:dyDescent="0.3">
      <c r="A302" s="2" t="s">
        <v>1521</v>
      </c>
      <c r="B302" s="2" t="s">
        <v>1394</v>
      </c>
      <c r="C302" s="19" t="s">
        <v>652</v>
      </c>
      <c r="D302" s="19" t="s">
        <v>15</v>
      </c>
      <c r="E302" s="19" t="s">
        <v>79</v>
      </c>
      <c r="F302" s="19" t="s">
        <v>49</v>
      </c>
      <c r="G302" s="19" t="s">
        <v>18</v>
      </c>
      <c r="H302" s="19" t="s">
        <v>44</v>
      </c>
      <c r="I302" s="19">
        <v>2</v>
      </c>
      <c r="J302" s="19">
        <v>4931</v>
      </c>
      <c r="K302" s="19">
        <v>15</v>
      </c>
      <c r="L302" s="19">
        <v>8382.7000000000007</v>
      </c>
      <c r="M302" s="19">
        <f t="shared" si="12"/>
        <v>2638600.3299999991</v>
      </c>
      <c r="N302" s="20">
        <f t="shared" si="13"/>
        <v>3769.4290428571417</v>
      </c>
      <c r="O302" s="19">
        <f t="shared" si="14"/>
        <v>1811</v>
      </c>
      <c r="P302" s="19" t="str">
        <v>High</v>
      </c>
    </row>
    <row r="303" spans="1:16" x14ac:dyDescent="0.3">
      <c r="A303" s="2" t="s">
        <v>986</v>
      </c>
      <c r="B303" s="2" t="s">
        <v>987</v>
      </c>
      <c r="C303" s="19" t="s">
        <v>880</v>
      </c>
      <c r="D303" s="19" t="s">
        <v>88</v>
      </c>
      <c r="E303" s="19" t="s">
        <v>31</v>
      </c>
      <c r="F303" s="19" t="s">
        <v>49</v>
      </c>
      <c r="G303" s="19" t="s">
        <v>40</v>
      </c>
      <c r="H303" s="19" t="s">
        <v>19</v>
      </c>
      <c r="I303" s="19">
        <v>3</v>
      </c>
      <c r="J303" s="19">
        <v>3065</v>
      </c>
      <c r="K303" s="19">
        <v>9</v>
      </c>
      <c r="L303" s="19">
        <v>8367.4500000000007</v>
      </c>
      <c r="M303" s="19">
        <f t="shared" si="12"/>
        <v>2630217.6299999994</v>
      </c>
      <c r="N303" s="20">
        <f t="shared" si="13"/>
        <v>3762.8292274678101</v>
      </c>
      <c r="O303" s="19">
        <f t="shared" si="14"/>
        <v>1809</v>
      </c>
      <c r="P303" s="19" t="str">
        <v>High</v>
      </c>
    </row>
    <row r="304" spans="1:16" x14ac:dyDescent="0.3">
      <c r="A304" s="2" t="s">
        <v>1110</v>
      </c>
      <c r="B304" s="2" t="s">
        <v>1018</v>
      </c>
      <c r="C304" s="19" t="s">
        <v>983</v>
      </c>
      <c r="D304" s="19" t="s">
        <v>23</v>
      </c>
      <c r="E304" s="19" t="s">
        <v>16</v>
      </c>
      <c r="F304" s="19" t="s">
        <v>17</v>
      </c>
      <c r="G304" s="19" t="s">
        <v>62</v>
      </c>
      <c r="H304" s="19" t="s">
        <v>75</v>
      </c>
      <c r="I304" s="19">
        <v>2</v>
      </c>
      <c r="J304" s="19">
        <v>4155</v>
      </c>
      <c r="K304" s="19">
        <v>0</v>
      </c>
      <c r="L304" s="19">
        <v>8310</v>
      </c>
      <c r="M304" s="19">
        <f t="shared" si="12"/>
        <v>2621850.1799999992</v>
      </c>
      <c r="N304" s="20">
        <f t="shared" si="13"/>
        <v>3756.2323495701994</v>
      </c>
      <c r="O304" s="19">
        <f t="shared" si="14"/>
        <v>1806</v>
      </c>
      <c r="P304" s="19" t="str">
        <v>High</v>
      </c>
    </row>
    <row r="305" spans="1:16" x14ac:dyDescent="0.3">
      <c r="A305" s="2" t="s">
        <v>167</v>
      </c>
      <c r="B305" s="2" t="s">
        <v>168</v>
      </c>
      <c r="C305" s="19" t="s">
        <v>169</v>
      </c>
      <c r="D305" s="19" t="s">
        <v>88</v>
      </c>
      <c r="E305" s="19" t="s">
        <v>31</v>
      </c>
      <c r="F305" s="19" t="s">
        <v>17</v>
      </c>
      <c r="G305" s="19" t="s">
        <v>40</v>
      </c>
      <c r="H305" s="19" t="s">
        <v>19</v>
      </c>
      <c r="I305" s="19">
        <v>2</v>
      </c>
      <c r="J305" s="19">
        <v>4146</v>
      </c>
      <c r="K305" s="19">
        <v>0</v>
      </c>
      <c r="L305" s="19">
        <v>8292</v>
      </c>
      <c r="M305" s="19">
        <f t="shared" si="12"/>
        <v>2613540.1799999992</v>
      </c>
      <c r="N305" s="20">
        <f t="shared" si="13"/>
        <v>3749.6989670014336</v>
      </c>
      <c r="O305" s="19">
        <f t="shared" si="14"/>
        <v>1804</v>
      </c>
      <c r="P305" s="19" t="str">
        <v>High</v>
      </c>
    </row>
    <row r="306" spans="1:16" x14ac:dyDescent="0.3">
      <c r="A306" s="2" t="s">
        <v>320</v>
      </c>
      <c r="B306" s="2" t="s">
        <v>321</v>
      </c>
      <c r="C306" s="19" t="s">
        <v>322</v>
      </c>
      <c r="D306" s="19" t="s">
        <v>15</v>
      </c>
      <c r="E306" s="19" t="s">
        <v>31</v>
      </c>
      <c r="F306" s="19" t="s">
        <v>40</v>
      </c>
      <c r="G306" s="19" t="s">
        <v>40</v>
      </c>
      <c r="H306" s="19" t="s">
        <v>75</v>
      </c>
      <c r="I306" s="19">
        <v>4</v>
      </c>
      <c r="J306" s="19">
        <v>2303</v>
      </c>
      <c r="K306" s="19">
        <v>10</v>
      </c>
      <c r="L306" s="19">
        <v>8290.7999999999993</v>
      </c>
      <c r="M306" s="19">
        <f t="shared" si="12"/>
        <v>2605248.1799999992</v>
      </c>
      <c r="N306" s="20">
        <f t="shared" si="13"/>
        <v>3743.172672413792</v>
      </c>
      <c r="O306" s="19">
        <f t="shared" si="14"/>
        <v>1802</v>
      </c>
      <c r="P306" s="19" t="str">
        <v>High</v>
      </c>
    </row>
    <row r="307" spans="1:16" x14ac:dyDescent="0.3">
      <c r="A307" s="2" t="s">
        <v>1660</v>
      </c>
      <c r="B307" s="2" t="s">
        <v>1661</v>
      </c>
      <c r="C307" s="19" t="s">
        <v>743</v>
      </c>
      <c r="D307" s="19" t="s">
        <v>30</v>
      </c>
      <c r="E307" s="19" t="s">
        <v>24</v>
      </c>
      <c r="F307" s="19" t="s">
        <v>17</v>
      </c>
      <c r="G307" s="19" t="s">
        <v>26</v>
      </c>
      <c r="H307" s="19" t="s">
        <v>75</v>
      </c>
      <c r="I307" s="19">
        <v>4</v>
      </c>
      <c r="J307" s="19">
        <v>2135</v>
      </c>
      <c r="K307" s="19">
        <v>3</v>
      </c>
      <c r="L307" s="19">
        <v>8283.7999999999993</v>
      </c>
      <c r="M307" s="19">
        <f t="shared" si="12"/>
        <v>2596957.3799999994</v>
      </c>
      <c r="N307" s="20">
        <f t="shared" si="13"/>
        <v>3736.6293237410064</v>
      </c>
      <c r="O307" s="19">
        <f t="shared" si="14"/>
        <v>1798</v>
      </c>
      <c r="P307" s="19" t="str">
        <v>High</v>
      </c>
    </row>
    <row r="308" spans="1:16" x14ac:dyDescent="0.3">
      <c r="A308" s="2" t="s">
        <v>1599</v>
      </c>
      <c r="B308" s="2" t="s">
        <v>495</v>
      </c>
      <c r="C308" s="19" t="s">
        <v>1600</v>
      </c>
      <c r="D308" s="19" t="s">
        <v>15</v>
      </c>
      <c r="E308" s="19" t="s">
        <v>58</v>
      </c>
      <c r="F308" s="19" t="s">
        <v>49</v>
      </c>
      <c r="G308" s="19" t="s">
        <v>18</v>
      </c>
      <c r="H308" s="19" t="s">
        <v>44</v>
      </c>
      <c r="I308" s="19">
        <v>5</v>
      </c>
      <c r="J308" s="19">
        <v>2150</v>
      </c>
      <c r="K308" s="19">
        <v>23</v>
      </c>
      <c r="L308" s="19">
        <v>8277.5</v>
      </c>
      <c r="M308" s="19">
        <f t="shared" si="12"/>
        <v>2588673.5799999991</v>
      </c>
      <c r="N308" s="20">
        <f t="shared" si="13"/>
        <v>3730.0772046109496</v>
      </c>
      <c r="O308" s="19">
        <f t="shared" si="14"/>
        <v>1794</v>
      </c>
      <c r="P308" s="19" t="str">
        <v>High</v>
      </c>
    </row>
    <row r="309" spans="1:16" x14ac:dyDescent="0.3">
      <c r="A309" s="2" t="s">
        <v>1053</v>
      </c>
      <c r="B309" s="2" t="s">
        <v>750</v>
      </c>
      <c r="C309" s="19" t="s">
        <v>273</v>
      </c>
      <c r="D309" s="19" t="s">
        <v>88</v>
      </c>
      <c r="E309" s="19" t="s">
        <v>31</v>
      </c>
      <c r="F309" s="19" t="s">
        <v>32</v>
      </c>
      <c r="G309" s="19" t="s">
        <v>62</v>
      </c>
      <c r="H309" s="19" t="s">
        <v>75</v>
      </c>
      <c r="I309" s="19">
        <v>3</v>
      </c>
      <c r="J309" s="19">
        <v>3319</v>
      </c>
      <c r="K309" s="19">
        <v>17</v>
      </c>
      <c r="L309" s="19">
        <v>8264.31</v>
      </c>
      <c r="M309" s="19">
        <f t="shared" si="12"/>
        <v>2580396.0799999991</v>
      </c>
      <c r="N309" s="20">
        <f t="shared" si="13"/>
        <v>3723.5152669552658</v>
      </c>
      <c r="O309" s="19">
        <f t="shared" si="14"/>
        <v>1789</v>
      </c>
      <c r="P309" s="19" t="str">
        <v>High</v>
      </c>
    </row>
    <row r="310" spans="1:16" x14ac:dyDescent="0.3">
      <c r="A310" s="2" t="s">
        <v>405</v>
      </c>
      <c r="B310" s="2" t="s">
        <v>406</v>
      </c>
      <c r="C310" s="19" t="s">
        <v>407</v>
      </c>
      <c r="D310" s="19" t="s">
        <v>23</v>
      </c>
      <c r="E310" s="19" t="s">
        <v>58</v>
      </c>
      <c r="F310" s="19" t="s">
        <v>32</v>
      </c>
      <c r="G310" s="19" t="s">
        <v>40</v>
      </c>
      <c r="H310" s="19" t="s">
        <v>33</v>
      </c>
      <c r="I310" s="19">
        <v>4</v>
      </c>
      <c r="J310" s="19">
        <v>2608</v>
      </c>
      <c r="K310" s="19">
        <v>21</v>
      </c>
      <c r="L310" s="19">
        <v>8241.2800000000007</v>
      </c>
      <c r="M310" s="19">
        <f t="shared" si="12"/>
        <v>2572131.7699999991</v>
      </c>
      <c r="N310" s="20">
        <f t="shared" si="13"/>
        <v>3716.9534248554901</v>
      </c>
      <c r="O310" s="19">
        <f t="shared" si="14"/>
        <v>1786</v>
      </c>
      <c r="P310" s="19" t="str">
        <v>High</v>
      </c>
    </row>
    <row r="311" spans="1:16" x14ac:dyDescent="0.3">
      <c r="A311" s="2" t="s">
        <v>1585</v>
      </c>
      <c r="B311" s="2" t="s">
        <v>295</v>
      </c>
      <c r="C311" s="19" t="s">
        <v>1296</v>
      </c>
      <c r="D311" s="19" t="s">
        <v>15</v>
      </c>
      <c r="E311" s="19" t="s">
        <v>79</v>
      </c>
      <c r="F311" s="19" t="s">
        <v>32</v>
      </c>
      <c r="G311" s="19" t="s">
        <v>18</v>
      </c>
      <c r="H311" s="19" t="s">
        <v>19</v>
      </c>
      <c r="I311" s="19">
        <v>5</v>
      </c>
      <c r="J311" s="19">
        <v>2347</v>
      </c>
      <c r="K311" s="19">
        <v>30</v>
      </c>
      <c r="L311" s="19">
        <v>8214.5</v>
      </c>
      <c r="M311" s="19">
        <f t="shared" si="12"/>
        <v>2563890.4899999993</v>
      </c>
      <c r="N311" s="20">
        <f t="shared" si="13"/>
        <v>3710.4059189580307</v>
      </c>
      <c r="O311" s="19">
        <f t="shared" si="14"/>
        <v>1782</v>
      </c>
      <c r="P311" s="19" t="str">
        <v>High</v>
      </c>
    </row>
    <row r="312" spans="1:16" x14ac:dyDescent="0.3">
      <c r="A312" s="2" t="s">
        <v>1348</v>
      </c>
      <c r="B312" s="2" t="s">
        <v>1349</v>
      </c>
      <c r="C312" s="19" t="s">
        <v>477</v>
      </c>
      <c r="D312" s="19" t="s">
        <v>23</v>
      </c>
      <c r="E312" s="19" t="s">
        <v>16</v>
      </c>
      <c r="F312" s="19" t="s">
        <v>32</v>
      </c>
      <c r="G312" s="19" t="s">
        <v>26</v>
      </c>
      <c r="H312" s="19" t="s">
        <v>44</v>
      </c>
      <c r="I312" s="19">
        <v>2</v>
      </c>
      <c r="J312" s="19">
        <v>4561</v>
      </c>
      <c r="K312" s="19">
        <v>10</v>
      </c>
      <c r="L312" s="19">
        <v>8209.7999999999993</v>
      </c>
      <c r="M312" s="19">
        <f t="shared" si="12"/>
        <v>2555675.9899999988</v>
      </c>
      <c r="N312" s="20">
        <f t="shared" si="13"/>
        <v>3703.8782463768098</v>
      </c>
      <c r="O312" s="19">
        <f t="shared" si="14"/>
        <v>1777</v>
      </c>
      <c r="P312" s="19" t="str">
        <v>High</v>
      </c>
    </row>
    <row r="313" spans="1:16" x14ac:dyDescent="0.3">
      <c r="A313" s="2" t="s">
        <v>1157</v>
      </c>
      <c r="B313" s="2" t="s">
        <v>403</v>
      </c>
      <c r="C313" s="19" t="s">
        <v>960</v>
      </c>
      <c r="D313" s="19" t="s">
        <v>23</v>
      </c>
      <c r="E313" s="19" t="s">
        <v>31</v>
      </c>
      <c r="F313" s="19" t="s">
        <v>32</v>
      </c>
      <c r="G313" s="19" t="s">
        <v>54</v>
      </c>
      <c r="H313" s="19" t="s">
        <v>19</v>
      </c>
      <c r="I313" s="19">
        <v>4</v>
      </c>
      <c r="J313" s="19">
        <v>2070</v>
      </c>
      <c r="K313" s="19">
        <v>1</v>
      </c>
      <c r="L313" s="19">
        <v>8197.2000000000007</v>
      </c>
      <c r="M313" s="19">
        <f t="shared" si="12"/>
        <v>2547466.1899999985</v>
      </c>
      <c r="N313" s="20">
        <f t="shared" si="13"/>
        <v>3697.3384470246715</v>
      </c>
      <c r="O313" s="19">
        <f t="shared" si="14"/>
        <v>1775</v>
      </c>
      <c r="P313" s="19" t="str">
        <v>High</v>
      </c>
    </row>
    <row r="314" spans="1:16" x14ac:dyDescent="0.3">
      <c r="A314" s="2" t="s">
        <v>1134</v>
      </c>
      <c r="B314" s="2" t="s">
        <v>73</v>
      </c>
      <c r="C314" s="19" t="s">
        <v>267</v>
      </c>
      <c r="D314" s="19" t="s">
        <v>53</v>
      </c>
      <c r="E314" s="19" t="s">
        <v>31</v>
      </c>
      <c r="F314" s="19" t="s">
        <v>25</v>
      </c>
      <c r="G314" s="19" t="s">
        <v>18</v>
      </c>
      <c r="H314" s="19" t="s">
        <v>19</v>
      </c>
      <c r="I314" s="19">
        <v>3</v>
      </c>
      <c r="J314" s="19">
        <v>3249</v>
      </c>
      <c r="K314" s="19">
        <v>16</v>
      </c>
      <c r="L314" s="19">
        <v>8187.48</v>
      </c>
      <c r="M314" s="19">
        <f t="shared" si="12"/>
        <v>2539268.9899999988</v>
      </c>
      <c r="N314" s="20">
        <f t="shared" si="13"/>
        <v>3690.7979505813937</v>
      </c>
      <c r="O314" s="19">
        <f t="shared" si="14"/>
        <v>1771</v>
      </c>
      <c r="P314" s="19" t="str">
        <v>High</v>
      </c>
    </row>
    <row r="315" spans="1:16" x14ac:dyDescent="0.3">
      <c r="A315" s="2" t="s">
        <v>1413</v>
      </c>
      <c r="B315" s="2" t="s">
        <v>372</v>
      </c>
      <c r="C315" s="19" t="s">
        <v>436</v>
      </c>
      <c r="D315" s="19" t="s">
        <v>15</v>
      </c>
      <c r="E315" s="19" t="s">
        <v>16</v>
      </c>
      <c r="F315" s="19" t="s">
        <v>40</v>
      </c>
      <c r="G315" s="19" t="s">
        <v>62</v>
      </c>
      <c r="H315" s="19" t="s">
        <v>33</v>
      </c>
      <c r="I315" s="19">
        <v>2</v>
      </c>
      <c r="J315" s="19">
        <v>4122</v>
      </c>
      <c r="K315" s="19">
        <v>1</v>
      </c>
      <c r="L315" s="19">
        <v>8161.56</v>
      </c>
      <c r="M315" s="19">
        <f t="shared" si="12"/>
        <v>2531081.5099999988</v>
      </c>
      <c r="N315" s="20">
        <f t="shared" si="13"/>
        <v>3684.2525618631716</v>
      </c>
      <c r="O315" s="19">
        <f t="shared" si="14"/>
        <v>1768</v>
      </c>
      <c r="P315" s="19" t="str">
        <v>High</v>
      </c>
    </row>
    <row r="316" spans="1:16" x14ac:dyDescent="0.3">
      <c r="A316" s="2" t="s">
        <v>887</v>
      </c>
      <c r="B316" s="2" t="s">
        <v>315</v>
      </c>
      <c r="C316" s="19" t="s">
        <v>765</v>
      </c>
      <c r="D316" s="19" t="s">
        <v>15</v>
      </c>
      <c r="E316" s="19" t="s">
        <v>16</v>
      </c>
      <c r="F316" s="19" t="s">
        <v>40</v>
      </c>
      <c r="G316" s="19" t="s">
        <v>18</v>
      </c>
      <c r="H316" s="19" t="s">
        <v>75</v>
      </c>
      <c r="I316" s="19">
        <v>4</v>
      </c>
      <c r="J316" s="19">
        <v>2518</v>
      </c>
      <c r="K316" s="19">
        <v>19</v>
      </c>
      <c r="L316" s="19">
        <v>8158.32</v>
      </c>
      <c r="M316" s="19">
        <f t="shared" si="12"/>
        <v>2522919.9499999988</v>
      </c>
      <c r="N316" s="20">
        <f t="shared" si="13"/>
        <v>3677.7258746355669</v>
      </c>
      <c r="O316" s="19">
        <f t="shared" si="14"/>
        <v>1766</v>
      </c>
      <c r="P316" s="19" t="str">
        <v>High</v>
      </c>
    </row>
    <row r="317" spans="1:16" x14ac:dyDescent="0.3">
      <c r="A317" s="2" t="s">
        <v>1594</v>
      </c>
      <c r="B317" s="2" t="s">
        <v>132</v>
      </c>
      <c r="C317" s="19" t="s">
        <v>546</v>
      </c>
      <c r="D317" s="19" t="s">
        <v>15</v>
      </c>
      <c r="E317" s="19" t="s">
        <v>58</v>
      </c>
      <c r="F317" s="19" t="s">
        <v>49</v>
      </c>
      <c r="G317" s="19" t="s">
        <v>40</v>
      </c>
      <c r="H317" s="19" t="s">
        <v>33</v>
      </c>
      <c r="I317" s="19">
        <v>2</v>
      </c>
      <c r="J317" s="19">
        <v>4151</v>
      </c>
      <c r="K317" s="19">
        <v>2</v>
      </c>
      <c r="L317" s="19">
        <v>8135.96</v>
      </c>
      <c r="M317" s="19">
        <f t="shared" si="12"/>
        <v>2514761.629999999</v>
      </c>
      <c r="N317" s="20">
        <f t="shared" si="13"/>
        <v>3671.1848613138673</v>
      </c>
      <c r="O317" s="19">
        <f t="shared" si="14"/>
        <v>1762</v>
      </c>
      <c r="P317" s="19" t="str">
        <v>High</v>
      </c>
    </row>
    <row r="318" spans="1:16" x14ac:dyDescent="0.3">
      <c r="A318" s="2" t="s">
        <v>231</v>
      </c>
      <c r="B318" s="2" t="s">
        <v>232</v>
      </c>
      <c r="C318" s="19" t="s">
        <v>127</v>
      </c>
      <c r="D318" s="19" t="s">
        <v>23</v>
      </c>
      <c r="E318" s="19" t="s">
        <v>58</v>
      </c>
      <c r="F318" s="19" t="s">
        <v>32</v>
      </c>
      <c r="G318" s="19" t="s">
        <v>26</v>
      </c>
      <c r="H318" s="19" t="s">
        <v>33</v>
      </c>
      <c r="I318" s="19">
        <v>5</v>
      </c>
      <c r="J318" s="19">
        <v>1825</v>
      </c>
      <c r="K318" s="19">
        <v>11</v>
      </c>
      <c r="L318" s="19">
        <v>8121.25</v>
      </c>
      <c r="M318" s="19">
        <f t="shared" si="12"/>
        <v>2506625.6699999985</v>
      </c>
      <c r="N318" s="20">
        <f t="shared" si="13"/>
        <v>3664.6574122806996</v>
      </c>
      <c r="O318" s="19">
        <f t="shared" si="14"/>
        <v>1760</v>
      </c>
      <c r="P318" s="19" t="str">
        <v>High</v>
      </c>
    </row>
    <row r="319" spans="1:16" x14ac:dyDescent="0.3">
      <c r="A319" s="2" t="s">
        <v>1103</v>
      </c>
      <c r="B319" s="2" t="s">
        <v>107</v>
      </c>
      <c r="C319" s="19" t="s">
        <v>284</v>
      </c>
      <c r="D319" s="19" t="s">
        <v>30</v>
      </c>
      <c r="E319" s="19" t="s">
        <v>24</v>
      </c>
      <c r="F319" s="19" t="s">
        <v>40</v>
      </c>
      <c r="G319" s="19" t="s">
        <v>26</v>
      </c>
      <c r="H319" s="19" t="s">
        <v>33</v>
      </c>
      <c r="I319" s="19">
        <v>3</v>
      </c>
      <c r="J319" s="19">
        <v>3689</v>
      </c>
      <c r="K319" s="19">
        <v>27</v>
      </c>
      <c r="L319" s="19">
        <v>8078.91</v>
      </c>
      <c r="M319" s="19">
        <f t="shared" si="12"/>
        <v>2498504.4199999985</v>
      </c>
      <c r="N319" s="20">
        <f t="shared" si="13"/>
        <v>3658.1323865300124</v>
      </c>
      <c r="O319" s="19">
        <f t="shared" si="14"/>
        <v>1755</v>
      </c>
      <c r="P319" s="19" t="str">
        <v>High</v>
      </c>
    </row>
    <row r="320" spans="1:16" x14ac:dyDescent="0.3">
      <c r="A320" s="2" t="s">
        <v>1388</v>
      </c>
      <c r="B320" s="2" t="s">
        <v>760</v>
      </c>
      <c r="C320" s="19" t="s">
        <v>214</v>
      </c>
      <c r="D320" s="19" t="s">
        <v>88</v>
      </c>
      <c r="E320" s="19" t="s">
        <v>16</v>
      </c>
      <c r="F320" s="19" t="s">
        <v>32</v>
      </c>
      <c r="G320" s="19" t="s">
        <v>54</v>
      </c>
      <c r="H320" s="19" t="s">
        <v>19</v>
      </c>
      <c r="I320" s="19">
        <v>2</v>
      </c>
      <c r="J320" s="19">
        <v>4028</v>
      </c>
      <c r="K320" s="19">
        <v>0</v>
      </c>
      <c r="L320" s="19">
        <v>8056</v>
      </c>
      <c r="M320" s="19">
        <f t="shared" si="12"/>
        <v>2490425.5099999988</v>
      </c>
      <c r="N320" s="20">
        <f t="shared" si="13"/>
        <v>3651.6503079178869</v>
      </c>
      <c r="O320" s="19">
        <f t="shared" si="14"/>
        <v>1752</v>
      </c>
      <c r="P320" s="19" t="str">
        <v>High</v>
      </c>
    </row>
    <row r="321" spans="1:16" x14ac:dyDescent="0.3">
      <c r="A321" s="2" t="s">
        <v>812</v>
      </c>
      <c r="B321" s="2" t="s">
        <v>813</v>
      </c>
      <c r="C321" s="19" t="s">
        <v>814</v>
      </c>
      <c r="D321" s="19" t="s">
        <v>23</v>
      </c>
      <c r="E321" s="19" t="s">
        <v>68</v>
      </c>
      <c r="F321" s="19" t="s">
        <v>17</v>
      </c>
      <c r="G321" s="19" t="s">
        <v>18</v>
      </c>
      <c r="H321" s="19" t="s">
        <v>33</v>
      </c>
      <c r="I321" s="19">
        <v>2</v>
      </c>
      <c r="J321" s="19">
        <v>4238</v>
      </c>
      <c r="K321" s="19">
        <v>5</v>
      </c>
      <c r="L321" s="19">
        <v>8052.2</v>
      </c>
      <c r="M321" s="19">
        <f t="shared" si="12"/>
        <v>2482369.5099999984</v>
      </c>
      <c r="N321" s="20">
        <f t="shared" si="13"/>
        <v>3645.1828340675452</v>
      </c>
      <c r="O321" s="19">
        <f t="shared" si="14"/>
        <v>1750</v>
      </c>
      <c r="P321" s="19" t="str">
        <v>High</v>
      </c>
    </row>
    <row r="322" spans="1:16" x14ac:dyDescent="0.3">
      <c r="A322" s="2" t="s">
        <v>1507</v>
      </c>
      <c r="B322" s="2" t="s">
        <v>551</v>
      </c>
      <c r="C322" s="19" t="s">
        <v>721</v>
      </c>
      <c r="D322" s="19" t="s">
        <v>15</v>
      </c>
      <c r="E322" s="19" t="s">
        <v>31</v>
      </c>
      <c r="F322" s="19" t="s">
        <v>32</v>
      </c>
      <c r="G322" s="19" t="s">
        <v>26</v>
      </c>
      <c r="H322" s="19" t="s">
        <v>75</v>
      </c>
      <c r="I322" s="19">
        <v>5</v>
      </c>
      <c r="J322" s="19">
        <v>1643</v>
      </c>
      <c r="K322" s="19">
        <v>2</v>
      </c>
      <c r="L322" s="19">
        <v>8050.7</v>
      </c>
      <c r="M322" s="19">
        <f t="shared" ref="M322:M385" si="15">SUM(L322:L1321)</f>
        <v>2474317.3099999987</v>
      </c>
      <c r="N322" s="20">
        <f t="shared" ref="N322:N385" si="16">AVERAGE(L322:L1321)</f>
        <v>3638.7019264705864</v>
      </c>
      <c r="O322" s="19">
        <f t="shared" ref="O322:O385" si="17">SUM(I322:I1321)</f>
        <v>1748</v>
      </c>
      <c r="P322" s="19" t="str">
        <v>High</v>
      </c>
    </row>
    <row r="323" spans="1:16" x14ac:dyDescent="0.3">
      <c r="A323" s="2" t="s">
        <v>556</v>
      </c>
      <c r="B323" s="2" t="s">
        <v>449</v>
      </c>
      <c r="C323" s="19" t="s">
        <v>502</v>
      </c>
      <c r="D323" s="19" t="s">
        <v>23</v>
      </c>
      <c r="E323" s="19" t="s">
        <v>48</v>
      </c>
      <c r="F323" s="19" t="s">
        <v>17</v>
      </c>
      <c r="G323" s="19" t="s">
        <v>62</v>
      </c>
      <c r="H323" s="19" t="s">
        <v>44</v>
      </c>
      <c r="I323" s="19">
        <v>3</v>
      </c>
      <c r="J323" s="19">
        <v>3603</v>
      </c>
      <c r="K323" s="19">
        <v>26</v>
      </c>
      <c r="L323" s="19">
        <v>7998.66</v>
      </c>
      <c r="M323" s="19">
        <f t="shared" si="15"/>
        <v>2466266.6099999985</v>
      </c>
      <c r="N323" s="20">
        <f t="shared" si="16"/>
        <v>3632.2041384388785</v>
      </c>
      <c r="O323" s="19">
        <f t="shared" si="17"/>
        <v>1743</v>
      </c>
      <c r="P323" s="19" t="str">
        <v>High</v>
      </c>
    </row>
    <row r="324" spans="1:16" x14ac:dyDescent="0.3">
      <c r="A324" s="2" t="s">
        <v>1289</v>
      </c>
      <c r="B324" s="2" t="s">
        <v>667</v>
      </c>
      <c r="C324" s="19" t="s">
        <v>942</v>
      </c>
      <c r="D324" s="19" t="s">
        <v>23</v>
      </c>
      <c r="E324" s="19" t="s">
        <v>16</v>
      </c>
      <c r="F324" s="19" t="s">
        <v>32</v>
      </c>
      <c r="G324" s="19" t="s">
        <v>62</v>
      </c>
      <c r="H324" s="19" t="s">
        <v>44</v>
      </c>
      <c r="I324" s="19">
        <v>3</v>
      </c>
      <c r="J324" s="19">
        <v>3171</v>
      </c>
      <c r="K324" s="19">
        <v>16</v>
      </c>
      <c r="L324" s="19">
        <v>7990.92</v>
      </c>
      <c r="M324" s="19">
        <f t="shared" si="15"/>
        <v>2458267.9499999979</v>
      </c>
      <c r="N324" s="20">
        <f t="shared" si="16"/>
        <v>3625.7639380530941</v>
      </c>
      <c r="O324" s="19">
        <f t="shared" si="17"/>
        <v>1740</v>
      </c>
      <c r="P324" s="19" t="str">
        <v>High</v>
      </c>
    </row>
    <row r="325" spans="1:16" x14ac:dyDescent="0.3">
      <c r="A325" s="2" t="s">
        <v>1566</v>
      </c>
      <c r="B325" s="2" t="s">
        <v>704</v>
      </c>
      <c r="C325" s="19" t="s">
        <v>682</v>
      </c>
      <c r="D325" s="19" t="s">
        <v>23</v>
      </c>
      <c r="E325" s="19" t="s">
        <v>24</v>
      </c>
      <c r="F325" s="19" t="s">
        <v>49</v>
      </c>
      <c r="G325" s="19" t="s">
        <v>26</v>
      </c>
      <c r="H325" s="19" t="s">
        <v>19</v>
      </c>
      <c r="I325" s="19">
        <v>4</v>
      </c>
      <c r="J325" s="19">
        <v>2218</v>
      </c>
      <c r="K325" s="19">
        <v>10</v>
      </c>
      <c r="L325" s="19">
        <v>7984.8</v>
      </c>
      <c r="M325" s="19">
        <f t="shared" si="15"/>
        <v>2450277.0299999975</v>
      </c>
      <c r="N325" s="20">
        <f t="shared" si="16"/>
        <v>3619.3161447562738</v>
      </c>
      <c r="O325" s="19">
        <f t="shared" si="17"/>
        <v>1737</v>
      </c>
      <c r="P325" s="19" t="str">
        <v>High</v>
      </c>
    </row>
    <row r="326" spans="1:16" x14ac:dyDescent="0.3">
      <c r="A326" s="2" t="s">
        <v>925</v>
      </c>
      <c r="B326" s="2" t="s">
        <v>252</v>
      </c>
      <c r="C326" s="19" t="s">
        <v>404</v>
      </c>
      <c r="D326" s="19" t="s">
        <v>30</v>
      </c>
      <c r="E326" s="19" t="s">
        <v>24</v>
      </c>
      <c r="F326" s="19" t="s">
        <v>25</v>
      </c>
      <c r="G326" s="19" t="s">
        <v>18</v>
      </c>
      <c r="H326" s="19" t="s">
        <v>19</v>
      </c>
      <c r="I326" s="19">
        <v>5</v>
      </c>
      <c r="J326" s="19">
        <v>1605</v>
      </c>
      <c r="K326" s="19">
        <v>1</v>
      </c>
      <c r="L326" s="19">
        <v>7944.75</v>
      </c>
      <c r="M326" s="19">
        <f t="shared" si="15"/>
        <v>2442292.2299999977</v>
      </c>
      <c r="N326" s="20">
        <f t="shared" si="16"/>
        <v>3612.8583284023634</v>
      </c>
      <c r="O326" s="19">
        <f t="shared" si="17"/>
        <v>1733</v>
      </c>
      <c r="P326" s="19" t="str">
        <v>High</v>
      </c>
    </row>
    <row r="327" spans="1:16" x14ac:dyDescent="0.3">
      <c r="A327" s="2" t="s">
        <v>935</v>
      </c>
      <c r="B327" s="2" t="s">
        <v>208</v>
      </c>
      <c r="C327" s="19" t="s">
        <v>936</v>
      </c>
      <c r="D327" s="19" t="s">
        <v>15</v>
      </c>
      <c r="E327" s="19" t="s">
        <v>68</v>
      </c>
      <c r="F327" s="19" t="s">
        <v>25</v>
      </c>
      <c r="G327" s="19" t="s">
        <v>26</v>
      </c>
      <c r="H327" s="19" t="s">
        <v>44</v>
      </c>
      <c r="I327" s="19">
        <v>5</v>
      </c>
      <c r="J327" s="19">
        <v>2062</v>
      </c>
      <c r="K327" s="19">
        <v>23</v>
      </c>
      <c r="L327" s="19">
        <v>7938.7</v>
      </c>
      <c r="M327" s="19">
        <f t="shared" si="15"/>
        <v>2434347.4799999981</v>
      </c>
      <c r="N327" s="20">
        <f t="shared" si="16"/>
        <v>3606.4407111111082</v>
      </c>
      <c r="O327" s="19">
        <f t="shared" si="17"/>
        <v>1728</v>
      </c>
      <c r="P327" s="19" t="str">
        <v>High</v>
      </c>
    </row>
    <row r="328" spans="1:16" x14ac:dyDescent="0.3">
      <c r="A328" s="2" t="s">
        <v>1317</v>
      </c>
      <c r="B328" s="2" t="s">
        <v>810</v>
      </c>
      <c r="C328" s="19" t="s">
        <v>194</v>
      </c>
      <c r="D328" s="19" t="s">
        <v>15</v>
      </c>
      <c r="E328" s="19" t="s">
        <v>68</v>
      </c>
      <c r="F328" s="19" t="s">
        <v>49</v>
      </c>
      <c r="G328" s="19" t="s">
        <v>40</v>
      </c>
      <c r="H328" s="19" t="s">
        <v>19</v>
      </c>
      <c r="I328" s="19">
        <v>3</v>
      </c>
      <c r="J328" s="19">
        <v>3290</v>
      </c>
      <c r="K328" s="19">
        <v>20</v>
      </c>
      <c r="L328" s="19">
        <v>7896</v>
      </c>
      <c r="M328" s="19">
        <f t="shared" si="15"/>
        <v>2426408.7799999979</v>
      </c>
      <c r="N328" s="20">
        <f t="shared" si="16"/>
        <v>3600.0130267062282</v>
      </c>
      <c r="O328" s="19">
        <f t="shared" si="17"/>
        <v>1723</v>
      </c>
      <c r="P328" s="19" t="str">
        <v>High</v>
      </c>
    </row>
    <row r="329" spans="1:16" x14ac:dyDescent="0.3">
      <c r="A329" s="2" t="s">
        <v>1140</v>
      </c>
      <c r="B329" s="2" t="s">
        <v>662</v>
      </c>
      <c r="C329" s="19" t="s">
        <v>931</v>
      </c>
      <c r="D329" s="19" t="s">
        <v>15</v>
      </c>
      <c r="E329" s="19" t="s">
        <v>16</v>
      </c>
      <c r="F329" s="19" t="s">
        <v>49</v>
      </c>
      <c r="G329" s="19" t="s">
        <v>54</v>
      </c>
      <c r="H329" s="19" t="s">
        <v>33</v>
      </c>
      <c r="I329" s="19">
        <v>5</v>
      </c>
      <c r="J329" s="19">
        <v>2160</v>
      </c>
      <c r="K329" s="19">
        <v>27</v>
      </c>
      <c r="L329" s="19">
        <v>7884</v>
      </c>
      <c r="M329" s="19">
        <f t="shared" si="15"/>
        <v>2418512.7799999975</v>
      </c>
      <c r="N329" s="20">
        <f t="shared" si="16"/>
        <v>3593.6296879643351</v>
      </c>
      <c r="O329" s="19">
        <f t="shared" si="17"/>
        <v>1720</v>
      </c>
      <c r="P329" s="19" t="str">
        <v>High</v>
      </c>
    </row>
    <row r="330" spans="1:16" x14ac:dyDescent="0.3">
      <c r="A330" s="2" t="s">
        <v>384</v>
      </c>
      <c r="B330" s="2" t="s">
        <v>260</v>
      </c>
      <c r="C330" s="19" t="s">
        <v>385</v>
      </c>
      <c r="D330" s="19" t="s">
        <v>23</v>
      </c>
      <c r="E330" s="19" t="s">
        <v>68</v>
      </c>
      <c r="F330" s="19" t="s">
        <v>17</v>
      </c>
      <c r="G330" s="19" t="s">
        <v>18</v>
      </c>
      <c r="H330" s="19" t="s">
        <v>33</v>
      </c>
      <c r="I330" s="19">
        <v>4</v>
      </c>
      <c r="J330" s="19">
        <v>2361</v>
      </c>
      <c r="K330" s="19">
        <v>17</v>
      </c>
      <c r="L330" s="19">
        <v>7838.52</v>
      </c>
      <c r="M330" s="19">
        <f t="shared" si="15"/>
        <v>2410628.7799999975</v>
      </c>
      <c r="N330" s="20">
        <f t="shared" si="16"/>
        <v>3587.2452083333296</v>
      </c>
      <c r="O330" s="19">
        <f t="shared" si="17"/>
        <v>1715</v>
      </c>
      <c r="P330" s="19" t="str">
        <v>High</v>
      </c>
    </row>
    <row r="331" spans="1:16" x14ac:dyDescent="0.3">
      <c r="A331" s="2" t="s">
        <v>851</v>
      </c>
      <c r="B331" s="2" t="s">
        <v>852</v>
      </c>
      <c r="C331" s="19" t="s">
        <v>284</v>
      </c>
      <c r="D331" s="19" t="s">
        <v>23</v>
      </c>
      <c r="E331" s="19" t="s">
        <v>58</v>
      </c>
      <c r="F331" s="19" t="s">
        <v>25</v>
      </c>
      <c r="G331" s="19" t="s">
        <v>18</v>
      </c>
      <c r="H331" s="19" t="s">
        <v>19</v>
      </c>
      <c r="I331" s="19">
        <v>3</v>
      </c>
      <c r="J331" s="19">
        <v>3436</v>
      </c>
      <c r="K331" s="19">
        <v>24</v>
      </c>
      <c r="L331" s="19">
        <v>7834.08</v>
      </c>
      <c r="M331" s="19">
        <f t="shared" si="15"/>
        <v>2402790.2599999974</v>
      </c>
      <c r="N331" s="20">
        <f t="shared" si="16"/>
        <v>3580.9094783904584</v>
      </c>
      <c r="O331" s="19">
        <f t="shared" si="17"/>
        <v>1711</v>
      </c>
      <c r="P331" s="19" t="str">
        <v>High</v>
      </c>
    </row>
    <row r="332" spans="1:16" x14ac:dyDescent="0.3">
      <c r="A332" s="2" t="s">
        <v>952</v>
      </c>
      <c r="B332" s="2" t="s">
        <v>174</v>
      </c>
      <c r="C332" s="19" t="s">
        <v>931</v>
      </c>
      <c r="D332" s="19" t="s">
        <v>53</v>
      </c>
      <c r="E332" s="19" t="s">
        <v>31</v>
      </c>
      <c r="F332" s="19" t="s">
        <v>32</v>
      </c>
      <c r="G332" s="19" t="s">
        <v>26</v>
      </c>
      <c r="H332" s="19" t="s">
        <v>33</v>
      </c>
      <c r="I332" s="19">
        <v>3</v>
      </c>
      <c r="J332" s="19">
        <v>3211</v>
      </c>
      <c r="K332" s="19">
        <v>19</v>
      </c>
      <c r="L332" s="19">
        <v>7802.73</v>
      </c>
      <c r="M332" s="19">
        <f t="shared" si="15"/>
        <v>2394956.1799999974</v>
      </c>
      <c r="N332" s="20">
        <f t="shared" si="16"/>
        <v>3574.5614626865631</v>
      </c>
      <c r="O332" s="19">
        <f t="shared" si="17"/>
        <v>1708</v>
      </c>
      <c r="P332" s="19" t="str">
        <v>High</v>
      </c>
    </row>
    <row r="333" spans="1:16" x14ac:dyDescent="0.3">
      <c r="A333" s="2" t="s">
        <v>1359</v>
      </c>
      <c r="B333" s="2" t="s">
        <v>210</v>
      </c>
      <c r="C333" s="19" t="s">
        <v>1266</v>
      </c>
      <c r="D333" s="19" t="s">
        <v>23</v>
      </c>
      <c r="E333" s="19" t="s">
        <v>16</v>
      </c>
      <c r="F333" s="19" t="s">
        <v>32</v>
      </c>
      <c r="G333" s="19" t="s">
        <v>18</v>
      </c>
      <c r="H333" s="19" t="s">
        <v>33</v>
      </c>
      <c r="I333" s="19">
        <v>3</v>
      </c>
      <c r="J333" s="19">
        <v>3133</v>
      </c>
      <c r="K333" s="19">
        <v>17</v>
      </c>
      <c r="L333" s="19">
        <v>7801.17</v>
      </c>
      <c r="M333" s="19">
        <f t="shared" si="15"/>
        <v>2387153.4499999974</v>
      </c>
      <c r="N333" s="20">
        <f t="shared" si="16"/>
        <v>3568.2413303437929</v>
      </c>
      <c r="O333" s="19">
        <f t="shared" si="17"/>
        <v>1705</v>
      </c>
      <c r="P333" s="19" t="str">
        <v>High</v>
      </c>
    </row>
    <row r="334" spans="1:16" x14ac:dyDescent="0.3">
      <c r="A334" s="2" t="s">
        <v>1468</v>
      </c>
      <c r="B334" s="2" t="s">
        <v>159</v>
      </c>
      <c r="C334" s="19" t="s">
        <v>1469</v>
      </c>
      <c r="D334" s="19" t="s">
        <v>88</v>
      </c>
      <c r="E334" s="19" t="s">
        <v>58</v>
      </c>
      <c r="F334" s="19" t="s">
        <v>49</v>
      </c>
      <c r="G334" s="19" t="s">
        <v>18</v>
      </c>
      <c r="H334" s="19" t="s">
        <v>19</v>
      </c>
      <c r="I334" s="19">
        <v>2</v>
      </c>
      <c r="J334" s="19">
        <v>4229</v>
      </c>
      <c r="K334" s="19">
        <v>8</v>
      </c>
      <c r="L334" s="19">
        <v>7781.36</v>
      </c>
      <c r="M334" s="19">
        <f t="shared" si="15"/>
        <v>2379352.2799999965</v>
      </c>
      <c r="N334" s="20">
        <f t="shared" si="16"/>
        <v>3561.9046107784379</v>
      </c>
      <c r="O334" s="19">
        <f t="shared" si="17"/>
        <v>1702</v>
      </c>
      <c r="P334" s="19" t="str">
        <v>High</v>
      </c>
    </row>
    <row r="335" spans="1:16" x14ac:dyDescent="0.3">
      <c r="A335" s="2" t="s">
        <v>1037</v>
      </c>
      <c r="B335" s="2" t="s">
        <v>764</v>
      </c>
      <c r="C335" s="19" t="s">
        <v>902</v>
      </c>
      <c r="D335" s="19" t="s">
        <v>53</v>
      </c>
      <c r="E335" s="19" t="s">
        <v>16</v>
      </c>
      <c r="F335" s="19" t="s">
        <v>32</v>
      </c>
      <c r="G335" s="19" t="s">
        <v>62</v>
      </c>
      <c r="H335" s="19" t="s">
        <v>19</v>
      </c>
      <c r="I335" s="19">
        <v>5</v>
      </c>
      <c r="J335" s="19">
        <v>1728</v>
      </c>
      <c r="K335" s="19">
        <v>10</v>
      </c>
      <c r="L335" s="19">
        <v>7776</v>
      </c>
      <c r="M335" s="19">
        <f t="shared" si="15"/>
        <v>2371570.9199999967</v>
      </c>
      <c r="N335" s="20">
        <f t="shared" si="16"/>
        <v>3555.5785907046425</v>
      </c>
      <c r="O335" s="19">
        <f t="shared" si="17"/>
        <v>1700</v>
      </c>
      <c r="P335" s="19" t="str">
        <v>High</v>
      </c>
    </row>
    <row r="336" spans="1:16" x14ac:dyDescent="0.3">
      <c r="A336" s="2" t="s">
        <v>184</v>
      </c>
      <c r="B336" s="2" t="s">
        <v>185</v>
      </c>
      <c r="C336" s="19" t="s">
        <v>186</v>
      </c>
      <c r="D336" s="19" t="s">
        <v>88</v>
      </c>
      <c r="E336" s="19" t="s">
        <v>58</v>
      </c>
      <c r="F336" s="19" t="s">
        <v>17</v>
      </c>
      <c r="G336" s="19" t="s">
        <v>54</v>
      </c>
      <c r="H336" s="19" t="s">
        <v>44</v>
      </c>
      <c r="I336" s="19">
        <v>5</v>
      </c>
      <c r="J336" s="19">
        <v>2041</v>
      </c>
      <c r="K336" s="19">
        <v>24</v>
      </c>
      <c r="L336" s="19">
        <v>7755.8</v>
      </c>
      <c r="M336" s="19">
        <f t="shared" si="15"/>
        <v>2363794.9199999967</v>
      </c>
      <c r="N336" s="20">
        <f t="shared" si="16"/>
        <v>3549.2416216216166</v>
      </c>
      <c r="O336" s="19">
        <f t="shared" si="17"/>
        <v>1695</v>
      </c>
      <c r="P336" s="19" t="str">
        <v>High</v>
      </c>
    </row>
    <row r="337" spans="1:16" x14ac:dyDescent="0.3">
      <c r="A337" s="2" t="s">
        <v>242</v>
      </c>
      <c r="B337" s="2" t="s">
        <v>243</v>
      </c>
      <c r="C337" s="19" t="s">
        <v>244</v>
      </c>
      <c r="D337" s="19" t="s">
        <v>53</v>
      </c>
      <c r="E337" s="19" t="s">
        <v>31</v>
      </c>
      <c r="F337" s="19" t="s">
        <v>17</v>
      </c>
      <c r="G337" s="19" t="s">
        <v>26</v>
      </c>
      <c r="H337" s="19" t="s">
        <v>75</v>
      </c>
      <c r="I337" s="19">
        <v>3</v>
      </c>
      <c r="J337" s="19">
        <v>2740</v>
      </c>
      <c r="K337" s="19">
        <v>6</v>
      </c>
      <c r="L337" s="19">
        <v>7726.8</v>
      </c>
      <c r="M337" s="19">
        <f t="shared" si="15"/>
        <v>2356039.1199999973</v>
      </c>
      <c r="N337" s="20">
        <f t="shared" si="16"/>
        <v>3542.915969924808</v>
      </c>
      <c r="O337" s="19">
        <f t="shared" si="17"/>
        <v>1690</v>
      </c>
      <c r="P337" s="19" t="str">
        <v>High</v>
      </c>
    </row>
    <row r="338" spans="1:16" x14ac:dyDescent="0.3">
      <c r="A338" s="2" t="s">
        <v>1565</v>
      </c>
      <c r="B338" s="2" t="s">
        <v>739</v>
      </c>
      <c r="C338" s="19" t="s">
        <v>191</v>
      </c>
      <c r="D338" s="19" t="s">
        <v>53</v>
      </c>
      <c r="E338" s="19" t="s">
        <v>16</v>
      </c>
      <c r="F338" s="19" t="s">
        <v>40</v>
      </c>
      <c r="G338" s="19" t="s">
        <v>26</v>
      </c>
      <c r="H338" s="19" t="s">
        <v>33</v>
      </c>
      <c r="I338" s="19">
        <v>5</v>
      </c>
      <c r="J338" s="19">
        <v>2059</v>
      </c>
      <c r="K338" s="19">
        <v>25</v>
      </c>
      <c r="L338" s="19">
        <v>7721.25</v>
      </c>
      <c r="M338" s="19">
        <f t="shared" si="15"/>
        <v>2348312.319999997</v>
      </c>
      <c r="N338" s="20">
        <f t="shared" si="16"/>
        <v>3536.6149397590316</v>
      </c>
      <c r="O338" s="19">
        <f t="shared" si="17"/>
        <v>1687</v>
      </c>
      <c r="P338" s="19" t="str">
        <v>High</v>
      </c>
    </row>
    <row r="339" spans="1:16" x14ac:dyDescent="0.3">
      <c r="A339" s="2" t="s">
        <v>747</v>
      </c>
      <c r="B339" s="2" t="s">
        <v>637</v>
      </c>
      <c r="C339" s="19" t="s">
        <v>748</v>
      </c>
      <c r="D339" s="19" t="s">
        <v>23</v>
      </c>
      <c r="E339" s="19" t="s">
        <v>68</v>
      </c>
      <c r="F339" s="19" t="s">
        <v>32</v>
      </c>
      <c r="G339" s="19" t="s">
        <v>26</v>
      </c>
      <c r="H339" s="19" t="s">
        <v>19</v>
      </c>
      <c r="I339" s="19">
        <v>2</v>
      </c>
      <c r="J339" s="19">
        <v>3896</v>
      </c>
      <c r="K339" s="19">
        <v>1</v>
      </c>
      <c r="L339" s="19">
        <v>7714.08</v>
      </c>
      <c r="M339" s="19">
        <f t="shared" si="15"/>
        <v>2340591.0699999975</v>
      </c>
      <c r="N339" s="20">
        <f t="shared" si="16"/>
        <v>3530.3032730015047</v>
      </c>
      <c r="O339" s="19">
        <f t="shared" si="17"/>
        <v>1682</v>
      </c>
      <c r="P339" s="19" t="str">
        <v>High</v>
      </c>
    </row>
    <row r="340" spans="1:16" x14ac:dyDescent="0.3">
      <c r="A340" s="2" t="s">
        <v>664</v>
      </c>
      <c r="B340" s="2" t="s">
        <v>665</v>
      </c>
      <c r="C340" s="19" t="s">
        <v>385</v>
      </c>
      <c r="D340" s="19" t="s">
        <v>15</v>
      </c>
      <c r="E340" s="19" t="s">
        <v>79</v>
      </c>
      <c r="F340" s="19" t="s">
        <v>49</v>
      </c>
      <c r="G340" s="19" t="s">
        <v>54</v>
      </c>
      <c r="H340" s="19" t="s">
        <v>19</v>
      </c>
      <c r="I340" s="19">
        <v>5</v>
      </c>
      <c r="J340" s="19">
        <v>1557</v>
      </c>
      <c r="K340" s="19">
        <v>1</v>
      </c>
      <c r="L340" s="19">
        <v>7707.15</v>
      </c>
      <c r="M340" s="19">
        <f t="shared" si="15"/>
        <v>2332876.9899999974</v>
      </c>
      <c r="N340" s="20">
        <f t="shared" si="16"/>
        <v>3523.9833685800563</v>
      </c>
      <c r="O340" s="19">
        <f t="shared" si="17"/>
        <v>1680</v>
      </c>
      <c r="P340" s="19" t="str">
        <v>High</v>
      </c>
    </row>
    <row r="341" spans="1:16" x14ac:dyDescent="0.3">
      <c r="A341" s="2" t="s">
        <v>1432</v>
      </c>
      <c r="B341" s="2" t="s">
        <v>613</v>
      </c>
      <c r="C341" s="19" t="s">
        <v>719</v>
      </c>
      <c r="D341" s="19" t="s">
        <v>15</v>
      </c>
      <c r="E341" s="19" t="s">
        <v>24</v>
      </c>
      <c r="F341" s="19" t="s">
        <v>17</v>
      </c>
      <c r="G341" s="19" t="s">
        <v>62</v>
      </c>
      <c r="H341" s="19" t="s">
        <v>33</v>
      </c>
      <c r="I341" s="19">
        <v>2</v>
      </c>
      <c r="J341" s="19">
        <v>4427</v>
      </c>
      <c r="K341" s="19">
        <v>13</v>
      </c>
      <c r="L341" s="19">
        <v>7702.98</v>
      </c>
      <c r="M341" s="19">
        <f t="shared" si="15"/>
        <v>2325169.8399999971</v>
      </c>
      <c r="N341" s="20">
        <f t="shared" si="16"/>
        <v>3517.6548260211757</v>
      </c>
      <c r="O341" s="19">
        <f t="shared" si="17"/>
        <v>1675</v>
      </c>
      <c r="P341" s="19" t="str">
        <v>High</v>
      </c>
    </row>
    <row r="342" spans="1:16" x14ac:dyDescent="0.3">
      <c r="A342" s="2" t="s">
        <v>1637</v>
      </c>
      <c r="B342" s="2" t="s">
        <v>834</v>
      </c>
      <c r="C342" s="19" t="s">
        <v>225</v>
      </c>
      <c r="D342" s="19" t="s">
        <v>53</v>
      </c>
      <c r="E342" s="19" t="s">
        <v>24</v>
      </c>
      <c r="F342" s="19" t="s">
        <v>25</v>
      </c>
      <c r="G342" s="19" t="s">
        <v>54</v>
      </c>
      <c r="H342" s="19" t="s">
        <v>19</v>
      </c>
      <c r="I342" s="19">
        <v>2</v>
      </c>
      <c r="J342" s="19">
        <v>4811</v>
      </c>
      <c r="K342" s="19">
        <v>20</v>
      </c>
      <c r="L342" s="19">
        <v>7697.6</v>
      </c>
      <c r="M342" s="19">
        <f t="shared" si="15"/>
        <v>2317466.8599999971</v>
      </c>
      <c r="N342" s="20">
        <f t="shared" si="16"/>
        <v>3511.3134242424198</v>
      </c>
      <c r="O342" s="19">
        <f t="shared" si="17"/>
        <v>1673</v>
      </c>
      <c r="P342" s="19" t="str">
        <v>High</v>
      </c>
    </row>
    <row r="343" spans="1:16" x14ac:dyDescent="0.3">
      <c r="A343" s="2" t="s">
        <v>1209</v>
      </c>
      <c r="B343" s="2" t="s">
        <v>51</v>
      </c>
      <c r="C343" s="19" t="s">
        <v>225</v>
      </c>
      <c r="D343" s="19" t="s">
        <v>23</v>
      </c>
      <c r="E343" s="19" t="s">
        <v>16</v>
      </c>
      <c r="F343" s="19" t="s">
        <v>40</v>
      </c>
      <c r="G343" s="19" t="s">
        <v>18</v>
      </c>
      <c r="H343" s="19" t="s">
        <v>19</v>
      </c>
      <c r="I343" s="19">
        <v>3</v>
      </c>
      <c r="J343" s="19">
        <v>3545</v>
      </c>
      <c r="K343" s="19">
        <v>28</v>
      </c>
      <c r="L343" s="19">
        <v>7657.2</v>
      </c>
      <c r="M343" s="19">
        <f t="shared" si="15"/>
        <v>2309769.2599999974</v>
      </c>
      <c r="N343" s="20">
        <f t="shared" si="16"/>
        <v>3504.9609408194196</v>
      </c>
      <c r="O343" s="19">
        <f t="shared" si="17"/>
        <v>1671</v>
      </c>
      <c r="P343" s="19" t="str">
        <v>High</v>
      </c>
    </row>
    <row r="344" spans="1:16" x14ac:dyDescent="0.3">
      <c r="A344" s="2" t="s">
        <v>1155</v>
      </c>
      <c r="B344" s="2" t="s">
        <v>51</v>
      </c>
      <c r="C344" s="19" t="s">
        <v>334</v>
      </c>
      <c r="D344" s="19" t="s">
        <v>88</v>
      </c>
      <c r="E344" s="19" t="s">
        <v>48</v>
      </c>
      <c r="F344" s="19" t="s">
        <v>49</v>
      </c>
      <c r="G344" s="19" t="s">
        <v>18</v>
      </c>
      <c r="H344" s="19" t="s">
        <v>75</v>
      </c>
      <c r="I344" s="19">
        <v>3</v>
      </c>
      <c r="J344" s="19">
        <v>3101</v>
      </c>
      <c r="K344" s="19">
        <v>18</v>
      </c>
      <c r="L344" s="19">
        <v>7628.46</v>
      </c>
      <c r="M344" s="19">
        <f t="shared" si="15"/>
        <v>2302112.0599999973</v>
      </c>
      <c r="N344" s="20">
        <f t="shared" si="16"/>
        <v>3498.6505471124578</v>
      </c>
      <c r="O344" s="19">
        <f t="shared" si="17"/>
        <v>1668</v>
      </c>
      <c r="P344" s="19" t="str">
        <v>High</v>
      </c>
    </row>
    <row r="345" spans="1:16" x14ac:dyDescent="0.3">
      <c r="A345" s="2" t="s">
        <v>1396</v>
      </c>
      <c r="B345" s="2" t="s">
        <v>1397</v>
      </c>
      <c r="C345" s="19" t="s">
        <v>136</v>
      </c>
      <c r="D345" s="19" t="s">
        <v>30</v>
      </c>
      <c r="E345" s="19" t="s">
        <v>48</v>
      </c>
      <c r="F345" s="19" t="s">
        <v>17</v>
      </c>
      <c r="G345" s="19" t="s">
        <v>40</v>
      </c>
      <c r="H345" s="19" t="s">
        <v>19</v>
      </c>
      <c r="I345" s="19">
        <v>4</v>
      </c>
      <c r="J345" s="19">
        <v>2715</v>
      </c>
      <c r="K345" s="19">
        <v>30</v>
      </c>
      <c r="L345" s="19">
        <v>7602</v>
      </c>
      <c r="M345" s="19">
        <f t="shared" si="15"/>
        <v>2294483.5999999973</v>
      </c>
      <c r="N345" s="20">
        <f t="shared" si="16"/>
        <v>3492.3646879756429</v>
      </c>
      <c r="O345" s="19">
        <f t="shared" si="17"/>
        <v>1665</v>
      </c>
      <c r="P345" s="19" t="str">
        <v>High</v>
      </c>
    </row>
    <row r="346" spans="1:16" x14ac:dyDescent="0.3">
      <c r="A346" s="2" t="s">
        <v>45</v>
      </c>
      <c r="B346" s="2" t="s">
        <v>46</v>
      </c>
      <c r="C346" s="19" t="s">
        <v>47</v>
      </c>
      <c r="D346" s="19" t="s">
        <v>30</v>
      </c>
      <c r="E346" s="19" t="s">
        <v>48</v>
      </c>
      <c r="F346" s="19" t="s">
        <v>49</v>
      </c>
      <c r="G346" s="19" t="s">
        <v>26</v>
      </c>
      <c r="H346" s="19" t="s">
        <v>33</v>
      </c>
      <c r="I346" s="19">
        <v>5</v>
      </c>
      <c r="J346" s="19">
        <v>2081</v>
      </c>
      <c r="K346" s="19">
        <v>27</v>
      </c>
      <c r="L346" s="19">
        <v>7595.65</v>
      </c>
      <c r="M346" s="19">
        <f t="shared" si="15"/>
        <v>2286881.5999999973</v>
      </c>
      <c r="N346" s="20">
        <f t="shared" si="16"/>
        <v>3486.0999999999958</v>
      </c>
      <c r="O346" s="19">
        <f t="shared" si="17"/>
        <v>1661</v>
      </c>
      <c r="P346" s="19" t="str">
        <v>High</v>
      </c>
    </row>
    <row r="347" spans="1:16" x14ac:dyDescent="0.3">
      <c r="A347" s="2" t="s">
        <v>809</v>
      </c>
      <c r="B347" s="2" t="s">
        <v>810</v>
      </c>
      <c r="C347" s="19" t="s">
        <v>655</v>
      </c>
      <c r="D347" s="19" t="s">
        <v>30</v>
      </c>
      <c r="E347" s="19" t="s">
        <v>48</v>
      </c>
      <c r="F347" s="19" t="s">
        <v>17</v>
      </c>
      <c r="G347" s="19" t="s">
        <v>54</v>
      </c>
      <c r="H347" s="19" t="s">
        <v>19</v>
      </c>
      <c r="I347" s="19">
        <v>2</v>
      </c>
      <c r="J347" s="19">
        <v>3828</v>
      </c>
      <c r="K347" s="19">
        <v>1</v>
      </c>
      <c r="L347" s="19">
        <v>7579.44</v>
      </c>
      <c r="M347" s="19">
        <f t="shared" si="15"/>
        <v>2279285.9499999974</v>
      </c>
      <c r="N347" s="20">
        <f t="shared" si="16"/>
        <v>3479.8258778625914</v>
      </c>
      <c r="O347" s="19">
        <f t="shared" si="17"/>
        <v>1656</v>
      </c>
      <c r="P347" s="19" t="str">
        <v>High</v>
      </c>
    </row>
    <row r="348" spans="1:16" x14ac:dyDescent="0.3">
      <c r="A348" s="2" t="s">
        <v>1443</v>
      </c>
      <c r="B348" s="2" t="s">
        <v>150</v>
      </c>
      <c r="C348" s="19" t="s">
        <v>1444</v>
      </c>
      <c r="D348" s="19" t="s">
        <v>53</v>
      </c>
      <c r="E348" s="19" t="s">
        <v>24</v>
      </c>
      <c r="F348" s="19" t="s">
        <v>32</v>
      </c>
      <c r="G348" s="19" t="s">
        <v>54</v>
      </c>
      <c r="H348" s="19" t="s">
        <v>75</v>
      </c>
      <c r="I348" s="19">
        <v>2</v>
      </c>
      <c r="J348" s="19">
        <v>3842</v>
      </c>
      <c r="K348" s="19">
        <v>2</v>
      </c>
      <c r="L348" s="19">
        <v>7530.32</v>
      </c>
      <c r="M348" s="19">
        <f t="shared" si="15"/>
        <v>2271706.509999997</v>
      </c>
      <c r="N348" s="20">
        <f t="shared" si="16"/>
        <v>3473.5573547400563</v>
      </c>
      <c r="O348" s="19">
        <f t="shared" si="17"/>
        <v>1654</v>
      </c>
      <c r="P348" s="19" t="str">
        <v>High</v>
      </c>
    </row>
    <row r="349" spans="1:16" x14ac:dyDescent="0.3">
      <c r="A349" s="2" t="s">
        <v>853</v>
      </c>
      <c r="B349" s="2" t="s">
        <v>854</v>
      </c>
      <c r="C349" s="19" t="s">
        <v>78</v>
      </c>
      <c r="D349" s="19" t="s">
        <v>23</v>
      </c>
      <c r="E349" s="19" t="s">
        <v>58</v>
      </c>
      <c r="F349" s="19" t="s">
        <v>40</v>
      </c>
      <c r="G349" s="19" t="s">
        <v>18</v>
      </c>
      <c r="H349" s="19" t="s">
        <v>33</v>
      </c>
      <c r="I349" s="19">
        <v>2</v>
      </c>
      <c r="J349" s="19">
        <v>4478</v>
      </c>
      <c r="K349" s="19">
        <v>16</v>
      </c>
      <c r="L349" s="19">
        <v>7523.04</v>
      </c>
      <c r="M349" s="19">
        <f t="shared" si="15"/>
        <v>2264176.1899999976</v>
      </c>
      <c r="N349" s="20">
        <f t="shared" si="16"/>
        <v>3467.3448545176075</v>
      </c>
      <c r="O349" s="19">
        <f t="shared" si="17"/>
        <v>1652</v>
      </c>
      <c r="P349" s="19" t="str">
        <v>High</v>
      </c>
    </row>
    <row r="350" spans="1:16" x14ac:dyDescent="0.3">
      <c r="A350" s="2" t="s">
        <v>529</v>
      </c>
      <c r="B350" s="2" t="s">
        <v>295</v>
      </c>
      <c r="C350" s="19" t="s">
        <v>496</v>
      </c>
      <c r="D350" s="19" t="s">
        <v>88</v>
      </c>
      <c r="E350" s="19" t="s">
        <v>58</v>
      </c>
      <c r="F350" s="19" t="s">
        <v>25</v>
      </c>
      <c r="G350" s="19" t="s">
        <v>18</v>
      </c>
      <c r="H350" s="19" t="s">
        <v>33</v>
      </c>
      <c r="I350" s="19">
        <v>5</v>
      </c>
      <c r="J350" s="19">
        <v>2032</v>
      </c>
      <c r="K350" s="19">
        <v>26</v>
      </c>
      <c r="L350" s="19">
        <v>7518.4</v>
      </c>
      <c r="M350" s="19">
        <f t="shared" si="15"/>
        <v>2256653.1499999976</v>
      </c>
      <c r="N350" s="20">
        <f t="shared" si="16"/>
        <v>3461.1244631901804</v>
      </c>
      <c r="O350" s="19">
        <f t="shared" si="17"/>
        <v>1650</v>
      </c>
      <c r="P350" s="19" t="str">
        <v>High</v>
      </c>
    </row>
    <row r="351" spans="1:16" x14ac:dyDescent="0.3">
      <c r="A351" s="2" t="s">
        <v>1191</v>
      </c>
      <c r="B351" s="2" t="s">
        <v>637</v>
      </c>
      <c r="C351" s="19" t="s">
        <v>163</v>
      </c>
      <c r="D351" s="19" t="s">
        <v>23</v>
      </c>
      <c r="E351" s="19" t="s">
        <v>31</v>
      </c>
      <c r="F351" s="19" t="s">
        <v>49</v>
      </c>
      <c r="G351" s="19" t="s">
        <v>40</v>
      </c>
      <c r="H351" s="19" t="s">
        <v>75</v>
      </c>
      <c r="I351" s="19">
        <v>2</v>
      </c>
      <c r="J351" s="19">
        <v>4813</v>
      </c>
      <c r="K351" s="19">
        <v>22</v>
      </c>
      <c r="L351" s="19">
        <v>7508.28</v>
      </c>
      <c r="M351" s="19">
        <f t="shared" si="15"/>
        <v>2249134.7499999977</v>
      </c>
      <c r="N351" s="20">
        <f t="shared" si="16"/>
        <v>3454.8920890936984</v>
      </c>
      <c r="O351" s="19">
        <f t="shared" si="17"/>
        <v>1645</v>
      </c>
      <c r="P351" s="19" t="str">
        <v>High</v>
      </c>
    </row>
    <row r="352" spans="1:16" x14ac:dyDescent="0.3">
      <c r="A352" s="2" t="s">
        <v>500</v>
      </c>
      <c r="B352" s="2" t="s">
        <v>501</v>
      </c>
      <c r="C352" s="19" t="s">
        <v>502</v>
      </c>
      <c r="D352" s="19" t="s">
        <v>88</v>
      </c>
      <c r="E352" s="19" t="s">
        <v>68</v>
      </c>
      <c r="F352" s="19" t="s">
        <v>25</v>
      </c>
      <c r="G352" s="19" t="s">
        <v>62</v>
      </c>
      <c r="H352" s="19" t="s">
        <v>75</v>
      </c>
      <c r="I352" s="19">
        <v>4</v>
      </c>
      <c r="J352" s="19">
        <v>2372</v>
      </c>
      <c r="K352" s="19">
        <v>21</v>
      </c>
      <c r="L352" s="19">
        <v>7495.52</v>
      </c>
      <c r="M352" s="19">
        <f t="shared" si="15"/>
        <v>2241626.4699999979</v>
      </c>
      <c r="N352" s="20">
        <f t="shared" si="16"/>
        <v>3448.6561076923044</v>
      </c>
      <c r="O352" s="19">
        <f t="shared" si="17"/>
        <v>1643</v>
      </c>
      <c r="P352" s="19" t="str">
        <v>High</v>
      </c>
    </row>
    <row r="353" spans="1:16" x14ac:dyDescent="0.3">
      <c r="A353" s="2" t="s">
        <v>518</v>
      </c>
      <c r="B353" s="2" t="s">
        <v>171</v>
      </c>
      <c r="C353" s="19" t="s">
        <v>519</v>
      </c>
      <c r="D353" s="19" t="s">
        <v>15</v>
      </c>
      <c r="E353" s="19" t="s">
        <v>68</v>
      </c>
      <c r="F353" s="19" t="s">
        <v>17</v>
      </c>
      <c r="G353" s="19" t="s">
        <v>40</v>
      </c>
      <c r="H353" s="19" t="s">
        <v>44</v>
      </c>
      <c r="I353" s="19">
        <v>3</v>
      </c>
      <c r="J353" s="19">
        <v>3324</v>
      </c>
      <c r="K353" s="19">
        <v>25</v>
      </c>
      <c r="L353" s="19">
        <v>7479</v>
      </c>
      <c r="M353" s="19">
        <f t="shared" si="15"/>
        <v>2234130.9499999988</v>
      </c>
      <c r="N353" s="20">
        <f t="shared" si="16"/>
        <v>3442.4205701078563</v>
      </c>
      <c r="O353" s="19">
        <f t="shared" si="17"/>
        <v>1639</v>
      </c>
      <c r="P353" s="19" t="str">
        <v>High</v>
      </c>
    </row>
    <row r="354" spans="1:16" x14ac:dyDescent="0.3">
      <c r="A354" s="2" t="s">
        <v>98</v>
      </c>
      <c r="B354" s="2" t="s">
        <v>86</v>
      </c>
      <c r="C354" s="19" t="s">
        <v>99</v>
      </c>
      <c r="D354" s="19" t="s">
        <v>15</v>
      </c>
      <c r="E354" s="19" t="s">
        <v>31</v>
      </c>
      <c r="F354" s="19" t="s">
        <v>49</v>
      </c>
      <c r="G354" s="19" t="s">
        <v>54</v>
      </c>
      <c r="H354" s="19" t="s">
        <v>19</v>
      </c>
      <c r="I354" s="19">
        <v>3</v>
      </c>
      <c r="J354" s="19">
        <v>2795</v>
      </c>
      <c r="K354" s="19">
        <v>11</v>
      </c>
      <c r="L354" s="19">
        <v>7462.65</v>
      </c>
      <c r="M354" s="19">
        <f t="shared" si="15"/>
        <v>2226651.9499999993</v>
      </c>
      <c r="N354" s="20">
        <f t="shared" si="16"/>
        <v>3436.1912808641964</v>
      </c>
      <c r="O354" s="19">
        <f t="shared" si="17"/>
        <v>1636</v>
      </c>
      <c r="P354" s="19" t="str">
        <v>High</v>
      </c>
    </row>
    <row r="355" spans="1:16" x14ac:dyDescent="0.3">
      <c r="A355" s="2" t="s">
        <v>1373</v>
      </c>
      <c r="B355" s="2" t="s">
        <v>224</v>
      </c>
      <c r="C355" s="19" t="s">
        <v>1374</v>
      </c>
      <c r="D355" s="19" t="s">
        <v>30</v>
      </c>
      <c r="E355" s="19" t="s">
        <v>24</v>
      </c>
      <c r="F355" s="19" t="s">
        <v>40</v>
      </c>
      <c r="G355" s="19" t="s">
        <v>18</v>
      </c>
      <c r="H355" s="19" t="s">
        <v>44</v>
      </c>
      <c r="I355" s="19">
        <v>2</v>
      </c>
      <c r="J355" s="19">
        <v>4386</v>
      </c>
      <c r="K355" s="19">
        <v>15</v>
      </c>
      <c r="L355" s="19">
        <v>7456.2</v>
      </c>
      <c r="M355" s="19">
        <f t="shared" si="15"/>
        <v>2219189.2999999989</v>
      </c>
      <c r="N355" s="20">
        <f t="shared" si="16"/>
        <v>3429.9680061823783</v>
      </c>
      <c r="O355" s="19">
        <f t="shared" si="17"/>
        <v>1633</v>
      </c>
      <c r="P355" s="19" t="str">
        <v>High</v>
      </c>
    </row>
    <row r="356" spans="1:16" x14ac:dyDescent="0.3">
      <c r="A356" s="2" t="s">
        <v>146</v>
      </c>
      <c r="B356" s="2" t="s">
        <v>147</v>
      </c>
      <c r="C356" s="19" t="s">
        <v>148</v>
      </c>
      <c r="D356" s="19" t="s">
        <v>23</v>
      </c>
      <c r="E356" s="19" t="s">
        <v>24</v>
      </c>
      <c r="F356" s="19" t="s">
        <v>49</v>
      </c>
      <c r="G356" s="19" t="s">
        <v>40</v>
      </c>
      <c r="H356" s="19" t="s">
        <v>33</v>
      </c>
      <c r="I356" s="19">
        <v>2</v>
      </c>
      <c r="J356" s="19">
        <v>3842</v>
      </c>
      <c r="K356" s="19">
        <v>3</v>
      </c>
      <c r="L356" s="19">
        <v>7453.48</v>
      </c>
      <c r="M356" s="19">
        <f t="shared" si="15"/>
        <v>2211733.0999999996</v>
      </c>
      <c r="N356" s="20">
        <f t="shared" si="16"/>
        <v>3423.7354489164081</v>
      </c>
      <c r="O356" s="19">
        <f t="shared" si="17"/>
        <v>1631</v>
      </c>
      <c r="P356" s="19" t="str">
        <v>High</v>
      </c>
    </row>
    <row r="357" spans="1:16" x14ac:dyDescent="0.3">
      <c r="A357" s="2" t="s">
        <v>689</v>
      </c>
      <c r="B357" s="2" t="s">
        <v>490</v>
      </c>
      <c r="C357" s="19" t="s">
        <v>690</v>
      </c>
      <c r="D357" s="19" t="s">
        <v>53</v>
      </c>
      <c r="E357" s="19" t="s">
        <v>48</v>
      </c>
      <c r="F357" s="19" t="s">
        <v>17</v>
      </c>
      <c r="G357" s="19" t="s">
        <v>26</v>
      </c>
      <c r="H357" s="19" t="s">
        <v>44</v>
      </c>
      <c r="I357" s="19">
        <v>2</v>
      </c>
      <c r="J357" s="19">
        <v>3899</v>
      </c>
      <c r="K357" s="19">
        <v>5</v>
      </c>
      <c r="L357" s="19">
        <v>7408.1</v>
      </c>
      <c r="M357" s="19">
        <f t="shared" si="15"/>
        <v>2204279.6199999992</v>
      </c>
      <c r="N357" s="20">
        <f t="shared" si="16"/>
        <v>3417.487782945735</v>
      </c>
      <c r="O357" s="19">
        <f t="shared" si="17"/>
        <v>1629</v>
      </c>
      <c r="P357" s="19" t="str">
        <v>High</v>
      </c>
    </row>
    <row r="358" spans="1:16" x14ac:dyDescent="0.3">
      <c r="A358" s="2" t="s">
        <v>1335</v>
      </c>
      <c r="B358" s="2" t="s">
        <v>144</v>
      </c>
      <c r="C358" s="19" t="s">
        <v>61</v>
      </c>
      <c r="D358" s="19" t="s">
        <v>30</v>
      </c>
      <c r="E358" s="19" t="s">
        <v>31</v>
      </c>
      <c r="F358" s="19" t="s">
        <v>49</v>
      </c>
      <c r="G358" s="19" t="s">
        <v>18</v>
      </c>
      <c r="H358" s="19" t="s">
        <v>75</v>
      </c>
      <c r="I358" s="19">
        <v>3</v>
      </c>
      <c r="J358" s="19">
        <v>3380</v>
      </c>
      <c r="K358" s="19">
        <v>27</v>
      </c>
      <c r="L358" s="19">
        <v>7402.2</v>
      </c>
      <c r="M358" s="19">
        <f t="shared" si="15"/>
        <v>2196871.5199999991</v>
      </c>
      <c r="N358" s="20">
        <f t="shared" si="16"/>
        <v>3411.2911801242221</v>
      </c>
      <c r="O358" s="19">
        <f t="shared" si="17"/>
        <v>1627</v>
      </c>
      <c r="P358" s="19" t="str">
        <v>High</v>
      </c>
    </row>
    <row r="359" spans="1:16" x14ac:dyDescent="0.3">
      <c r="A359" s="2" t="s">
        <v>1635</v>
      </c>
      <c r="B359" s="2" t="s">
        <v>1636</v>
      </c>
      <c r="C359" s="19" t="s">
        <v>1029</v>
      </c>
      <c r="D359" s="19" t="s">
        <v>88</v>
      </c>
      <c r="E359" s="19" t="s">
        <v>48</v>
      </c>
      <c r="F359" s="19" t="s">
        <v>40</v>
      </c>
      <c r="G359" s="19" t="s">
        <v>40</v>
      </c>
      <c r="H359" s="19" t="s">
        <v>44</v>
      </c>
      <c r="I359" s="19">
        <v>2</v>
      </c>
      <c r="J359" s="19">
        <v>3734</v>
      </c>
      <c r="K359" s="19">
        <v>1</v>
      </c>
      <c r="L359" s="19">
        <v>7393.32</v>
      </c>
      <c r="M359" s="19">
        <f t="shared" si="15"/>
        <v>2189469.3199999994</v>
      </c>
      <c r="N359" s="20">
        <f t="shared" si="16"/>
        <v>3405.0844790046644</v>
      </c>
      <c r="O359" s="19">
        <f t="shared" si="17"/>
        <v>1624</v>
      </c>
      <c r="P359" s="19" t="str">
        <v>High</v>
      </c>
    </row>
    <row r="360" spans="1:16" x14ac:dyDescent="0.3">
      <c r="A360" s="2" t="s">
        <v>1154</v>
      </c>
      <c r="B360" s="2" t="s">
        <v>369</v>
      </c>
      <c r="C360" s="19" t="s">
        <v>1057</v>
      </c>
      <c r="D360" s="19" t="s">
        <v>15</v>
      </c>
      <c r="E360" s="19" t="s">
        <v>48</v>
      </c>
      <c r="F360" s="19" t="s">
        <v>40</v>
      </c>
      <c r="G360" s="19" t="s">
        <v>18</v>
      </c>
      <c r="H360" s="19" t="s">
        <v>33</v>
      </c>
      <c r="I360" s="19">
        <v>3</v>
      </c>
      <c r="J360" s="19">
        <v>3242</v>
      </c>
      <c r="K360" s="19">
        <v>24</v>
      </c>
      <c r="L360" s="19">
        <v>7391.76</v>
      </c>
      <c r="M360" s="19">
        <f t="shared" si="15"/>
        <v>2182075.9999999991</v>
      </c>
      <c r="N360" s="20">
        <f t="shared" si="16"/>
        <v>3398.8722741433007</v>
      </c>
      <c r="O360" s="19">
        <f t="shared" si="17"/>
        <v>1622</v>
      </c>
      <c r="P360" s="19" t="str">
        <v>High</v>
      </c>
    </row>
    <row r="361" spans="1:16" x14ac:dyDescent="0.3">
      <c r="A361" s="2" t="s">
        <v>1345</v>
      </c>
      <c r="B361" s="2" t="s">
        <v>594</v>
      </c>
      <c r="C361" s="19" t="s">
        <v>567</v>
      </c>
      <c r="D361" s="19" t="s">
        <v>23</v>
      </c>
      <c r="E361" s="19" t="s">
        <v>48</v>
      </c>
      <c r="F361" s="19" t="s">
        <v>17</v>
      </c>
      <c r="G361" s="19" t="s">
        <v>26</v>
      </c>
      <c r="H361" s="19" t="s">
        <v>44</v>
      </c>
      <c r="I361" s="19">
        <v>2</v>
      </c>
      <c r="J361" s="19">
        <v>3795</v>
      </c>
      <c r="K361" s="19">
        <v>3</v>
      </c>
      <c r="L361" s="19">
        <v>7362.3</v>
      </c>
      <c r="M361" s="19">
        <f t="shared" si="15"/>
        <v>2174684.2399999988</v>
      </c>
      <c r="N361" s="20">
        <f t="shared" si="16"/>
        <v>3392.6431201248033</v>
      </c>
      <c r="O361" s="19">
        <f t="shared" si="17"/>
        <v>1619</v>
      </c>
      <c r="P361" s="19" t="str">
        <v>High</v>
      </c>
    </row>
    <row r="362" spans="1:16" x14ac:dyDescent="0.3">
      <c r="A362" s="2" t="s">
        <v>262</v>
      </c>
      <c r="B362" s="2" t="s">
        <v>263</v>
      </c>
      <c r="C362" s="19" t="s">
        <v>264</v>
      </c>
      <c r="D362" s="19" t="s">
        <v>88</v>
      </c>
      <c r="E362" s="19" t="s">
        <v>16</v>
      </c>
      <c r="F362" s="19" t="s">
        <v>25</v>
      </c>
      <c r="G362" s="19" t="s">
        <v>54</v>
      </c>
      <c r="H362" s="19" t="s">
        <v>19</v>
      </c>
      <c r="I362" s="19">
        <v>2</v>
      </c>
      <c r="J362" s="19">
        <v>4907</v>
      </c>
      <c r="K362" s="19">
        <v>25</v>
      </c>
      <c r="L362" s="19">
        <v>7360.5</v>
      </c>
      <c r="M362" s="19">
        <f t="shared" si="15"/>
        <v>2167321.9399999995</v>
      </c>
      <c r="N362" s="20">
        <f t="shared" si="16"/>
        <v>3386.4405312499994</v>
      </c>
      <c r="O362" s="19">
        <f t="shared" si="17"/>
        <v>1617</v>
      </c>
      <c r="P362" s="19" t="str">
        <v>High</v>
      </c>
    </row>
    <row r="363" spans="1:16" x14ac:dyDescent="0.3">
      <c r="A363" s="2" t="s">
        <v>749</v>
      </c>
      <c r="B363" s="2" t="s">
        <v>750</v>
      </c>
      <c r="C363" s="19" t="s">
        <v>250</v>
      </c>
      <c r="D363" s="19" t="s">
        <v>53</v>
      </c>
      <c r="E363" s="19" t="s">
        <v>16</v>
      </c>
      <c r="F363" s="19" t="s">
        <v>17</v>
      </c>
      <c r="G363" s="19" t="s">
        <v>54</v>
      </c>
      <c r="H363" s="19" t="s">
        <v>44</v>
      </c>
      <c r="I363" s="19">
        <v>3</v>
      </c>
      <c r="J363" s="19">
        <v>3358</v>
      </c>
      <c r="K363" s="19">
        <v>27</v>
      </c>
      <c r="L363" s="19">
        <v>7354.02</v>
      </c>
      <c r="M363" s="19">
        <f t="shared" si="15"/>
        <v>2159961.439999999</v>
      </c>
      <c r="N363" s="20">
        <f t="shared" si="16"/>
        <v>3380.2213458528936</v>
      </c>
      <c r="O363" s="19">
        <f t="shared" si="17"/>
        <v>1615</v>
      </c>
      <c r="P363" s="19" t="str">
        <v>High</v>
      </c>
    </row>
    <row r="364" spans="1:16" x14ac:dyDescent="0.3">
      <c r="A364" s="2" t="s">
        <v>1460</v>
      </c>
      <c r="B364" s="2" t="s">
        <v>449</v>
      </c>
      <c r="C364" s="19" t="s">
        <v>47</v>
      </c>
      <c r="D364" s="19" t="s">
        <v>15</v>
      </c>
      <c r="E364" s="19" t="s">
        <v>58</v>
      </c>
      <c r="F364" s="19" t="s">
        <v>40</v>
      </c>
      <c r="G364" s="19" t="s">
        <v>40</v>
      </c>
      <c r="H364" s="19" t="s">
        <v>19</v>
      </c>
      <c r="I364" s="19">
        <v>5</v>
      </c>
      <c r="J364" s="19">
        <v>1484</v>
      </c>
      <c r="K364" s="19">
        <v>1</v>
      </c>
      <c r="L364" s="19">
        <v>7345.8</v>
      </c>
      <c r="M364" s="19">
        <f t="shared" si="15"/>
        <v>2152607.4199999995</v>
      </c>
      <c r="N364" s="20">
        <f t="shared" si="16"/>
        <v>3373.9928213166136</v>
      </c>
      <c r="O364" s="19">
        <f t="shared" si="17"/>
        <v>1612</v>
      </c>
      <c r="P364" s="19" t="str">
        <v>High</v>
      </c>
    </row>
    <row r="365" spans="1:16" x14ac:dyDescent="0.3">
      <c r="A365" s="2" t="s">
        <v>1644</v>
      </c>
      <c r="B365" s="2" t="s">
        <v>1021</v>
      </c>
      <c r="C365" s="19" t="s">
        <v>281</v>
      </c>
      <c r="D365" s="19" t="s">
        <v>88</v>
      </c>
      <c r="E365" s="19" t="s">
        <v>58</v>
      </c>
      <c r="F365" s="19" t="s">
        <v>32</v>
      </c>
      <c r="G365" s="19" t="s">
        <v>40</v>
      </c>
      <c r="H365" s="19" t="s">
        <v>75</v>
      </c>
      <c r="I365" s="19">
        <v>2</v>
      </c>
      <c r="J365" s="19">
        <v>4447</v>
      </c>
      <c r="K365" s="19">
        <v>18</v>
      </c>
      <c r="L365" s="19">
        <v>7293.08</v>
      </c>
      <c r="M365" s="19">
        <f t="shared" si="15"/>
        <v>2145261.6199999992</v>
      </c>
      <c r="N365" s="20">
        <f t="shared" si="16"/>
        <v>3367.7576452119297</v>
      </c>
      <c r="O365" s="19">
        <f t="shared" si="17"/>
        <v>1607</v>
      </c>
      <c r="P365" s="19" t="str">
        <v>High</v>
      </c>
    </row>
    <row r="366" spans="1:16" x14ac:dyDescent="0.3">
      <c r="A366" s="2" t="s">
        <v>726</v>
      </c>
      <c r="B366" s="2" t="s">
        <v>208</v>
      </c>
      <c r="C366" s="19" t="s">
        <v>428</v>
      </c>
      <c r="D366" s="19" t="s">
        <v>23</v>
      </c>
      <c r="E366" s="19" t="s">
        <v>58</v>
      </c>
      <c r="F366" s="19" t="s">
        <v>49</v>
      </c>
      <c r="G366" s="19" t="s">
        <v>54</v>
      </c>
      <c r="H366" s="19" t="s">
        <v>33</v>
      </c>
      <c r="I366" s="19">
        <v>2</v>
      </c>
      <c r="J366" s="19">
        <v>4734</v>
      </c>
      <c r="K366" s="19">
        <v>23</v>
      </c>
      <c r="L366" s="19">
        <v>7290.36</v>
      </c>
      <c r="M366" s="19">
        <f t="shared" si="15"/>
        <v>2137968.5399999991</v>
      </c>
      <c r="N366" s="20">
        <f t="shared" si="16"/>
        <v>3361.5857547169799</v>
      </c>
      <c r="O366" s="19">
        <f t="shared" si="17"/>
        <v>1605</v>
      </c>
      <c r="P366" s="19" t="str">
        <v>High</v>
      </c>
    </row>
    <row r="367" spans="1:16" x14ac:dyDescent="0.3">
      <c r="A367" s="2" t="s">
        <v>735</v>
      </c>
      <c r="B367" s="2" t="s">
        <v>21</v>
      </c>
      <c r="C367" s="19" t="s">
        <v>311</v>
      </c>
      <c r="D367" s="19" t="s">
        <v>15</v>
      </c>
      <c r="E367" s="19" t="s">
        <v>58</v>
      </c>
      <c r="F367" s="19" t="s">
        <v>32</v>
      </c>
      <c r="G367" s="19" t="s">
        <v>62</v>
      </c>
      <c r="H367" s="19" t="s">
        <v>33</v>
      </c>
      <c r="I367" s="19">
        <v>4</v>
      </c>
      <c r="J367" s="19">
        <v>1980</v>
      </c>
      <c r="K367" s="19">
        <v>8</v>
      </c>
      <c r="L367" s="19">
        <v>7286.4</v>
      </c>
      <c r="M367" s="19">
        <f t="shared" si="15"/>
        <v>2130678.1799999997</v>
      </c>
      <c r="N367" s="20">
        <f t="shared" si="16"/>
        <v>3355.398708661417</v>
      </c>
      <c r="O367" s="19">
        <f t="shared" si="17"/>
        <v>1603</v>
      </c>
      <c r="P367" s="19" t="str">
        <v>High</v>
      </c>
    </row>
    <row r="368" spans="1:16" x14ac:dyDescent="0.3">
      <c r="A368" s="2" t="s">
        <v>1044</v>
      </c>
      <c r="B368" s="2" t="s">
        <v>1045</v>
      </c>
      <c r="C368" s="19" t="s">
        <v>791</v>
      </c>
      <c r="D368" s="19" t="s">
        <v>23</v>
      </c>
      <c r="E368" s="19" t="s">
        <v>58</v>
      </c>
      <c r="F368" s="19" t="s">
        <v>40</v>
      </c>
      <c r="G368" s="19" t="s">
        <v>26</v>
      </c>
      <c r="H368" s="19" t="s">
        <v>75</v>
      </c>
      <c r="I368" s="19">
        <v>3</v>
      </c>
      <c r="J368" s="19">
        <v>2549</v>
      </c>
      <c r="K368" s="19">
        <v>5</v>
      </c>
      <c r="L368" s="19">
        <v>7264.65</v>
      </c>
      <c r="M368" s="19">
        <f t="shared" si="15"/>
        <v>2123391.7800000003</v>
      </c>
      <c r="N368" s="20">
        <f t="shared" si="16"/>
        <v>3349.1983911671928</v>
      </c>
      <c r="O368" s="19">
        <f t="shared" si="17"/>
        <v>1599</v>
      </c>
      <c r="P368" s="19" t="str">
        <v>High</v>
      </c>
    </row>
    <row r="369" spans="1:16" x14ac:dyDescent="0.3">
      <c r="A369" s="2" t="s">
        <v>1486</v>
      </c>
      <c r="B369" s="2" t="s">
        <v>647</v>
      </c>
      <c r="C369" s="19" t="s">
        <v>105</v>
      </c>
      <c r="D369" s="19" t="s">
        <v>15</v>
      </c>
      <c r="E369" s="19" t="s">
        <v>68</v>
      </c>
      <c r="F369" s="19" t="s">
        <v>40</v>
      </c>
      <c r="G369" s="19" t="s">
        <v>40</v>
      </c>
      <c r="H369" s="19" t="s">
        <v>75</v>
      </c>
      <c r="I369" s="19">
        <v>2</v>
      </c>
      <c r="J369" s="19">
        <v>3666</v>
      </c>
      <c r="K369" s="19">
        <v>1</v>
      </c>
      <c r="L369" s="19">
        <v>7258.68</v>
      </c>
      <c r="M369" s="19">
        <f t="shared" si="15"/>
        <v>2116127.1300000018</v>
      </c>
      <c r="N369" s="20">
        <f t="shared" si="16"/>
        <v>3343.0128436018986</v>
      </c>
      <c r="O369" s="19">
        <f t="shared" si="17"/>
        <v>1596</v>
      </c>
      <c r="P369" s="19" t="str">
        <v>High</v>
      </c>
    </row>
    <row r="370" spans="1:16" x14ac:dyDescent="0.3">
      <c r="A370" s="2" t="s">
        <v>803</v>
      </c>
      <c r="B370" s="2" t="s">
        <v>734</v>
      </c>
      <c r="C370" s="19" t="s">
        <v>804</v>
      </c>
      <c r="D370" s="19" t="s">
        <v>23</v>
      </c>
      <c r="E370" s="19" t="s">
        <v>58</v>
      </c>
      <c r="F370" s="19" t="s">
        <v>25</v>
      </c>
      <c r="G370" s="19" t="s">
        <v>26</v>
      </c>
      <c r="H370" s="19" t="s">
        <v>44</v>
      </c>
      <c r="I370" s="19">
        <v>3</v>
      </c>
      <c r="J370" s="19">
        <v>3238</v>
      </c>
      <c r="K370" s="19">
        <v>26</v>
      </c>
      <c r="L370" s="19">
        <v>7188.36</v>
      </c>
      <c r="M370" s="19">
        <f t="shared" si="15"/>
        <v>2108868.4500000011</v>
      </c>
      <c r="N370" s="20">
        <f t="shared" si="16"/>
        <v>3336.8171677215209</v>
      </c>
      <c r="O370" s="19">
        <f t="shared" si="17"/>
        <v>1594</v>
      </c>
      <c r="P370" s="19" t="str">
        <v>High</v>
      </c>
    </row>
    <row r="371" spans="1:16" x14ac:dyDescent="0.3">
      <c r="A371" s="2" t="s">
        <v>424</v>
      </c>
      <c r="B371" s="2" t="s">
        <v>425</v>
      </c>
      <c r="C371" s="19" t="s">
        <v>136</v>
      </c>
      <c r="D371" s="19" t="s">
        <v>15</v>
      </c>
      <c r="E371" s="19" t="s">
        <v>48</v>
      </c>
      <c r="F371" s="19" t="s">
        <v>25</v>
      </c>
      <c r="G371" s="19" t="s">
        <v>40</v>
      </c>
      <c r="H371" s="19" t="s">
        <v>19</v>
      </c>
      <c r="I371" s="19">
        <v>2</v>
      </c>
      <c r="J371" s="19">
        <v>4130</v>
      </c>
      <c r="K371" s="19">
        <v>13</v>
      </c>
      <c r="L371" s="19">
        <v>7186.2</v>
      </c>
      <c r="M371" s="19">
        <f t="shared" si="15"/>
        <v>2101680.0900000012</v>
      </c>
      <c r="N371" s="20">
        <f t="shared" si="16"/>
        <v>3330.7132963549939</v>
      </c>
      <c r="O371" s="19">
        <f t="shared" si="17"/>
        <v>1591</v>
      </c>
      <c r="P371" s="19" t="str">
        <v>High</v>
      </c>
    </row>
    <row r="372" spans="1:16" x14ac:dyDescent="0.3">
      <c r="A372" s="2" t="s">
        <v>1670</v>
      </c>
      <c r="B372" s="2" t="s">
        <v>810</v>
      </c>
      <c r="C372" s="19" t="s">
        <v>692</v>
      </c>
      <c r="D372" s="19" t="s">
        <v>15</v>
      </c>
      <c r="E372" s="19" t="s">
        <v>68</v>
      </c>
      <c r="F372" s="19" t="s">
        <v>40</v>
      </c>
      <c r="G372" s="19" t="s">
        <v>18</v>
      </c>
      <c r="H372" s="19" t="s">
        <v>75</v>
      </c>
      <c r="I372" s="19">
        <v>4</v>
      </c>
      <c r="J372" s="19">
        <v>2553</v>
      </c>
      <c r="K372" s="19">
        <v>30</v>
      </c>
      <c r="L372" s="19">
        <v>7148.4</v>
      </c>
      <c r="M372" s="19">
        <f t="shared" si="15"/>
        <v>2094493.8900000006</v>
      </c>
      <c r="N372" s="20">
        <f t="shared" si="16"/>
        <v>3324.5934761904773</v>
      </c>
      <c r="O372" s="19">
        <f t="shared" si="17"/>
        <v>1589</v>
      </c>
      <c r="P372" s="19" t="str">
        <v>High</v>
      </c>
    </row>
    <row r="373" spans="1:16" x14ac:dyDescent="0.3">
      <c r="A373" s="2" t="s">
        <v>1054</v>
      </c>
      <c r="B373" s="2" t="s">
        <v>684</v>
      </c>
      <c r="C373" s="19" t="s">
        <v>682</v>
      </c>
      <c r="D373" s="19" t="s">
        <v>88</v>
      </c>
      <c r="E373" s="19" t="s">
        <v>79</v>
      </c>
      <c r="F373" s="19" t="s">
        <v>40</v>
      </c>
      <c r="G373" s="19" t="s">
        <v>26</v>
      </c>
      <c r="H373" s="19" t="s">
        <v>19</v>
      </c>
      <c r="I373" s="19">
        <v>3</v>
      </c>
      <c r="J373" s="19">
        <v>2833</v>
      </c>
      <c r="K373" s="19">
        <v>16</v>
      </c>
      <c r="L373" s="19">
        <v>7139.16</v>
      </c>
      <c r="M373" s="19">
        <f t="shared" si="15"/>
        <v>2087345.4900000007</v>
      </c>
      <c r="N373" s="20">
        <f t="shared" si="16"/>
        <v>3318.5142925278228</v>
      </c>
      <c r="O373" s="19">
        <f t="shared" si="17"/>
        <v>1585</v>
      </c>
      <c r="P373" s="19" t="str">
        <v>High</v>
      </c>
    </row>
    <row r="374" spans="1:16" x14ac:dyDescent="0.3">
      <c r="A374" s="2" t="s">
        <v>1649</v>
      </c>
      <c r="B374" s="2" t="s">
        <v>728</v>
      </c>
      <c r="C374" s="19" t="s">
        <v>918</v>
      </c>
      <c r="D374" s="19" t="s">
        <v>30</v>
      </c>
      <c r="E374" s="19" t="s">
        <v>24</v>
      </c>
      <c r="F374" s="19" t="s">
        <v>40</v>
      </c>
      <c r="G374" s="19" t="s">
        <v>40</v>
      </c>
      <c r="H374" s="19" t="s">
        <v>19</v>
      </c>
      <c r="I374" s="19">
        <v>2</v>
      </c>
      <c r="J374" s="19">
        <v>4046</v>
      </c>
      <c r="K374" s="19">
        <v>12</v>
      </c>
      <c r="L374" s="19">
        <v>7120.96</v>
      </c>
      <c r="M374" s="19">
        <f t="shared" si="15"/>
        <v>2080206.3300000008</v>
      </c>
      <c r="N374" s="20">
        <f t="shared" si="16"/>
        <v>3312.4304617834409</v>
      </c>
      <c r="O374" s="19">
        <f t="shared" si="17"/>
        <v>1582</v>
      </c>
      <c r="P374" s="19" t="str">
        <v>High</v>
      </c>
    </row>
    <row r="375" spans="1:16" x14ac:dyDescent="0.3">
      <c r="A375" s="2" t="s">
        <v>1483</v>
      </c>
      <c r="B375" s="2" t="s">
        <v>1484</v>
      </c>
      <c r="C375" s="19" t="s">
        <v>381</v>
      </c>
      <c r="D375" s="19" t="s">
        <v>23</v>
      </c>
      <c r="E375" s="19" t="s">
        <v>24</v>
      </c>
      <c r="F375" s="19" t="s">
        <v>17</v>
      </c>
      <c r="G375" s="19" t="s">
        <v>18</v>
      </c>
      <c r="H375" s="19" t="s">
        <v>44</v>
      </c>
      <c r="I375" s="19">
        <v>4</v>
      </c>
      <c r="J375" s="19">
        <v>2064</v>
      </c>
      <c r="K375" s="19">
        <v>14</v>
      </c>
      <c r="L375" s="19">
        <v>7100.16</v>
      </c>
      <c r="M375" s="19">
        <f t="shared" si="15"/>
        <v>2073085.3700000006</v>
      </c>
      <c r="N375" s="20">
        <f t="shared" si="16"/>
        <v>3306.3562519936213</v>
      </c>
      <c r="O375" s="19">
        <f t="shared" si="17"/>
        <v>1580</v>
      </c>
      <c r="P375" s="19" t="str">
        <v>High</v>
      </c>
    </row>
    <row r="376" spans="1:16" x14ac:dyDescent="0.3">
      <c r="A376" s="2" t="s">
        <v>1502</v>
      </c>
      <c r="B376" s="2" t="s">
        <v>269</v>
      </c>
      <c r="C376" s="19" t="s">
        <v>780</v>
      </c>
      <c r="D376" s="19" t="s">
        <v>30</v>
      </c>
      <c r="E376" s="19" t="s">
        <v>31</v>
      </c>
      <c r="F376" s="19" t="s">
        <v>49</v>
      </c>
      <c r="G376" s="19" t="s">
        <v>40</v>
      </c>
      <c r="H376" s="19" t="s">
        <v>44</v>
      </c>
      <c r="I376" s="19">
        <v>4</v>
      </c>
      <c r="J376" s="19">
        <v>1792</v>
      </c>
      <c r="K376" s="19">
        <v>1</v>
      </c>
      <c r="L376" s="19">
        <v>7096.32</v>
      </c>
      <c r="M376" s="19">
        <f t="shared" si="15"/>
        <v>2065985.2100000007</v>
      </c>
      <c r="N376" s="20">
        <f t="shared" si="16"/>
        <v>3300.2958626198092</v>
      </c>
      <c r="O376" s="19">
        <f t="shared" si="17"/>
        <v>1576</v>
      </c>
      <c r="P376" s="19" t="str">
        <v>High</v>
      </c>
    </row>
    <row r="377" spans="1:16" x14ac:dyDescent="0.3">
      <c r="A377" s="2" t="s">
        <v>1279</v>
      </c>
      <c r="B377" s="2" t="s">
        <v>1270</v>
      </c>
      <c r="C377" s="19" t="s">
        <v>1280</v>
      </c>
      <c r="D377" s="19" t="s">
        <v>30</v>
      </c>
      <c r="E377" s="19" t="s">
        <v>31</v>
      </c>
      <c r="F377" s="19" t="s">
        <v>17</v>
      </c>
      <c r="G377" s="19" t="s">
        <v>54</v>
      </c>
      <c r="H377" s="19" t="s">
        <v>75</v>
      </c>
      <c r="I377" s="19">
        <v>5</v>
      </c>
      <c r="J377" s="19">
        <v>1994</v>
      </c>
      <c r="K377" s="19">
        <v>29</v>
      </c>
      <c r="L377" s="19">
        <v>7078.7</v>
      </c>
      <c r="M377" s="19">
        <f t="shared" si="15"/>
        <v>2058888.8900000006</v>
      </c>
      <c r="N377" s="20">
        <f t="shared" si="16"/>
        <v>3294.222224000001</v>
      </c>
      <c r="O377" s="19">
        <f t="shared" si="17"/>
        <v>1572</v>
      </c>
      <c r="P377" s="19" t="str">
        <v>High</v>
      </c>
    </row>
    <row r="378" spans="1:16" x14ac:dyDescent="0.3">
      <c r="A378" s="2" t="s">
        <v>1572</v>
      </c>
      <c r="B378" s="2" t="s">
        <v>1552</v>
      </c>
      <c r="C378" s="19" t="s">
        <v>496</v>
      </c>
      <c r="D378" s="19" t="s">
        <v>23</v>
      </c>
      <c r="E378" s="19" t="s">
        <v>24</v>
      </c>
      <c r="F378" s="19" t="s">
        <v>17</v>
      </c>
      <c r="G378" s="19" t="s">
        <v>18</v>
      </c>
      <c r="H378" s="19" t="s">
        <v>19</v>
      </c>
      <c r="I378" s="19">
        <v>2</v>
      </c>
      <c r="J378" s="19">
        <v>3570</v>
      </c>
      <c r="K378" s="19">
        <v>1</v>
      </c>
      <c r="L378" s="19">
        <v>7068.6</v>
      </c>
      <c r="M378" s="19">
        <f t="shared" si="15"/>
        <v>2051810.1900000006</v>
      </c>
      <c r="N378" s="20">
        <f t="shared" si="16"/>
        <v>3288.1573557692318</v>
      </c>
      <c r="O378" s="19">
        <f t="shared" si="17"/>
        <v>1567</v>
      </c>
      <c r="P378" s="19" t="str">
        <v>High</v>
      </c>
    </row>
    <row r="379" spans="1:16" x14ac:dyDescent="0.3">
      <c r="A379" s="2" t="s">
        <v>1415</v>
      </c>
      <c r="B379" s="2" t="s">
        <v>467</v>
      </c>
      <c r="C379" s="19" t="s">
        <v>491</v>
      </c>
      <c r="D379" s="19" t="s">
        <v>88</v>
      </c>
      <c r="E379" s="19" t="s">
        <v>31</v>
      </c>
      <c r="F379" s="19" t="s">
        <v>49</v>
      </c>
      <c r="G379" s="19" t="s">
        <v>62</v>
      </c>
      <c r="H379" s="19" t="s">
        <v>33</v>
      </c>
      <c r="I379" s="19">
        <v>3</v>
      </c>
      <c r="J379" s="19">
        <v>3054</v>
      </c>
      <c r="K379" s="19">
        <v>23</v>
      </c>
      <c r="L379" s="19">
        <v>7054.74</v>
      </c>
      <c r="M379" s="19">
        <f t="shared" si="15"/>
        <v>2044741.5900000008</v>
      </c>
      <c r="N379" s="20">
        <f t="shared" si="16"/>
        <v>3282.0892295345116</v>
      </c>
      <c r="O379" s="19">
        <f t="shared" si="17"/>
        <v>1565</v>
      </c>
      <c r="P379" s="19" t="str">
        <v>High</v>
      </c>
    </row>
    <row r="380" spans="1:16" x14ac:dyDescent="0.3">
      <c r="A380" s="2" t="s">
        <v>112</v>
      </c>
      <c r="B380" s="2" t="s">
        <v>113</v>
      </c>
      <c r="C380" s="19" t="s">
        <v>114</v>
      </c>
      <c r="D380" s="19" t="s">
        <v>23</v>
      </c>
      <c r="E380" s="19" t="s">
        <v>58</v>
      </c>
      <c r="F380" s="19" t="s">
        <v>17</v>
      </c>
      <c r="G380" s="19" t="s">
        <v>26</v>
      </c>
      <c r="H380" s="19" t="s">
        <v>33</v>
      </c>
      <c r="I380" s="19">
        <v>2</v>
      </c>
      <c r="J380" s="19">
        <v>3875</v>
      </c>
      <c r="K380" s="19">
        <v>9</v>
      </c>
      <c r="L380" s="19">
        <v>7052.5</v>
      </c>
      <c r="M380" s="19">
        <f t="shared" si="15"/>
        <v>2037686.8500000008</v>
      </c>
      <c r="N380" s="20">
        <f t="shared" si="16"/>
        <v>3276.0238745980719</v>
      </c>
      <c r="O380" s="19">
        <f t="shared" si="17"/>
        <v>1562</v>
      </c>
      <c r="P380" s="19" t="str">
        <v>High</v>
      </c>
    </row>
    <row r="381" spans="1:16" x14ac:dyDescent="0.3">
      <c r="A381" s="2" t="s">
        <v>850</v>
      </c>
      <c r="B381" s="2" t="s">
        <v>716</v>
      </c>
      <c r="C381" s="19" t="s">
        <v>298</v>
      </c>
      <c r="D381" s="19" t="s">
        <v>88</v>
      </c>
      <c r="E381" s="19" t="s">
        <v>24</v>
      </c>
      <c r="F381" s="19" t="s">
        <v>17</v>
      </c>
      <c r="G381" s="19" t="s">
        <v>18</v>
      </c>
      <c r="H381" s="19" t="s">
        <v>44</v>
      </c>
      <c r="I381" s="19">
        <v>5</v>
      </c>
      <c r="J381" s="19">
        <v>1550</v>
      </c>
      <c r="K381" s="19">
        <v>9</v>
      </c>
      <c r="L381" s="19">
        <v>7052.5</v>
      </c>
      <c r="M381" s="19">
        <f t="shared" si="15"/>
        <v>2030634.3500000006</v>
      </c>
      <c r="N381" s="20">
        <f t="shared" si="16"/>
        <v>3269.9425925925934</v>
      </c>
      <c r="O381" s="19">
        <f t="shared" si="17"/>
        <v>1560</v>
      </c>
      <c r="P381" s="19" t="str">
        <v>High</v>
      </c>
    </row>
    <row r="382" spans="1:16" x14ac:dyDescent="0.3">
      <c r="A382" s="2" t="s">
        <v>1285</v>
      </c>
      <c r="B382" s="2" t="s">
        <v>321</v>
      </c>
      <c r="C382" s="19" t="s">
        <v>512</v>
      </c>
      <c r="D382" s="19" t="s">
        <v>23</v>
      </c>
      <c r="E382" s="19" t="s">
        <v>79</v>
      </c>
      <c r="F382" s="19" t="s">
        <v>17</v>
      </c>
      <c r="G382" s="19" t="s">
        <v>54</v>
      </c>
      <c r="H382" s="19" t="s">
        <v>44</v>
      </c>
      <c r="I382" s="19">
        <v>5</v>
      </c>
      <c r="J382" s="19">
        <v>1451</v>
      </c>
      <c r="K382" s="19">
        <v>3</v>
      </c>
      <c r="L382" s="19">
        <v>7037.35</v>
      </c>
      <c r="M382" s="19">
        <f t="shared" si="15"/>
        <v>2023581.8500000008</v>
      </c>
      <c r="N382" s="20">
        <f t="shared" si="16"/>
        <v>3263.8416935483883</v>
      </c>
      <c r="O382" s="19">
        <f t="shared" si="17"/>
        <v>1555</v>
      </c>
      <c r="P382" s="19" t="str">
        <v>High</v>
      </c>
    </row>
    <row r="383" spans="1:16" x14ac:dyDescent="0.3">
      <c r="A383" s="2" t="s">
        <v>1436</v>
      </c>
      <c r="B383" s="2" t="s">
        <v>760</v>
      </c>
      <c r="C383" s="19" t="s">
        <v>222</v>
      </c>
      <c r="D383" s="19" t="s">
        <v>30</v>
      </c>
      <c r="E383" s="19" t="s">
        <v>79</v>
      </c>
      <c r="F383" s="19" t="s">
        <v>40</v>
      </c>
      <c r="G383" s="19" t="s">
        <v>54</v>
      </c>
      <c r="H383" s="19" t="s">
        <v>33</v>
      </c>
      <c r="I383" s="19">
        <v>3</v>
      </c>
      <c r="J383" s="19">
        <v>2918</v>
      </c>
      <c r="K383" s="19">
        <v>20</v>
      </c>
      <c r="L383" s="19">
        <v>7003.2</v>
      </c>
      <c r="M383" s="19">
        <f t="shared" si="15"/>
        <v>2016544.5000000005</v>
      </c>
      <c r="N383" s="20">
        <f t="shared" si="16"/>
        <v>3257.7455573505663</v>
      </c>
      <c r="O383" s="19">
        <f t="shared" si="17"/>
        <v>1550</v>
      </c>
      <c r="P383" s="19" t="str">
        <v>High</v>
      </c>
    </row>
    <row r="384" spans="1:16" x14ac:dyDescent="0.3">
      <c r="A384" s="2" t="s">
        <v>1030</v>
      </c>
      <c r="B384" s="2" t="s">
        <v>621</v>
      </c>
      <c r="C384" s="19" t="s">
        <v>849</v>
      </c>
      <c r="D384" s="19" t="s">
        <v>30</v>
      </c>
      <c r="E384" s="19" t="s">
        <v>79</v>
      </c>
      <c r="F384" s="19" t="s">
        <v>32</v>
      </c>
      <c r="G384" s="19" t="s">
        <v>26</v>
      </c>
      <c r="H384" s="19" t="s">
        <v>75</v>
      </c>
      <c r="I384" s="19">
        <v>4</v>
      </c>
      <c r="J384" s="19">
        <v>2181</v>
      </c>
      <c r="K384" s="19">
        <v>20</v>
      </c>
      <c r="L384" s="19">
        <v>6979.2</v>
      </c>
      <c r="M384" s="19">
        <f t="shared" si="15"/>
        <v>2009541.3000000005</v>
      </c>
      <c r="N384" s="20">
        <f t="shared" si="16"/>
        <v>3251.6849514563114</v>
      </c>
      <c r="O384" s="19">
        <f t="shared" si="17"/>
        <v>1547</v>
      </c>
      <c r="P384" s="19" t="str">
        <v>High</v>
      </c>
    </row>
    <row r="385" spans="1:16" x14ac:dyDescent="0.3">
      <c r="A385" s="2" t="s">
        <v>1362</v>
      </c>
      <c r="B385" s="2" t="s">
        <v>487</v>
      </c>
      <c r="C385" s="19" t="s">
        <v>552</v>
      </c>
      <c r="D385" s="19" t="s">
        <v>88</v>
      </c>
      <c r="E385" s="19" t="s">
        <v>31</v>
      </c>
      <c r="F385" s="19" t="s">
        <v>25</v>
      </c>
      <c r="G385" s="19" t="s">
        <v>54</v>
      </c>
      <c r="H385" s="19" t="s">
        <v>33</v>
      </c>
      <c r="I385" s="19">
        <v>5</v>
      </c>
      <c r="J385" s="19">
        <v>1566</v>
      </c>
      <c r="K385" s="19">
        <v>11</v>
      </c>
      <c r="L385" s="19">
        <v>6968.7</v>
      </c>
      <c r="M385" s="19">
        <f t="shared" si="15"/>
        <v>2002562.1000000006</v>
      </c>
      <c r="N385" s="20">
        <f t="shared" si="16"/>
        <v>3245.6435980551064</v>
      </c>
      <c r="O385" s="19">
        <f t="shared" si="17"/>
        <v>1543</v>
      </c>
      <c r="P385" s="19" t="str">
        <v>High</v>
      </c>
    </row>
    <row r="386" spans="1:16" x14ac:dyDescent="0.3">
      <c r="A386" s="2" t="s">
        <v>109</v>
      </c>
      <c r="B386" s="2" t="s">
        <v>110</v>
      </c>
      <c r="C386" s="19" t="s">
        <v>111</v>
      </c>
      <c r="D386" s="19" t="s">
        <v>88</v>
      </c>
      <c r="E386" s="19" t="s">
        <v>24</v>
      </c>
      <c r="F386" s="19" t="s">
        <v>32</v>
      </c>
      <c r="G386" s="19" t="s">
        <v>62</v>
      </c>
      <c r="H386" s="19" t="s">
        <v>19</v>
      </c>
      <c r="I386" s="19">
        <v>5</v>
      </c>
      <c r="J386" s="19">
        <v>1933</v>
      </c>
      <c r="K386" s="19">
        <v>28</v>
      </c>
      <c r="L386" s="19">
        <v>6958.8</v>
      </c>
      <c r="M386" s="19">
        <f t="shared" ref="M386:M449" si="18">SUM(L386:L1385)</f>
        <v>1995593.4000000004</v>
      </c>
      <c r="N386" s="20">
        <f t="shared" ref="N386:N449" si="19">AVERAGE(L386:L1385)</f>
        <v>3239.5996753246759</v>
      </c>
      <c r="O386" s="19">
        <f t="shared" ref="O386:O449" si="20">SUM(I386:I1385)</f>
        <v>1538</v>
      </c>
      <c r="P386" s="19" t="str">
        <v>High</v>
      </c>
    </row>
    <row r="387" spans="1:16" x14ac:dyDescent="0.3">
      <c r="A387" s="2" t="s">
        <v>274</v>
      </c>
      <c r="B387" s="2" t="s">
        <v>275</v>
      </c>
      <c r="C387" s="19" t="s">
        <v>276</v>
      </c>
      <c r="D387" s="19" t="s">
        <v>88</v>
      </c>
      <c r="E387" s="19" t="s">
        <v>48</v>
      </c>
      <c r="F387" s="19" t="s">
        <v>25</v>
      </c>
      <c r="G387" s="19" t="s">
        <v>62</v>
      </c>
      <c r="H387" s="19" t="s">
        <v>33</v>
      </c>
      <c r="I387" s="19">
        <v>2</v>
      </c>
      <c r="J387" s="19">
        <v>4294</v>
      </c>
      <c r="K387" s="19">
        <v>19</v>
      </c>
      <c r="L387" s="19">
        <v>6956.28</v>
      </c>
      <c r="M387" s="19">
        <f t="shared" si="18"/>
        <v>1988634.6000000003</v>
      </c>
      <c r="N387" s="20">
        <f t="shared" si="19"/>
        <v>3233.5521951219516</v>
      </c>
      <c r="O387" s="19">
        <f t="shared" si="20"/>
        <v>1533</v>
      </c>
      <c r="P387" s="19" t="str">
        <v>High</v>
      </c>
    </row>
    <row r="388" spans="1:16" x14ac:dyDescent="0.3">
      <c r="A388" s="2" t="s">
        <v>332</v>
      </c>
      <c r="B388" s="2" t="s">
        <v>333</v>
      </c>
      <c r="C388" s="19" t="s">
        <v>334</v>
      </c>
      <c r="D388" s="19" t="s">
        <v>23</v>
      </c>
      <c r="E388" s="19" t="s">
        <v>16</v>
      </c>
      <c r="F388" s="19" t="s">
        <v>40</v>
      </c>
      <c r="G388" s="19" t="s">
        <v>18</v>
      </c>
      <c r="H388" s="19" t="s">
        <v>44</v>
      </c>
      <c r="I388" s="19">
        <v>4</v>
      </c>
      <c r="J388" s="19">
        <v>1750</v>
      </c>
      <c r="K388" s="19">
        <v>1</v>
      </c>
      <c r="L388" s="19">
        <v>6930</v>
      </c>
      <c r="M388" s="19">
        <f t="shared" si="18"/>
        <v>1981678.3200000003</v>
      </c>
      <c r="N388" s="20">
        <f t="shared" si="19"/>
        <v>3227.4891205211729</v>
      </c>
      <c r="O388" s="19">
        <f t="shared" si="20"/>
        <v>1531</v>
      </c>
      <c r="P388" s="19" t="str">
        <v>High</v>
      </c>
    </row>
    <row r="389" spans="1:16" x14ac:dyDescent="0.3">
      <c r="A389" s="2" t="s">
        <v>1517</v>
      </c>
      <c r="B389" s="2" t="s">
        <v>800</v>
      </c>
      <c r="C389" s="19" t="s">
        <v>836</v>
      </c>
      <c r="D389" s="19" t="s">
        <v>15</v>
      </c>
      <c r="E389" s="19" t="s">
        <v>79</v>
      </c>
      <c r="F389" s="19" t="s">
        <v>25</v>
      </c>
      <c r="G389" s="19" t="s">
        <v>40</v>
      </c>
      <c r="H389" s="19" t="s">
        <v>19</v>
      </c>
      <c r="I389" s="19">
        <v>2</v>
      </c>
      <c r="J389" s="19">
        <v>4172</v>
      </c>
      <c r="K389" s="19">
        <v>17</v>
      </c>
      <c r="L389" s="19">
        <v>6925.52</v>
      </c>
      <c r="M389" s="19">
        <f t="shared" si="18"/>
        <v>1974748.3200000003</v>
      </c>
      <c r="N389" s="20">
        <f t="shared" si="19"/>
        <v>3221.4491353996741</v>
      </c>
      <c r="O389" s="19">
        <f t="shared" si="20"/>
        <v>1527</v>
      </c>
      <c r="P389" s="19" t="str">
        <v>High</v>
      </c>
    </row>
    <row r="390" spans="1:16" x14ac:dyDescent="0.3">
      <c r="A390" s="2" t="s">
        <v>636</v>
      </c>
      <c r="B390" s="2" t="s">
        <v>637</v>
      </c>
      <c r="C390" s="19" t="s">
        <v>160</v>
      </c>
      <c r="D390" s="19" t="s">
        <v>23</v>
      </c>
      <c r="E390" s="19" t="s">
        <v>24</v>
      </c>
      <c r="F390" s="19" t="s">
        <v>32</v>
      </c>
      <c r="G390" s="19" t="s">
        <v>54</v>
      </c>
      <c r="H390" s="19" t="s">
        <v>19</v>
      </c>
      <c r="I390" s="19">
        <v>3</v>
      </c>
      <c r="J390" s="19">
        <v>2998</v>
      </c>
      <c r="K390" s="19">
        <v>23</v>
      </c>
      <c r="L390" s="19">
        <v>6925.38</v>
      </c>
      <c r="M390" s="19">
        <f t="shared" si="18"/>
        <v>1967822.8000000003</v>
      </c>
      <c r="N390" s="20">
        <f t="shared" si="19"/>
        <v>3215.396732026144</v>
      </c>
      <c r="O390" s="19">
        <f t="shared" si="20"/>
        <v>1525</v>
      </c>
      <c r="P390" s="19" t="str">
        <v>High</v>
      </c>
    </row>
    <row r="391" spans="1:16" x14ac:dyDescent="0.3">
      <c r="A391" s="2" t="s">
        <v>1497</v>
      </c>
      <c r="B391" s="2" t="s">
        <v>280</v>
      </c>
      <c r="C391" s="19" t="s">
        <v>247</v>
      </c>
      <c r="D391" s="19" t="s">
        <v>53</v>
      </c>
      <c r="E391" s="19" t="s">
        <v>79</v>
      </c>
      <c r="F391" s="19" t="s">
        <v>25</v>
      </c>
      <c r="G391" s="19" t="s">
        <v>54</v>
      </c>
      <c r="H391" s="19" t="s">
        <v>44</v>
      </c>
      <c r="I391" s="19">
        <v>3</v>
      </c>
      <c r="J391" s="19">
        <v>2995</v>
      </c>
      <c r="K391" s="19">
        <v>24</v>
      </c>
      <c r="L391" s="19">
        <v>6828.6</v>
      </c>
      <c r="M391" s="19">
        <f t="shared" si="18"/>
        <v>1960897.4200000004</v>
      </c>
      <c r="N391" s="20">
        <f t="shared" si="19"/>
        <v>3209.324746317513</v>
      </c>
      <c r="O391" s="19">
        <f t="shared" si="20"/>
        <v>1522</v>
      </c>
      <c r="P391" s="19" t="str">
        <v>High</v>
      </c>
    </row>
    <row r="392" spans="1:16" x14ac:dyDescent="0.3">
      <c r="A392" s="2" t="s">
        <v>847</v>
      </c>
      <c r="B392" s="2" t="s">
        <v>848</v>
      </c>
      <c r="C392" s="19" t="s">
        <v>849</v>
      </c>
      <c r="D392" s="19" t="s">
        <v>30</v>
      </c>
      <c r="E392" s="19" t="s">
        <v>68</v>
      </c>
      <c r="F392" s="19" t="s">
        <v>40</v>
      </c>
      <c r="G392" s="19" t="s">
        <v>54</v>
      </c>
      <c r="H392" s="19" t="s">
        <v>75</v>
      </c>
      <c r="I392" s="19">
        <v>5</v>
      </c>
      <c r="J392" s="19">
        <v>1773</v>
      </c>
      <c r="K392" s="19">
        <v>23</v>
      </c>
      <c r="L392" s="19">
        <v>6826.05</v>
      </c>
      <c r="M392" s="19">
        <f t="shared" si="18"/>
        <v>1954068.8200000003</v>
      </c>
      <c r="N392" s="20">
        <f t="shared" si="19"/>
        <v>3203.3915081967216</v>
      </c>
      <c r="O392" s="19">
        <f t="shared" si="20"/>
        <v>1519</v>
      </c>
      <c r="P392" s="19" t="str">
        <v>High</v>
      </c>
    </row>
    <row r="393" spans="1:16" x14ac:dyDescent="0.3">
      <c r="A393" s="2" t="s">
        <v>323</v>
      </c>
      <c r="B393" s="2" t="s">
        <v>324</v>
      </c>
      <c r="C393" s="19" t="s">
        <v>325</v>
      </c>
      <c r="D393" s="19" t="s">
        <v>53</v>
      </c>
      <c r="E393" s="19" t="s">
        <v>16</v>
      </c>
      <c r="F393" s="19" t="s">
        <v>49</v>
      </c>
      <c r="G393" s="19" t="s">
        <v>62</v>
      </c>
      <c r="H393" s="19" t="s">
        <v>44</v>
      </c>
      <c r="I393" s="19">
        <v>2</v>
      </c>
      <c r="J393" s="19">
        <v>3518</v>
      </c>
      <c r="K393" s="19">
        <v>3</v>
      </c>
      <c r="L393" s="19">
        <v>6824.92</v>
      </c>
      <c r="M393" s="19">
        <f t="shared" si="18"/>
        <v>1947242.7700000003</v>
      </c>
      <c r="N393" s="20">
        <f t="shared" si="19"/>
        <v>3197.4429720853864</v>
      </c>
      <c r="O393" s="19">
        <f t="shared" si="20"/>
        <v>1514</v>
      </c>
      <c r="P393" s="19" t="str">
        <v>High</v>
      </c>
    </row>
    <row r="394" spans="1:16" x14ac:dyDescent="0.3">
      <c r="A394" s="2" t="s">
        <v>1648</v>
      </c>
      <c r="B394" s="2" t="s">
        <v>696</v>
      </c>
      <c r="C394" s="19" t="s">
        <v>1227</v>
      </c>
      <c r="D394" s="19" t="s">
        <v>30</v>
      </c>
      <c r="E394" s="19" t="s">
        <v>16</v>
      </c>
      <c r="F394" s="19" t="s">
        <v>40</v>
      </c>
      <c r="G394" s="19" t="s">
        <v>40</v>
      </c>
      <c r="H394" s="19" t="s">
        <v>75</v>
      </c>
      <c r="I394" s="19">
        <v>2</v>
      </c>
      <c r="J394" s="19">
        <v>4205</v>
      </c>
      <c r="K394" s="19">
        <v>19</v>
      </c>
      <c r="L394" s="19">
        <v>6812.1</v>
      </c>
      <c r="M394" s="19">
        <f t="shared" si="18"/>
        <v>1940417.8500000003</v>
      </c>
      <c r="N394" s="20">
        <f t="shared" si="19"/>
        <v>3191.4767269736849</v>
      </c>
      <c r="O394" s="19">
        <f t="shared" si="20"/>
        <v>1512</v>
      </c>
      <c r="P394" s="19" t="str">
        <v>High</v>
      </c>
    </row>
    <row r="395" spans="1:16" x14ac:dyDescent="0.3">
      <c r="A395" s="2" t="s">
        <v>1568</v>
      </c>
      <c r="B395" s="2" t="s">
        <v>309</v>
      </c>
      <c r="C395" s="19" t="s">
        <v>331</v>
      </c>
      <c r="D395" s="19" t="s">
        <v>53</v>
      </c>
      <c r="E395" s="19" t="s">
        <v>24</v>
      </c>
      <c r="F395" s="19" t="s">
        <v>17</v>
      </c>
      <c r="G395" s="19" t="s">
        <v>40</v>
      </c>
      <c r="H395" s="19" t="s">
        <v>75</v>
      </c>
      <c r="I395" s="19">
        <v>3</v>
      </c>
      <c r="J395" s="19">
        <v>2519</v>
      </c>
      <c r="K395" s="19">
        <v>10</v>
      </c>
      <c r="L395" s="19">
        <v>6801.3</v>
      </c>
      <c r="M395" s="19">
        <f t="shared" si="18"/>
        <v>1933605.7500000002</v>
      </c>
      <c r="N395" s="20">
        <f t="shared" si="19"/>
        <v>3185.5119439868208</v>
      </c>
      <c r="O395" s="19">
        <f t="shared" si="20"/>
        <v>1510</v>
      </c>
      <c r="P395" s="19" t="str">
        <v>High</v>
      </c>
    </row>
    <row r="396" spans="1:16" x14ac:dyDescent="0.3">
      <c r="A396" s="2" t="s">
        <v>587</v>
      </c>
      <c r="B396" s="2" t="s">
        <v>232</v>
      </c>
      <c r="C396" s="19" t="s">
        <v>588</v>
      </c>
      <c r="D396" s="19" t="s">
        <v>23</v>
      </c>
      <c r="E396" s="19" t="s">
        <v>24</v>
      </c>
      <c r="F396" s="19" t="s">
        <v>32</v>
      </c>
      <c r="G396" s="19" t="s">
        <v>18</v>
      </c>
      <c r="H396" s="19" t="s">
        <v>44</v>
      </c>
      <c r="I396" s="19">
        <v>2</v>
      </c>
      <c r="J396" s="19">
        <v>3784</v>
      </c>
      <c r="K396" s="19">
        <v>11</v>
      </c>
      <c r="L396" s="19">
        <v>6735.52</v>
      </c>
      <c r="M396" s="19">
        <f t="shared" si="18"/>
        <v>1926804.4500000002</v>
      </c>
      <c r="N396" s="20">
        <f t="shared" si="19"/>
        <v>3179.5452970297033</v>
      </c>
      <c r="O396" s="19">
        <f t="shared" si="20"/>
        <v>1507</v>
      </c>
      <c r="P396" s="19" t="str">
        <v>High</v>
      </c>
    </row>
    <row r="397" spans="1:16" x14ac:dyDescent="0.3">
      <c r="A397" s="2" t="s">
        <v>824</v>
      </c>
      <c r="B397" s="2" t="s">
        <v>825</v>
      </c>
      <c r="C397" s="19" t="s">
        <v>826</v>
      </c>
      <c r="D397" s="19" t="s">
        <v>23</v>
      </c>
      <c r="E397" s="19" t="s">
        <v>24</v>
      </c>
      <c r="F397" s="19" t="s">
        <v>49</v>
      </c>
      <c r="G397" s="19" t="s">
        <v>62</v>
      </c>
      <c r="H397" s="19" t="s">
        <v>44</v>
      </c>
      <c r="I397" s="19">
        <v>3</v>
      </c>
      <c r="J397" s="19">
        <v>2837</v>
      </c>
      <c r="K397" s="19">
        <v>21</v>
      </c>
      <c r="L397" s="19">
        <v>6723.69</v>
      </c>
      <c r="M397" s="19">
        <f t="shared" si="18"/>
        <v>1920068.9300000002</v>
      </c>
      <c r="N397" s="20">
        <f t="shared" si="19"/>
        <v>3173.6676528925623</v>
      </c>
      <c r="O397" s="19">
        <f t="shared" si="20"/>
        <v>1505</v>
      </c>
      <c r="P397" s="19" t="str">
        <v>High</v>
      </c>
    </row>
    <row r="398" spans="1:16" x14ac:dyDescent="0.3">
      <c r="A398" s="2" t="s">
        <v>118</v>
      </c>
      <c r="B398" s="2" t="s">
        <v>119</v>
      </c>
      <c r="C398" s="19" t="s">
        <v>67</v>
      </c>
      <c r="D398" s="19" t="s">
        <v>53</v>
      </c>
      <c r="E398" s="19" t="s">
        <v>68</v>
      </c>
      <c r="F398" s="19" t="s">
        <v>32</v>
      </c>
      <c r="G398" s="19" t="s">
        <v>62</v>
      </c>
      <c r="H398" s="19" t="s">
        <v>19</v>
      </c>
      <c r="I398" s="19">
        <v>2</v>
      </c>
      <c r="J398" s="19">
        <v>4666</v>
      </c>
      <c r="K398" s="19">
        <v>28</v>
      </c>
      <c r="L398" s="19">
        <v>6719.04</v>
      </c>
      <c r="M398" s="19">
        <f t="shared" si="18"/>
        <v>1913345.2400000002</v>
      </c>
      <c r="N398" s="20">
        <f t="shared" si="19"/>
        <v>3167.7901324503314</v>
      </c>
      <c r="O398" s="19">
        <f t="shared" si="20"/>
        <v>1502</v>
      </c>
      <c r="P398" s="19" t="str">
        <v>High</v>
      </c>
    </row>
    <row r="399" spans="1:16" x14ac:dyDescent="0.3">
      <c r="A399" s="2" t="s">
        <v>923</v>
      </c>
      <c r="B399" s="2" t="s">
        <v>60</v>
      </c>
      <c r="C399" s="19" t="s">
        <v>924</v>
      </c>
      <c r="D399" s="19" t="s">
        <v>15</v>
      </c>
      <c r="E399" s="19" t="s">
        <v>16</v>
      </c>
      <c r="F399" s="19" t="s">
        <v>49</v>
      </c>
      <c r="G399" s="19" t="s">
        <v>40</v>
      </c>
      <c r="H399" s="19" t="s">
        <v>75</v>
      </c>
      <c r="I399" s="19">
        <v>2</v>
      </c>
      <c r="J399" s="19">
        <v>4141</v>
      </c>
      <c r="K399" s="19">
        <v>19</v>
      </c>
      <c r="L399" s="19">
        <v>6708.42</v>
      </c>
      <c r="M399" s="19">
        <f t="shared" si="18"/>
        <v>1906626.2000000004</v>
      </c>
      <c r="N399" s="20">
        <f t="shared" si="19"/>
        <v>3161.900829187397</v>
      </c>
      <c r="O399" s="19">
        <f t="shared" si="20"/>
        <v>1500</v>
      </c>
      <c r="P399" s="19" t="str">
        <v>High</v>
      </c>
    </row>
    <row r="400" spans="1:16" x14ac:dyDescent="0.3">
      <c r="A400" s="2" t="s">
        <v>402</v>
      </c>
      <c r="B400" s="2" t="s">
        <v>403</v>
      </c>
      <c r="C400" s="19" t="s">
        <v>404</v>
      </c>
      <c r="D400" s="19" t="s">
        <v>53</v>
      </c>
      <c r="E400" s="19" t="s">
        <v>58</v>
      </c>
      <c r="F400" s="19" t="s">
        <v>49</v>
      </c>
      <c r="G400" s="19" t="s">
        <v>40</v>
      </c>
      <c r="H400" s="19" t="s">
        <v>44</v>
      </c>
      <c r="I400" s="19">
        <v>4</v>
      </c>
      <c r="J400" s="19">
        <v>1741</v>
      </c>
      <c r="K400" s="19">
        <v>4</v>
      </c>
      <c r="L400" s="19">
        <v>6685.44</v>
      </c>
      <c r="M400" s="19">
        <f t="shared" si="18"/>
        <v>1899917.7800000005</v>
      </c>
      <c r="N400" s="20">
        <f t="shared" si="19"/>
        <v>3156.0096013289044</v>
      </c>
      <c r="O400" s="19">
        <f t="shared" si="20"/>
        <v>1498</v>
      </c>
      <c r="P400" s="19" t="str">
        <v>High</v>
      </c>
    </row>
    <row r="401" spans="1:16" x14ac:dyDescent="0.3">
      <c r="A401" s="2" t="s">
        <v>1569</v>
      </c>
      <c r="B401" s="2" t="s">
        <v>1338</v>
      </c>
      <c r="C401" s="19" t="s">
        <v>438</v>
      </c>
      <c r="D401" s="19" t="s">
        <v>15</v>
      </c>
      <c r="E401" s="19" t="s">
        <v>58</v>
      </c>
      <c r="F401" s="19" t="s">
        <v>17</v>
      </c>
      <c r="G401" s="19" t="s">
        <v>18</v>
      </c>
      <c r="H401" s="19" t="s">
        <v>33</v>
      </c>
      <c r="I401" s="19">
        <v>4</v>
      </c>
      <c r="J401" s="19">
        <v>1866</v>
      </c>
      <c r="K401" s="19">
        <v>11</v>
      </c>
      <c r="L401" s="19">
        <v>6642.96</v>
      </c>
      <c r="M401" s="19">
        <f t="shared" si="18"/>
        <v>1893232.3400000005</v>
      </c>
      <c r="N401" s="20">
        <f t="shared" si="19"/>
        <v>3150.1370049916814</v>
      </c>
      <c r="O401" s="19">
        <f t="shared" si="20"/>
        <v>1494</v>
      </c>
      <c r="P401" s="19" t="str">
        <v>High</v>
      </c>
    </row>
    <row r="402" spans="1:16" x14ac:dyDescent="0.3">
      <c r="A402" s="2" t="s">
        <v>730</v>
      </c>
      <c r="B402" s="2" t="s">
        <v>731</v>
      </c>
      <c r="C402" s="19" t="s">
        <v>732</v>
      </c>
      <c r="D402" s="19" t="s">
        <v>15</v>
      </c>
      <c r="E402" s="19" t="s">
        <v>24</v>
      </c>
      <c r="F402" s="19" t="s">
        <v>32</v>
      </c>
      <c r="G402" s="19" t="s">
        <v>62</v>
      </c>
      <c r="H402" s="19" t="s">
        <v>44</v>
      </c>
      <c r="I402" s="19">
        <v>5</v>
      </c>
      <c r="J402" s="19">
        <v>1562</v>
      </c>
      <c r="K402" s="19">
        <v>15</v>
      </c>
      <c r="L402" s="19">
        <v>6638.5</v>
      </c>
      <c r="M402" s="19">
        <f t="shared" si="18"/>
        <v>1886589.3800000006</v>
      </c>
      <c r="N402" s="20">
        <f t="shared" si="19"/>
        <v>3144.3156333333345</v>
      </c>
      <c r="O402" s="19">
        <f t="shared" si="20"/>
        <v>1490</v>
      </c>
      <c r="P402" s="19" t="str">
        <v>High</v>
      </c>
    </row>
    <row r="403" spans="1:16" x14ac:dyDescent="0.3">
      <c r="A403" s="2" t="s">
        <v>1492</v>
      </c>
      <c r="B403" s="2" t="s">
        <v>290</v>
      </c>
      <c r="C403" s="19" t="s">
        <v>491</v>
      </c>
      <c r="D403" s="19" t="s">
        <v>15</v>
      </c>
      <c r="E403" s="19" t="s">
        <v>24</v>
      </c>
      <c r="F403" s="19" t="s">
        <v>40</v>
      </c>
      <c r="G403" s="19" t="s">
        <v>54</v>
      </c>
      <c r="H403" s="19" t="s">
        <v>19</v>
      </c>
      <c r="I403" s="19">
        <v>3</v>
      </c>
      <c r="J403" s="19">
        <v>2270</v>
      </c>
      <c r="K403" s="19">
        <v>3</v>
      </c>
      <c r="L403" s="19">
        <v>6605.7</v>
      </c>
      <c r="M403" s="19">
        <f t="shared" si="18"/>
        <v>1879950.8800000006</v>
      </c>
      <c r="N403" s="20">
        <f t="shared" si="19"/>
        <v>3138.4822704507524</v>
      </c>
      <c r="O403" s="19">
        <f t="shared" si="20"/>
        <v>1485</v>
      </c>
      <c r="P403" s="19" t="str">
        <v>High</v>
      </c>
    </row>
    <row r="404" spans="1:16" x14ac:dyDescent="0.3">
      <c r="A404" s="2" t="s">
        <v>530</v>
      </c>
      <c r="B404" s="2" t="s">
        <v>86</v>
      </c>
      <c r="C404" s="19" t="s">
        <v>97</v>
      </c>
      <c r="D404" s="19" t="s">
        <v>88</v>
      </c>
      <c r="E404" s="19" t="s">
        <v>31</v>
      </c>
      <c r="F404" s="19" t="s">
        <v>49</v>
      </c>
      <c r="G404" s="19" t="s">
        <v>54</v>
      </c>
      <c r="H404" s="19" t="s">
        <v>19</v>
      </c>
      <c r="I404" s="19">
        <v>2</v>
      </c>
      <c r="J404" s="19">
        <v>3767</v>
      </c>
      <c r="K404" s="19">
        <v>13</v>
      </c>
      <c r="L404" s="19">
        <v>6554.58</v>
      </c>
      <c r="M404" s="19">
        <f t="shared" si="18"/>
        <v>1873345.1800000006</v>
      </c>
      <c r="N404" s="20">
        <f t="shared" si="19"/>
        <v>3132.6842474916398</v>
      </c>
      <c r="O404" s="19">
        <f t="shared" si="20"/>
        <v>1482</v>
      </c>
      <c r="P404" s="19" t="str">
        <v>High</v>
      </c>
    </row>
    <row r="405" spans="1:16" x14ac:dyDescent="0.3">
      <c r="A405" s="2" t="s">
        <v>1059</v>
      </c>
      <c r="B405" s="2" t="s">
        <v>1003</v>
      </c>
      <c r="C405" s="19" t="s">
        <v>999</v>
      </c>
      <c r="D405" s="19" t="s">
        <v>53</v>
      </c>
      <c r="E405" s="19" t="s">
        <v>24</v>
      </c>
      <c r="F405" s="19" t="s">
        <v>25</v>
      </c>
      <c r="G405" s="19" t="s">
        <v>18</v>
      </c>
      <c r="H405" s="19" t="s">
        <v>19</v>
      </c>
      <c r="I405" s="19">
        <v>4</v>
      </c>
      <c r="J405" s="19">
        <v>2152</v>
      </c>
      <c r="K405" s="19">
        <v>24</v>
      </c>
      <c r="L405" s="19">
        <v>6542.08</v>
      </c>
      <c r="M405" s="19">
        <f t="shared" si="18"/>
        <v>1866790.6000000008</v>
      </c>
      <c r="N405" s="20">
        <f t="shared" si="19"/>
        <v>3126.9524288107218</v>
      </c>
      <c r="O405" s="19">
        <f t="shared" si="20"/>
        <v>1480</v>
      </c>
      <c r="P405" s="19" t="str">
        <v>High</v>
      </c>
    </row>
    <row r="406" spans="1:16" x14ac:dyDescent="0.3">
      <c r="A406" s="2" t="s">
        <v>1329</v>
      </c>
      <c r="B406" s="2" t="s">
        <v>205</v>
      </c>
      <c r="C406" s="19" t="s">
        <v>163</v>
      </c>
      <c r="D406" s="19" t="s">
        <v>88</v>
      </c>
      <c r="E406" s="19" t="s">
        <v>58</v>
      </c>
      <c r="F406" s="19" t="s">
        <v>25</v>
      </c>
      <c r="G406" s="19" t="s">
        <v>54</v>
      </c>
      <c r="H406" s="19" t="s">
        <v>19</v>
      </c>
      <c r="I406" s="19">
        <v>3</v>
      </c>
      <c r="J406" s="19">
        <v>2982</v>
      </c>
      <c r="K406" s="19">
        <v>27</v>
      </c>
      <c r="L406" s="19">
        <v>6530.58</v>
      </c>
      <c r="M406" s="19">
        <f t="shared" si="18"/>
        <v>1860248.5200000009</v>
      </c>
      <c r="N406" s="20">
        <f t="shared" si="19"/>
        <v>3121.2223489932903</v>
      </c>
      <c r="O406" s="19">
        <f t="shared" si="20"/>
        <v>1476</v>
      </c>
      <c r="P406" s="19" t="str">
        <v>High</v>
      </c>
    </row>
    <row r="407" spans="1:16" x14ac:dyDescent="0.3">
      <c r="A407" s="2" t="s">
        <v>1293</v>
      </c>
      <c r="B407" s="2" t="s">
        <v>474</v>
      </c>
      <c r="C407" s="19" t="s">
        <v>264</v>
      </c>
      <c r="D407" s="19" t="s">
        <v>30</v>
      </c>
      <c r="E407" s="19" t="s">
        <v>79</v>
      </c>
      <c r="F407" s="19" t="s">
        <v>49</v>
      </c>
      <c r="G407" s="19" t="s">
        <v>62</v>
      </c>
      <c r="H407" s="19" t="s">
        <v>33</v>
      </c>
      <c r="I407" s="19">
        <v>3</v>
      </c>
      <c r="J407" s="19">
        <v>2585</v>
      </c>
      <c r="K407" s="19">
        <v>16</v>
      </c>
      <c r="L407" s="19">
        <v>6514.2</v>
      </c>
      <c r="M407" s="19">
        <f t="shared" si="18"/>
        <v>1853717.9400000011</v>
      </c>
      <c r="N407" s="20">
        <f t="shared" si="19"/>
        <v>3115.4923361344559</v>
      </c>
      <c r="O407" s="19">
        <f t="shared" si="20"/>
        <v>1473</v>
      </c>
      <c r="P407" s="19" t="str">
        <v>High</v>
      </c>
    </row>
    <row r="408" spans="1:16" x14ac:dyDescent="0.3">
      <c r="A408" s="2" t="s">
        <v>744</v>
      </c>
      <c r="B408" s="2" t="s">
        <v>366</v>
      </c>
      <c r="C408" s="19" t="s">
        <v>317</v>
      </c>
      <c r="D408" s="19" t="s">
        <v>53</v>
      </c>
      <c r="E408" s="19" t="s">
        <v>24</v>
      </c>
      <c r="F408" s="19" t="s">
        <v>25</v>
      </c>
      <c r="G408" s="19" t="s">
        <v>18</v>
      </c>
      <c r="H408" s="19" t="s">
        <v>75</v>
      </c>
      <c r="I408" s="19">
        <v>2</v>
      </c>
      <c r="J408" s="19">
        <v>3870</v>
      </c>
      <c r="K408" s="19">
        <v>16</v>
      </c>
      <c r="L408" s="19">
        <v>6501.6</v>
      </c>
      <c r="M408" s="19">
        <f t="shared" si="18"/>
        <v>1847203.7400000012</v>
      </c>
      <c r="N408" s="20">
        <f t="shared" si="19"/>
        <v>3109.7706060606079</v>
      </c>
      <c r="O408" s="19">
        <f t="shared" si="20"/>
        <v>1470</v>
      </c>
      <c r="P408" s="19" t="str">
        <v>High</v>
      </c>
    </row>
    <row r="409" spans="1:16" x14ac:dyDescent="0.3">
      <c r="A409" s="2" t="s">
        <v>120</v>
      </c>
      <c r="B409" s="2" t="s">
        <v>121</v>
      </c>
      <c r="C409" s="19" t="s">
        <v>102</v>
      </c>
      <c r="D409" s="19" t="s">
        <v>15</v>
      </c>
      <c r="E409" s="19" t="s">
        <v>79</v>
      </c>
      <c r="F409" s="19" t="s">
        <v>40</v>
      </c>
      <c r="G409" s="19" t="s">
        <v>18</v>
      </c>
      <c r="H409" s="19" t="s">
        <v>19</v>
      </c>
      <c r="I409" s="19">
        <v>5</v>
      </c>
      <c r="J409" s="19">
        <v>1645</v>
      </c>
      <c r="K409" s="19">
        <v>21</v>
      </c>
      <c r="L409" s="19">
        <v>6497.75</v>
      </c>
      <c r="M409" s="19">
        <f t="shared" si="18"/>
        <v>1840702.1400000011</v>
      </c>
      <c r="N409" s="20">
        <f t="shared" si="19"/>
        <v>3104.050826306916</v>
      </c>
      <c r="O409" s="19">
        <f t="shared" si="20"/>
        <v>1468</v>
      </c>
      <c r="P409" s="19" t="str">
        <v>High</v>
      </c>
    </row>
    <row r="410" spans="1:16" x14ac:dyDescent="0.3">
      <c r="A410" s="2" t="s">
        <v>1152</v>
      </c>
      <c r="B410" s="2" t="s">
        <v>1153</v>
      </c>
      <c r="C410" s="19" t="s">
        <v>317</v>
      </c>
      <c r="D410" s="19" t="s">
        <v>88</v>
      </c>
      <c r="E410" s="19" t="s">
        <v>79</v>
      </c>
      <c r="F410" s="19" t="s">
        <v>40</v>
      </c>
      <c r="G410" s="19" t="s">
        <v>54</v>
      </c>
      <c r="H410" s="19" t="s">
        <v>44</v>
      </c>
      <c r="I410" s="19">
        <v>5</v>
      </c>
      <c r="J410" s="19">
        <v>1488</v>
      </c>
      <c r="K410" s="19">
        <v>13</v>
      </c>
      <c r="L410" s="19">
        <v>6472.8</v>
      </c>
      <c r="M410" s="19">
        <f t="shared" si="18"/>
        <v>1834204.3900000011</v>
      </c>
      <c r="N410" s="20">
        <f t="shared" si="19"/>
        <v>3098.3182263513531</v>
      </c>
      <c r="O410" s="19">
        <f t="shared" si="20"/>
        <v>1463</v>
      </c>
      <c r="P410" s="19" t="str">
        <v>High</v>
      </c>
    </row>
    <row r="411" spans="1:16" x14ac:dyDescent="0.3">
      <c r="A411" s="2" t="s">
        <v>1548</v>
      </c>
      <c r="B411" s="2" t="s">
        <v>168</v>
      </c>
      <c r="C411" s="19" t="s">
        <v>493</v>
      </c>
      <c r="D411" s="19" t="s">
        <v>53</v>
      </c>
      <c r="E411" s="19" t="s">
        <v>16</v>
      </c>
      <c r="F411" s="19" t="s">
        <v>40</v>
      </c>
      <c r="G411" s="19" t="s">
        <v>40</v>
      </c>
      <c r="H411" s="19" t="s">
        <v>19</v>
      </c>
      <c r="I411" s="19">
        <v>2</v>
      </c>
      <c r="J411" s="19">
        <v>3233</v>
      </c>
      <c r="K411" s="19">
        <v>0</v>
      </c>
      <c r="L411" s="19">
        <v>6466</v>
      </c>
      <c r="M411" s="19">
        <f t="shared" si="18"/>
        <v>1827731.5900000012</v>
      </c>
      <c r="N411" s="20">
        <f t="shared" si="19"/>
        <v>3092.6084433164151</v>
      </c>
      <c r="O411" s="19">
        <f t="shared" si="20"/>
        <v>1458</v>
      </c>
      <c r="P411" s="19" t="str">
        <v>High</v>
      </c>
    </row>
    <row r="412" spans="1:16" x14ac:dyDescent="0.3">
      <c r="A412" s="2" t="s">
        <v>1081</v>
      </c>
      <c r="B412" s="2" t="s">
        <v>662</v>
      </c>
      <c r="C412" s="19" t="s">
        <v>655</v>
      </c>
      <c r="D412" s="19" t="s">
        <v>15</v>
      </c>
      <c r="E412" s="19" t="s">
        <v>68</v>
      </c>
      <c r="F412" s="19" t="s">
        <v>32</v>
      </c>
      <c r="G412" s="19" t="s">
        <v>18</v>
      </c>
      <c r="H412" s="19" t="s">
        <v>75</v>
      </c>
      <c r="I412" s="19">
        <v>2</v>
      </c>
      <c r="J412" s="19">
        <v>3501</v>
      </c>
      <c r="K412" s="19">
        <v>8</v>
      </c>
      <c r="L412" s="19">
        <v>6441.84</v>
      </c>
      <c r="M412" s="19">
        <f t="shared" si="18"/>
        <v>1821265.5900000012</v>
      </c>
      <c r="N412" s="20">
        <f t="shared" si="19"/>
        <v>3086.8908305084765</v>
      </c>
      <c r="O412" s="19">
        <f t="shared" si="20"/>
        <v>1456</v>
      </c>
      <c r="P412" s="19" t="str">
        <v>High</v>
      </c>
    </row>
    <row r="413" spans="1:16" x14ac:dyDescent="0.3">
      <c r="A413" s="2" t="s">
        <v>198</v>
      </c>
      <c r="B413" s="2" t="s">
        <v>174</v>
      </c>
      <c r="C413" s="19" t="s">
        <v>71</v>
      </c>
      <c r="D413" s="19" t="s">
        <v>30</v>
      </c>
      <c r="E413" s="19" t="s">
        <v>79</v>
      </c>
      <c r="F413" s="19" t="s">
        <v>17</v>
      </c>
      <c r="G413" s="19" t="s">
        <v>40</v>
      </c>
      <c r="H413" s="19" t="s">
        <v>33</v>
      </c>
      <c r="I413" s="19">
        <v>2</v>
      </c>
      <c r="J413" s="19">
        <v>4120</v>
      </c>
      <c r="K413" s="19">
        <v>22</v>
      </c>
      <c r="L413" s="19">
        <v>6427.2</v>
      </c>
      <c r="M413" s="19">
        <f t="shared" si="18"/>
        <v>1814823.7500000014</v>
      </c>
      <c r="N413" s="20">
        <f t="shared" si="19"/>
        <v>3081.1948217317513</v>
      </c>
      <c r="O413" s="19">
        <f t="shared" si="20"/>
        <v>1454</v>
      </c>
      <c r="P413" s="19" t="str">
        <v>High</v>
      </c>
    </row>
    <row r="414" spans="1:16" x14ac:dyDescent="0.3">
      <c r="A414" s="2" t="s">
        <v>1309</v>
      </c>
      <c r="B414" s="2" t="s">
        <v>509</v>
      </c>
      <c r="C414" s="19" t="s">
        <v>649</v>
      </c>
      <c r="D414" s="19" t="s">
        <v>30</v>
      </c>
      <c r="E414" s="19" t="s">
        <v>68</v>
      </c>
      <c r="F414" s="19" t="s">
        <v>40</v>
      </c>
      <c r="G414" s="19" t="s">
        <v>40</v>
      </c>
      <c r="H414" s="19" t="s">
        <v>19</v>
      </c>
      <c r="I414" s="19">
        <v>3</v>
      </c>
      <c r="J414" s="19">
        <v>2275</v>
      </c>
      <c r="K414" s="19">
        <v>6</v>
      </c>
      <c r="L414" s="19">
        <v>6415.5</v>
      </c>
      <c r="M414" s="19">
        <f t="shared" si="18"/>
        <v>1808396.5500000012</v>
      </c>
      <c r="N414" s="20">
        <f t="shared" si="19"/>
        <v>3075.5043367346962</v>
      </c>
      <c r="O414" s="19">
        <f t="shared" si="20"/>
        <v>1452</v>
      </c>
      <c r="P414" s="19" t="str">
        <v>High</v>
      </c>
    </row>
    <row r="415" spans="1:16" x14ac:dyDescent="0.3">
      <c r="A415" s="2" t="s">
        <v>1535</v>
      </c>
      <c r="B415" s="2" t="s">
        <v>213</v>
      </c>
      <c r="C415" s="19" t="s">
        <v>305</v>
      </c>
      <c r="D415" s="19" t="s">
        <v>15</v>
      </c>
      <c r="E415" s="19" t="s">
        <v>16</v>
      </c>
      <c r="F415" s="19" t="s">
        <v>17</v>
      </c>
      <c r="G415" s="19" t="s">
        <v>62</v>
      </c>
      <c r="H415" s="19" t="s">
        <v>44</v>
      </c>
      <c r="I415" s="19">
        <v>2</v>
      </c>
      <c r="J415" s="19">
        <v>4100</v>
      </c>
      <c r="K415" s="19">
        <v>22</v>
      </c>
      <c r="L415" s="19">
        <v>6396</v>
      </c>
      <c r="M415" s="19">
        <f t="shared" si="18"/>
        <v>1801981.0500000017</v>
      </c>
      <c r="N415" s="20">
        <f t="shared" si="19"/>
        <v>3069.8143952299856</v>
      </c>
      <c r="O415" s="19">
        <f t="shared" si="20"/>
        <v>1449</v>
      </c>
      <c r="P415" s="19" t="str">
        <v>High</v>
      </c>
    </row>
    <row r="416" spans="1:16" x14ac:dyDescent="0.3">
      <c r="A416" s="2" t="s">
        <v>1414</v>
      </c>
      <c r="B416" s="2" t="s">
        <v>392</v>
      </c>
      <c r="C416" s="19" t="s">
        <v>393</v>
      </c>
      <c r="D416" s="19" t="s">
        <v>88</v>
      </c>
      <c r="E416" s="19" t="s">
        <v>79</v>
      </c>
      <c r="F416" s="19" t="s">
        <v>25</v>
      </c>
      <c r="G416" s="19" t="s">
        <v>54</v>
      </c>
      <c r="H416" s="19" t="s">
        <v>33</v>
      </c>
      <c r="I416" s="19">
        <v>4</v>
      </c>
      <c r="J416" s="19">
        <v>2042</v>
      </c>
      <c r="K416" s="19">
        <v>22</v>
      </c>
      <c r="L416" s="19">
        <v>6371.04</v>
      </c>
      <c r="M416" s="19">
        <f t="shared" si="18"/>
        <v>1795585.0500000017</v>
      </c>
      <c r="N416" s="20">
        <f t="shared" si="19"/>
        <v>3064.1383105802074</v>
      </c>
      <c r="O416" s="19">
        <f t="shared" si="20"/>
        <v>1447</v>
      </c>
      <c r="P416" s="19" t="str">
        <v>High</v>
      </c>
    </row>
    <row r="417" spans="1:16" x14ac:dyDescent="0.3">
      <c r="A417" s="2" t="s">
        <v>1097</v>
      </c>
      <c r="B417" s="2" t="s">
        <v>1098</v>
      </c>
      <c r="C417" s="19" t="s">
        <v>475</v>
      </c>
      <c r="D417" s="19" t="s">
        <v>53</v>
      </c>
      <c r="E417" s="19" t="s">
        <v>79</v>
      </c>
      <c r="F417" s="19" t="s">
        <v>40</v>
      </c>
      <c r="G417" s="19" t="s">
        <v>26</v>
      </c>
      <c r="H417" s="19" t="s">
        <v>19</v>
      </c>
      <c r="I417" s="19">
        <v>2</v>
      </c>
      <c r="J417" s="19">
        <v>3315</v>
      </c>
      <c r="K417" s="19">
        <v>4</v>
      </c>
      <c r="L417" s="19">
        <v>6364.8</v>
      </c>
      <c r="M417" s="19">
        <f t="shared" si="18"/>
        <v>1789214.0100000016</v>
      </c>
      <c r="N417" s="20">
        <f t="shared" si="19"/>
        <v>3058.4854871794901</v>
      </c>
      <c r="O417" s="19">
        <f t="shared" si="20"/>
        <v>1443</v>
      </c>
      <c r="P417" s="19" t="str">
        <v>High</v>
      </c>
    </row>
    <row r="418" spans="1:16" x14ac:dyDescent="0.3">
      <c r="A418" s="2" t="s">
        <v>545</v>
      </c>
      <c r="B418" s="2" t="s">
        <v>528</v>
      </c>
      <c r="C418" s="19" t="s">
        <v>546</v>
      </c>
      <c r="D418" s="19" t="s">
        <v>30</v>
      </c>
      <c r="E418" s="19" t="s">
        <v>31</v>
      </c>
      <c r="F418" s="19" t="s">
        <v>40</v>
      </c>
      <c r="G418" s="19" t="s">
        <v>62</v>
      </c>
      <c r="H418" s="19" t="s">
        <v>75</v>
      </c>
      <c r="I418" s="19">
        <v>3</v>
      </c>
      <c r="J418" s="19">
        <v>2718</v>
      </c>
      <c r="K418" s="19">
        <v>22</v>
      </c>
      <c r="L418" s="19">
        <v>6360.12</v>
      </c>
      <c r="M418" s="19">
        <f t="shared" si="18"/>
        <v>1782849.2100000018</v>
      </c>
      <c r="N418" s="20">
        <f t="shared" si="19"/>
        <v>3052.8239897260305</v>
      </c>
      <c r="O418" s="19">
        <f t="shared" si="20"/>
        <v>1441</v>
      </c>
      <c r="P418" s="19" t="str">
        <v>High</v>
      </c>
    </row>
    <row r="419" spans="1:16" x14ac:dyDescent="0.3">
      <c r="A419" s="2" t="s">
        <v>1353</v>
      </c>
      <c r="B419" s="2" t="s">
        <v>355</v>
      </c>
      <c r="C419" s="19" t="s">
        <v>558</v>
      </c>
      <c r="D419" s="19" t="s">
        <v>88</v>
      </c>
      <c r="E419" s="19" t="s">
        <v>79</v>
      </c>
      <c r="F419" s="19" t="s">
        <v>40</v>
      </c>
      <c r="G419" s="19" t="s">
        <v>26</v>
      </c>
      <c r="H419" s="19" t="s">
        <v>33</v>
      </c>
      <c r="I419" s="19">
        <v>2</v>
      </c>
      <c r="J419" s="19">
        <v>3521</v>
      </c>
      <c r="K419" s="19">
        <v>10</v>
      </c>
      <c r="L419" s="19">
        <v>6337.8</v>
      </c>
      <c r="M419" s="19">
        <f t="shared" si="18"/>
        <v>1776489.0900000015</v>
      </c>
      <c r="N419" s="20">
        <f t="shared" si="19"/>
        <v>3047.1510977701569</v>
      </c>
      <c r="O419" s="19">
        <f t="shared" si="20"/>
        <v>1438</v>
      </c>
      <c r="P419" s="19" t="str">
        <v>High</v>
      </c>
    </row>
    <row r="420" spans="1:16" x14ac:dyDescent="0.3">
      <c r="A420" s="2" t="s">
        <v>115</v>
      </c>
      <c r="B420" s="2" t="s">
        <v>116</v>
      </c>
      <c r="C420" s="19" t="s">
        <v>117</v>
      </c>
      <c r="D420" s="19" t="s">
        <v>53</v>
      </c>
      <c r="E420" s="19" t="s">
        <v>31</v>
      </c>
      <c r="F420" s="19" t="s">
        <v>32</v>
      </c>
      <c r="G420" s="19" t="s">
        <v>18</v>
      </c>
      <c r="H420" s="19" t="s">
        <v>75</v>
      </c>
      <c r="I420" s="19">
        <v>4</v>
      </c>
      <c r="J420" s="19">
        <v>2139</v>
      </c>
      <c r="K420" s="19">
        <v>26</v>
      </c>
      <c r="L420" s="19">
        <v>6331.44</v>
      </c>
      <c r="M420" s="19">
        <f t="shared" si="18"/>
        <v>1770151.2900000014</v>
      </c>
      <c r="N420" s="20">
        <f t="shared" si="19"/>
        <v>3041.4970618556727</v>
      </c>
      <c r="O420" s="19">
        <f t="shared" si="20"/>
        <v>1436</v>
      </c>
      <c r="P420" s="19" t="str">
        <v>High</v>
      </c>
    </row>
    <row r="421" spans="1:16" x14ac:dyDescent="0.3">
      <c r="A421" s="2" t="s">
        <v>439</v>
      </c>
      <c r="B421" s="2" t="s">
        <v>440</v>
      </c>
      <c r="C421" s="19" t="s">
        <v>441</v>
      </c>
      <c r="D421" s="19" t="s">
        <v>30</v>
      </c>
      <c r="E421" s="19" t="s">
        <v>24</v>
      </c>
      <c r="F421" s="19" t="s">
        <v>32</v>
      </c>
      <c r="G421" s="19" t="s">
        <v>62</v>
      </c>
      <c r="H421" s="19" t="s">
        <v>44</v>
      </c>
      <c r="I421" s="19">
        <v>5</v>
      </c>
      <c r="J421" s="19">
        <v>1730</v>
      </c>
      <c r="K421" s="19">
        <v>27</v>
      </c>
      <c r="L421" s="19">
        <v>6314.5</v>
      </c>
      <c r="M421" s="19">
        <f t="shared" si="18"/>
        <v>1763819.8500000015</v>
      </c>
      <c r="N421" s="20">
        <f t="shared" si="19"/>
        <v>3035.8345094664396</v>
      </c>
      <c r="O421" s="19">
        <f t="shared" si="20"/>
        <v>1432</v>
      </c>
      <c r="P421" s="19" t="str">
        <v>High</v>
      </c>
    </row>
    <row r="422" spans="1:16" x14ac:dyDescent="0.3">
      <c r="A422" s="2" t="s">
        <v>857</v>
      </c>
      <c r="B422" s="2" t="s">
        <v>349</v>
      </c>
      <c r="C422" s="19" t="s">
        <v>858</v>
      </c>
      <c r="D422" s="19" t="s">
        <v>30</v>
      </c>
      <c r="E422" s="19" t="s">
        <v>16</v>
      </c>
      <c r="F422" s="19" t="s">
        <v>40</v>
      </c>
      <c r="G422" s="19" t="s">
        <v>54</v>
      </c>
      <c r="H422" s="19" t="s">
        <v>33</v>
      </c>
      <c r="I422" s="19">
        <v>2</v>
      </c>
      <c r="J422" s="19">
        <v>4154</v>
      </c>
      <c r="K422" s="19">
        <v>24</v>
      </c>
      <c r="L422" s="19">
        <v>6314.08</v>
      </c>
      <c r="M422" s="19">
        <f t="shared" si="18"/>
        <v>1757505.3500000015</v>
      </c>
      <c r="N422" s="20">
        <f t="shared" si="19"/>
        <v>3030.1816379310371</v>
      </c>
      <c r="O422" s="19">
        <f t="shared" si="20"/>
        <v>1427</v>
      </c>
      <c r="P422" s="19" t="str">
        <v>High</v>
      </c>
    </row>
    <row r="423" spans="1:16" x14ac:dyDescent="0.3">
      <c r="A423" s="2" t="s">
        <v>920</v>
      </c>
      <c r="B423" s="2" t="s">
        <v>174</v>
      </c>
      <c r="C423" s="19" t="s">
        <v>921</v>
      </c>
      <c r="D423" s="19" t="s">
        <v>88</v>
      </c>
      <c r="E423" s="19" t="s">
        <v>58</v>
      </c>
      <c r="F423" s="19" t="s">
        <v>25</v>
      </c>
      <c r="G423" s="19" t="s">
        <v>26</v>
      </c>
      <c r="H423" s="19" t="s">
        <v>33</v>
      </c>
      <c r="I423" s="19">
        <v>2</v>
      </c>
      <c r="J423" s="19">
        <v>3623</v>
      </c>
      <c r="K423" s="19">
        <v>13</v>
      </c>
      <c r="L423" s="19">
        <v>6304.02</v>
      </c>
      <c r="M423" s="19">
        <f t="shared" si="18"/>
        <v>1751191.2700000014</v>
      </c>
      <c r="N423" s="20">
        <f t="shared" si="19"/>
        <v>3024.5099654576879</v>
      </c>
      <c r="O423" s="19">
        <f t="shared" si="20"/>
        <v>1425</v>
      </c>
      <c r="P423" s="19" t="str">
        <v>High</v>
      </c>
    </row>
    <row r="424" spans="1:16" x14ac:dyDescent="0.3">
      <c r="A424" s="2" t="s">
        <v>1188</v>
      </c>
      <c r="B424" s="2" t="s">
        <v>895</v>
      </c>
      <c r="C424" s="19" t="s">
        <v>619</v>
      </c>
      <c r="D424" s="19" t="s">
        <v>30</v>
      </c>
      <c r="E424" s="19" t="s">
        <v>31</v>
      </c>
      <c r="F424" s="19" t="s">
        <v>40</v>
      </c>
      <c r="G424" s="19" t="s">
        <v>54</v>
      </c>
      <c r="H424" s="19" t="s">
        <v>33</v>
      </c>
      <c r="I424" s="19">
        <v>5</v>
      </c>
      <c r="J424" s="19">
        <v>1773</v>
      </c>
      <c r="K424" s="19">
        <v>29</v>
      </c>
      <c r="L424" s="19">
        <v>6294.15</v>
      </c>
      <c r="M424" s="19">
        <f t="shared" si="18"/>
        <v>1744887.2500000014</v>
      </c>
      <c r="N424" s="20">
        <f t="shared" si="19"/>
        <v>3018.8360726643623</v>
      </c>
      <c r="O424" s="19">
        <f t="shared" si="20"/>
        <v>1423</v>
      </c>
      <c r="P424" s="19" t="str">
        <v>High</v>
      </c>
    </row>
    <row r="425" spans="1:16" x14ac:dyDescent="0.3">
      <c r="A425" s="2" t="s">
        <v>1239</v>
      </c>
      <c r="B425" s="2" t="s">
        <v>1240</v>
      </c>
      <c r="C425" s="19" t="s">
        <v>915</v>
      </c>
      <c r="D425" s="19" t="s">
        <v>30</v>
      </c>
      <c r="E425" s="19" t="s">
        <v>68</v>
      </c>
      <c r="F425" s="19" t="s">
        <v>17</v>
      </c>
      <c r="G425" s="19" t="s">
        <v>54</v>
      </c>
      <c r="H425" s="19" t="s">
        <v>33</v>
      </c>
      <c r="I425" s="19">
        <v>3</v>
      </c>
      <c r="J425" s="19">
        <v>2204</v>
      </c>
      <c r="K425" s="19">
        <v>5</v>
      </c>
      <c r="L425" s="19">
        <v>6281.4</v>
      </c>
      <c r="M425" s="19">
        <f t="shared" si="18"/>
        <v>1738593.1000000013</v>
      </c>
      <c r="N425" s="20">
        <f t="shared" si="19"/>
        <v>3013.1596187175064</v>
      </c>
      <c r="O425" s="19">
        <f t="shared" si="20"/>
        <v>1418</v>
      </c>
      <c r="P425" s="19" t="str">
        <v>High</v>
      </c>
    </row>
    <row r="426" spans="1:16" x14ac:dyDescent="0.3">
      <c r="A426" s="2" t="s">
        <v>1458</v>
      </c>
      <c r="B426" s="2" t="s">
        <v>307</v>
      </c>
      <c r="C426" s="19" t="s">
        <v>1130</v>
      </c>
      <c r="D426" s="19" t="s">
        <v>53</v>
      </c>
      <c r="E426" s="19" t="s">
        <v>58</v>
      </c>
      <c r="F426" s="19" t="s">
        <v>49</v>
      </c>
      <c r="G426" s="19" t="s">
        <v>54</v>
      </c>
      <c r="H426" s="19" t="s">
        <v>44</v>
      </c>
      <c r="I426" s="19">
        <v>4</v>
      </c>
      <c r="J426" s="19">
        <v>1847</v>
      </c>
      <c r="K426" s="19">
        <v>15</v>
      </c>
      <c r="L426" s="19">
        <v>6279.8</v>
      </c>
      <c r="M426" s="19">
        <f t="shared" si="18"/>
        <v>1732311.7000000014</v>
      </c>
      <c r="N426" s="20">
        <f t="shared" si="19"/>
        <v>3007.4855902777799</v>
      </c>
      <c r="O426" s="19">
        <f t="shared" si="20"/>
        <v>1415</v>
      </c>
      <c r="P426" s="19" t="str">
        <v>High</v>
      </c>
    </row>
    <row r="427" spans="1:16" x14ac:dyDescent="0.3">
      <c r="A427" s="2" t="s">
        <v>914</v>
      </c>
      <c r="B427" s="2" t="s">
        <v>427</v>
      </c>
      <c r="C427" s="19" t="s">
        <v>915</v>
      </c>
      <c r="D427" s="19" t="s">
        <v>53</v>
      </c>
      <c r="E427" s="19" t="s">
        <v>68</v>
      </c>
      <c r="F427" s="19" t="s">
        <v>49</v>
      </c>
      <c r="G427" s="19" t="s">
        <v>40</v>
      </c>
      <c r="H427" s="19" t="s">
        <v>33</v>
      </c>
      <c r="I427" s="19">
        <v>2</v>
      </c>
      <c r="J427" s="19">
        <v>3305</v>
      </c>
      <c r="K427" s="19">
        <v>5</v>
      </c>
      <c r="L427" s="19">
        <v>6279.5</v>
      </c>
      <c r="M427" s="19">
        <f t="shared" si="18"/>
        <v>1726031.9000000013</v>
      </c>
      <c r="N427" s="20">
        <f t="shared" si="19"/>
        <v>3001.7946086956545</v>
      </c>
      <c r="O427" s="19">
        <f t="shared" si="20"/>
        <v>1411</v>
      </c>
      <c r="P427" s="19" t="str">
        <v>High</v>
      </c>
    </row>
    <row r="428" spans="1:16" x14ac:dyDescent="0.3">
      <c r="A428" s="2" t="s">
        <v>525</v>
      </c>
      <c r="B428" s="2" t="s">
        <v>358</v>
      </c>
      <c r="C428" s="19" t="s">
        <v>526</v>
      </c>
      <c r="D428" s="19" t="s">
        <v>23</v>
      </c>
      <c r="E428" s="19" t="s">
        <v>31</v>
      </c>
      <c r="F428" s="19" t="s">
        <v>17</v>
      </c>
      <c r="G428" s="19" t="s">
        <v>26</v>
      </c>
      <c r="H428" s="19" t="s">
        <v>33</v>
      </c>
      <c r="I428" s="19">
        <v>4</v>
      </c>
      <c r="J428" s="19">
        <v>1762</v>
      </c>
      <c r="K428" s="19">
        <v>11</v>
      </c>
      <c r="L428" s="19">
        <v>6272.72</v>
      </c>
      <c r="M428" s="19">
        <f t="shared" si="18"/>
        <v>1719752.4000000013</v>
      </c>
      <c r="N428" s="20">
        <f t="shared" si="19"/>
        <v>2996.0843205574934</v>
      </c>
      <c r="O428" s="19">
        <f t="shared" si="20"/>
        <v>1409</v>
      </c>
      <c r="P428" s="19" t="str">
        <v>High</v>
      </c>
    </row>
    <row r="429" spans="1:16" x14ac:dyDescent="0.3">
      <c r="A429" s="2" t="s">
        <v>343</v>
      </c>
      <c r="B429" s="2" t="s">
        <v>287</v>
      </c>
      <c r="C429" s="19" t="s">
        <v>344</v>
      </c>
      <c r="D429" s="19" t="s">
        <v>88</v>
      </c>
      <c r="E429" s="19" t="s">
        <v>68</v>
      </c>
      <c r="F429" s="19" t="s">
        <v>40</v>
      </c>
      <c r="G429" s="19" t="s">
        <v>54</v>
      </c>
      <c r="H429" s="19" t="s">
        <v>75</v>
      </c>
      <c r="I429" s="19">
        <v>3</v>
      </c>
      <c r="J429" s="19">
        <v>2811</v>
      </c>
      <c r="K429" s="19">
        <v>26</v>
      </c>
      <c r="L429" s="19">
        <v>6240.42</v>
      </c>
      <c r="M429" s="19">
        <f t="shared" si="18"/>
        <v>1713479.6800000016</v>
      </c>
      <c r="N429" s="20">
        <f t="shared" si="19"/>
        <v>2990.3659336823762</v>
      </c>
      <c r="O429" s="19">
        <f t="shared" si="20"/>
        <v>1405</v>
      </c>
      <c r="P429" s="19" t="str">
        <v>High</v>
      </c>
    </row>
    <row r="430" spans="1:16" x14ac:dyDescent="0.3">
      <c r="A430" s="2" t="s">
        <v>574</v>
      </c>
      <c r="B430" s="2" t="s">
        <v>575</v>
      </c>
      <c r="C430" s="19" t="s">
        <v>576</v>
      </c>
      <c r="D430" s="19" t="s">
        <v>30</v>
      </c>
      <c r="E430" s="19" t="s">
        <v>16</v>
      </c>
      <c r="F430" s="19" t="s">
        <v>17</v>
      </c>
      <c r="G430" s="19" t="s">
        <v>18</v>
      </c>
      <c r="H430" s="19" t="s">
        <v>75</v>
      </c>
      <c r="I430" s="19">
        <v>5</v>
      </c>
      <c r="J430" s="19">
        <v>1555</v>
      </c>
      <c r="K430" s="19">
        <v>20</v>
      </c>
      <c r="L430" s="19">
        <v>6220</v>
      </c>
      <c r="M430" s="19">
        <f t="shared" si="18"/>
        <v>1707239.2600000014</v>
      </c>
      <c r="N430" s="20">
        <f t="shared" si="19"/>
        <v>2984.6840209790234</v>
      </c>
      <c r="O430" s="19">
        <f t="shared" si="20"/>
        <v>1402</v>
      </c>
      <c r="P430" s="19" t="str">
        <v>High</v>
      </c>
    </row>
    <row r="431" spans="1:16" x14ac:dyDescent="0.3">
      <c r="A431" s="2" t="s">
        <v>1615</v>
      </c>
      <c r="B431" s="2" t="s">
        <v>645</v>
      </c>
      <c r="C431" s="19" t="s">
        <v>597</v>
      </c>
      <c r="D431" s="19" t="s">
        <v>15</v>
      </c>
      <c r="E431" s="19" t="s">
        <v>48</v>
      </c>
      <c r="F431" s="19" t="s">
        <v>49</v>
      </c>
      <c r="G431" s="19" t="s">
        <v>54</v>
      </c>
      <c r="H431" s="19" t="s">
        <v>75</v>
      </c>
      <c r="I431" s="19">
        <v>3</v>
      </c>
      <c r="J431" s="19">
        <v>2960</v>
      </c>
      <c r="K431" s="19">
        <v>30</v>
      </c>
      <c r="L431" s="19">
        <v>6216</v>
      </c>
      <c r="M431" s="19">
        <f t="shared" si="18"/>
        <v>1701019.2600000012</v>
      </c>
      <c r="N431" s="20">
        <f t="shared" si="19"/>
        <v>2979.0179684763593</v>
      </c>
      <c r="O431" s="19">
        <f t="shared" si="20"/>
        <v>1397</v>
      </c>
      <c r="P431" s="19" t="str">
        <v>High</v>
      </c>
    </row>
    <row r="432" spans="1:16" x14ac:dyDescent="0.3">
      <c r="A432" s="2" t="s">
        <v>712</v>
      </c>
      <c r="B432" s="2" t="s">
        <v>293</v>
      </c>
      <c r="C432" s="19" t="s">
        <v>713</v>
      </c>
      <c r="D432" s="19" t="s">
        <v>23</v>
      </c>
      <c r="E432" s="19" t="s">
        <v>24</v>
      </c>
      <c r="F432" s="19" t="s">
        <v>25</v>
      </c>
      <c r="G432" s="19" t="s">
        <v>62</v>
      </c>
      <c r="H432" s="19" t="s">
        <v>19</v>
      </c>
      <c r="I432" s="19">
        <v>5</v>
      </c>
      <c r="J432" s="19">
        <v>1267</v>
      </c>
      <c r="K432" s="19">
        <v>2</v>
      </c>
      <c r="L432" s="19">
        <v>6208.3</v>
      </c>
      <c r="M432" s="19">
        <f t="shared" si="18"/>
        <v>1694803.2600000012</v>
      </c>
      <c r="N432" s="20">
        <f t="shared" si="19"/>
        <v>2973.3390526315811</v>
      </c>
      <c r="O432" s="19">
        <f t="shared" si="20"/>
        <v>1394</v>
      </c>
      <c r="P432" s="19" t="str">
        <v>High</v>
      </c>
    </row>
    <row r="433" spans="1:16" x14ac:dyDescent="0.3">
      <c r="A433" s="2" t="s">
        <v>251</v>
      </c>
      <c r="B433" s="2" t="s">
        <v>252</v>
      </c>
      <c r="C433" s="19" t="s">
        <v>253</v>
      </c>
      <c r="D433" s="19" t="s">
        <v>15</v>
      </c>
      <c r="E433" s="19" t="s">
        <v>68</v>
      </c>
      <c r="F433" s="19" t="s">
        <v>25</v>
      </c>
      <c r="G433" s="19" t="s">
        <v>18</v>
      </c>
      <c r="H433" s="19" t="s">
        <v>33</v>
      </c>
      <c r="I433" s="19">
        <v>5</v>
      </c>
      <c r="J433" s="19">
        <v>1698</v>
      </c>
      <c r="K433" s="19">
        <v>27</v>
      </c>
      <c r="L433" s="19">
        <v>6197.7</v>
      </c>
      <c r="M433" s="19">
        <f t="shared" si="18"/>
        <v>1688594.9600000011</v>
      </c>
      <c r="N433" s="20">
        <f t="shared" si="19"/>
        <v>2967.6537082601076</v>
      </c>
      <c r="O433" s="19">
        <f t="shared" si="20"/>
        <v>1389</v>
      </c>
      <c r="P433" s="19" t="str">
        <v>High</v>
      </c>
    </row>
    <row r="434" spans="1:16" x14ac:dyDescent="0.3">
      <c r="A434" s="2" t="s">
        <v>1658</v>
      </c>
      <c r="B434" s="2" t="s">
        <v>985</v>
      </c>
      <c r="C434" s="19" t="s">
        <v>78</v>
      </c>
      <c r="D434" s="19" t="s">
        <v>88</v>
      </c>
      <c r="E434" s="19" t="s">
        <v>68</v>
      </c>
      <c r="F434" s="19" t="s">
        <v>49</v>
      </c>
      <c r="G434" s="19" t="s">
        <v>54</v>
      </c>
      <c r="H434" s="19" t="s">
        <v>44</v>
      </c>
      <c r="I434" s="19">
        <v>3</v>
      </c>
      <c r="J434" s="19">
        <v>2825</v>
      </c>
      <c r="K434" s="19">
        <v>27</v>
      </c>
      <c r="L434" s="19">
        <v>6186.75</v>
      </c>
      <c r="M434" s="19">
        <f t="shared" si="18"/>
        <v>1682397.2600000012</v>
      </c>
      <c r="N434" s="20">
        <f t="shared" si="19"/>
        <v>2961.9670070422558</v>
      </c>
      <c r="O434" s="19">
        <f t="shared" si="20"/>
        <v>1384</v>
      </c>
      <c r="P434" s="19" t="str">
        <v>High</v>
      </c>
    </row>
    <row r="435" spans="1:16" x14ac:dyDescent="0.3">
      <c r="A435" s="2" t="s">
        <v>473</v>
      </c>
      <c r="B435" s="2" t="s">
        <v>474</v>
      </c>
      <c r="C435" s="19" t="s">
        <v>475</v>
      </c>
      <c r="D435" s="19" t="s">
        <v>53</v>
      </c>
      <c r="E435" s="19" t="s">
        <v>31</v>
      </c>
      <c r="F435" s="19" t="s">
        <v>49</v>
      </c>
      <c r="G435" s="19" t="s">
        <v>18</v>
      </c>
      <c r="H435" s="19" t="s">
        <v>44</v>
      </c>
      <c r="I435" s="19">
        <v>2</v>
      </c>
      <c r="J435" s="19">
        <v>3682</v>
      </c>
      <c r="K435" s="19">
        <v>16</v>
      </c>
      <c r="L435" s="19">
        <v>6185.76</v>
      </c>
      <c r="M435" s="19">
        <f t="shared" si="18"/>
        <v>1676210.5100000012</v>
      </c>
      <c r="N435" s="20">
        <f t="shared" si="19"/>
        <v>2956.2795590828946</v>
      </c>
      <c r="O435" s="19">
        <f t="shared" si="20"/>
        <v>1381</v>
      </c>
      <c r="P435" s="19" t="str">
        <v>High</v>
      </c>
    </row>
    <row r="436" spans="1:16" x14ac:dyDescent="0.3">
      <c r="A436" s="2" t="s">
        <v>1549</v>
      </c>
      <c r="B436" s="2" t="s">
        <v>645</v>
      </c>
      <c r="C436" s="19" t="s">
        <v>328</v>
      </c>
      <c r="D436" s="19" t="s">
        <v>15</v>
      </c>
      <c r="E436" s="19" t="s">
        <v>31</v>
      </c>
      <c r="F436" s="19" t="s">
        <v>32</v>
      </c>
      <c r="G436" s="19" t="s">
        <v>62</v>
      </c>
      <c r="H436" s="19" t="s">
        <v>33</v>
      </c>
      <c r="I436" s="19">
        <v>4</v>
      </c>
      <c r="J436" s="19">
        <v>1560</v>
      </c>
      <c r="K436" s="19">
        <v>1</v>
      </c>
      <c r="L436" s="19">
        <v>6177.6</v>
      </c>
      <c r="M436" s="19">
        <f t="shared" si="18"/>
        <v>1670024.7500000009</v>
      </c>
      <c r="N436" s="20">
        <f t="shared" si="19"/>
        <v>2950.5737632508849</v>
      </c>
      <c r="O436" s="19">
        <f t="shared" si="20"/>
        <v>1379</v>
      </c>
      <c r="P436" s="19" t="str">
        <v>High</v>
      </c>
    </row>
    <row r="437" spans="1:16" x14ac:dyDescent="0.3">
      <c r="A437" s="2" t="s">
        <v>954</v>
      </c>
      <c r="B437" s="2" t="s">
        <v>895</v>
      </c>
      <c r="C437" s="19" t="s">
        <v>955</v>
      </c>
      <c r="D437" s="19" t="s">
        <v>15</v>
      </c>
      <c r="E437" s="19" t="s">
        <v>79</v>
      </c>
      <c r="F437" s="19" t="s">
        <v>40</v>
      </c>
      <c r="G437" s="19" t="s">
        <v>18</v>
      </c>
      <c r="H437" s="19" t="s">
        <v>19</v>
      </c>
      <c r="I437" s="19">
        <v>3</v>
      </c>
      <c r="J437" s="19">
        <v>2478</v>
      </c>
      <c r="K437" s="19">
        <v>17</v>
      </c>
      <c r="L437" s="19">
        <v>6170.22</v>
      </c>
      <c r="M437" s="19">
        <f t="shared" si="18"/>
        <v>1663847.1500000011</v>
      </c>
      <c r="N437" s="20">
        <f t="shared" si="19"/>
        <v>2944.8622123893824</v>
      </c>
      <c r="O437" s="19">
        <f t="shared" si="20"/>
        <v>1375</v>
      </c>
      <c r="P437" s="19" t="str">
        <v>High</v>
      </c>
    </row>
    <row r="438" spans="1:16" x14ac:dyDescent="0.3">
      <c r="A438" s="2" t="s">
        <v>1112</v>
      </c>
      <c r="B438" s="2" t="s">
        <v>1014</v>
      </c>
      <c r="C438" s="19" t="s">
        <v>475</v>
      </c>
      <c r="D438" s="19" t="s">
        <v>23</v>
      </c>
      <c r="E438" s="19" t="s">
        <v>16</v>
      </c>
      <c r="F438" s="19" t="s">
        <v>40</v>
      </c>
      <c r="G438" s="19" t="s">
        <v>40</v>
      </c>
      <c r="H438" s="19" t="s">
        <v>44</v>
      </c>
      <c r="I438" s="19">
        <v>3</v>
      </c>
      <c r="J438" s="19">
        <v>2766</v>
      </c>
      <c r="K438" s="19">
        <v>26</v>
      </c>
      <c r="L438" s="19">
        <v>6140.52</v>
      </c>
      <c r="M438" s="19">
        <f t="shared" si="18"/>
        <v>1657676.9300000009</v>
      </c>
      <c r="N438" s="20">
        <f t="shared" si="19"/>
        <v>2939.1434929078027</v>
      </c>
      <c r="O438" s="19">
        <f t="shared" si="20"/>
        <v>1372</v>
      </c>
      <c r="P438" s="19" t="str">
        <v>High</v>
      </c>
    </row>
    <row r="439" spans="1:16" x14ac:dyDescent="0.3">
      <c r="A439" s="2" t="s">
        <v>884</v>
      </c>
      <c r="B439" s="2" t="s">
        <v>723</v>
      </c>
      <c r="C439" s="19" t="s">
        <v>222</v>
      </c>
      <c r="D439" s="19" t="s">
        <v>15</v>
      </c>
      <c r="E439" s="19" t="s">
        <v>79</v>
      </c>
      <c r="F439" s="19" t="s">
        <v>17</v>
      </c>
      <c r="G439" s="19" t="s">
        <v>62</v>
      </c>
      <c r="H439" s="19" t="s">
        <v>33</v>
      </c>
      <c r="I439" s="19">
        <v>3</v>
      </c>
      <c r="J439" s="19">
        <v>2534</v>
      </c>
      <c r="K439" s="19">
        <v>20</v>
      </c>
      <c r="L439" s="19">
        <v>6081.6</v>
      </c>
      <c r="M439" s="19">
        <f t="shared" si="18"/>
        <v>1651536.4100000008</v>
      </c>
      <c r="N439" s="20">
        <f t="shared" si="19"/>
        <v>2933.4572113676745</v>
      </c>
      <c r="O439" s="19">
        <f t="shared" si="20"/>
        <v>1369</v>
      </c>
      <c r="P439" s="19" t="str">
        <v>High</v>
      </c>
    </row>
    <row r="440" spans="1:16" x14ac:dyDescent="0.3">
      <c r="A440" s="2" t="s">
        <v>1165</v>
      </c>
      <c r="B440" s="2" t="s">
        <v>70</v>
      </c>
      <c r="C440" s="19" t="s">
        <v>1041</v>
      </c>
      <c r="D440" s="19" t="s">
        <v>23</v>
      </c>
      <c r="E440" s="19" t="s">
        <v>48</v>
      </c>
      <c r="F440" s="19" t="s">
        <v>32</v>
      </c>
      <c r="G440" s="19" t="s">
        <v>54</v>
      </c>
      <c r="H440" s="19" t="s">
        <v>33</v>
      </c>
      <c r="I440" s="19">
        <v>4</v>
      </c>
      <c r="J440" s="19">
        <v>1617</v>
      </c>
      <c r="K440" s="19">
        <v>6</v>
      </c>
      <c r="L440" s="19">
        <v>6079.92</v>
      </c>
      <c r="M440" s="19">
        <f t="shared" si="18"/>
        <v>1645454.8100000008</v>
      </c>
      <c r="N440" s="20">
        <f t="shared" si="19"/>
        <v>2927.8555338078304</v>
      </c>
      <c r="O440" s="19">
        <f t="shared" si="20"/>
        <v>1366</v>
      </c>
      <c r="P440" s="19" t="str">
        <v>High</v>
      </c>
    </row>
    <row r="441" spans="1:16" x14ac:dyDescent="0.3">
      <c r="A441" s="2" t="s">
        <v>988</v>
      </c>
      <c r="B441" s="2" t="s">
        <v>989</v>
      </c>
      <c r="C441" s="19" t="s">
        <v>367</v>
      </c>
      <c r="D441" s="19" t="s">
        <v>53</v>
      </c>
      <c r="E441" s="19" t="s">
        <v>31</v>
      </c>
      <c r="F441" s="19" t="s">
        <v>25</v>
      </c>
      <c r="G441" s="19" t="s">
        <v>62</v>
      </c>
      <c r="H441" s="19" t="s">
        <v>75</v>
      </c>
      <c r="I441" s="19">
        <v>4</v>
      </c>
      <c r="J441" s="19">
        <v>1853</v>
      </c>
      <c r="K441" s="19">
        <v>18</v>
      </c>
      <c r="L441" s="19">
        <v>6077.84</v>
      </c>
      <c r="M441" s="19">
        <f t="shared" si="18"/>
        <v>1639374.8900000008</v>
      </c>
      <c r="N441" s="20">
        <f t="shared" si="19"/>
        <v>2922.2368805704114</v>
      </c>
      <c r="O441" s="19">
        <f t="shared" si="20"/>
        <v>1362</v>
      </c>
      <c r="P441" s="19" t="str">
        <v>High</v>
      </c>
    </row>
    <row r="442" spans="1:16" x14ac:dyDescent="0.3">
      <c r="A442" s="2" t="s">
        <v>1630</v>
      </c>
      <c r="B442" s="2" t="s">
        <v>852</v>
      </c>
      <c r="C442" s="19" t="s">
        <v>522</v>
      </c>
      <c r="D442" s="19" t="s">
        <v>88</v>
      </c>
      <c r="E442" s="19" t="s">
        <v>16</v>
      </c>
      <c r="F442" s="19" t="s">
        <v>40</v>
      </c>
      <c r="G442" s="19" t="s">
        <v>62</v>
      </c>
      <c r="H442" s="19" t="s">
        <v>75</v>
      </c>
      <c r="I442" s="19">
        <v>4</v>
      </c>
      <c r="J442" s="19">
        <v>2108</v>
      </c>
      <c r="K442" s="19">
        <v>28</v>
      </c>
      <c r="L442" s="19">
        <v>6071.04</v>
      </c>
      <c r="M442" s="19">
        <f t="shared" si="18"/>
        <v>1633297.050000001</v>
      </c>
      <c r="N442" s="20">
        <f t="shared" si="19"/>
        <v>2916.6018750000017</v>
      </c>
      <c r="O442" s="19">
        <f t="shared" si="20"/>
        <v>1358</v>
      </c>
      <c r="P442" s="19" t="str">
        <v>High</v>
      </c>
    </row>
    <row r="443" spans="1:16" x14ac:dyDescent="0.3">
      <c r="A443" s="2" t="s">
        <v>1048</v>
      </c>
      <c r="B443" s="2" t="s">
        <v>1049</v>
      </c>
      <c r="C443" s="19" t="s">
        <v>1050</v>
      </c>
      <c r="D443" s="19" t="s">
        <v>53</v>
      </c>
      <c r="E443" s="19" t="s">
        <v>79</v>
      </c>
      <c r="F443" s="19" t="s">
        <v>40</v>
      </c>
      <c r="G443" s="19" t="s">
        <v>62</v>
      </c>
      <c r="H443" s="19" t="s">
        <v>75</v>
      </c>
      <c r="I443" s="19">
        <v>5</v>
      </c>
      <c r="J443" s="19">
        <v>1302</v>
      </c>
      <c r="K443" s="19">
        <v>7</v>
      </c>
      <c r="L443" s="19">
        <v>6054.3</v>
      </c>
      <c r="M443" s="19">
        <f t="shared" si="18"/>
        <v>1627226.0100000012</v>
      </c>
      <c r="N443" s="20">
        <f t="shared" si="19"/>
        <v>2910.9588729874799</v>
      </c>
      <c r="O443" s="19">
        <f t="shared" si="20"/>
        <v>1354</v>
      </c>
      <c r="P443" s="19" t="str">
        <v>High</v>
      </c>
    </row>
    <row r="444" spans="1:16" x14ac:dyDescent="0.3">
      <c r="A444" s="2" t="s">
        <v>819</v>
      </c>
      <c r="B444" s="2" t="s">
        <v>221</v>
      </c>
      <c r="C444" s="19" t="s">
        <v>820</v>
      </c>
      <c r="D444" s="19" t="s">
        <v>15</v>
      </c>
      <c r="E444" s="19" t="s">
        <v>79</v>
      </c>
      <c r="F444" s="19" t="s">
        <v>49</v>
      </c>
      <c r="G444" s="19" t="s">
        <v>26</v>
      </c>
      <c r="H444" s="19" t="s">
        <v>33</v>
      </c>
      <c r="I444" s="19">
        <v>3</v>
      </c>
      <c r="J444" s="19">
        <v>2641</v>
      </c>
      <c r="K444" s="19">
        <v>24</v>
      </c>
      <c r="L444" s="19">
        <v>6021.48</v>
      </c>
      <c r="M444" s="19">
        <f t="shared" si="18"/>
        <v>1621171.7100000011</v>
      </c>
      <c r="N444" s="20">
        <f t="shared" si="19"/>
        <v>2905.3256451612924</v>
      </c>
      <c r="O444" s="19">
        <f t="shared" si="20"/>
        <v>1349</v>
      </c>
      <c r="P444" s="19" t="str">
        <v>High</v>
      </c>
    </row>
    <row r="445" spans="1:16" x14ac:dyDescent="0.3">
      <c r="A445" s="2" t="s">
        <v>220</v>
      </c>
      <c r="B445" s="2" t="s">
        <v>221</v>
      </c>
      <c r="C445" s="19" t="s">
        <v>222</v>
      </c>
      <c r="D445" s="19" t="s">
        <v>23</v>
      </c>
      <c r="E445" s="19" t="s">
        <v>58</v>
      </c>
      <c r="F445" s="19" t="s">
        <v>49</v>
      </c>
      <c r="G445" s="19" t="s">
        <v>54</v>
      </c>
      <c r="H445" s="19" t="s">
        <v>33</v>
      </c>
      <c r="I445" s="19">
        <v>5</v>
      </c>
      <c r="J445" s="19">
        <v>1666</v>
      </c>
      <c r="K445" s="19">
        <v>28</v>
      </c>
      <c r="L445" s="19">
        <v>5997.6</v>
      </c>
      <c r="M445" s="19">
        <f t="shared" si="18"/>
        <v>1615150.2300000007</v>
      </c>
      <c r="N445" s="20">
        <f t="shared" si="19"/>
        <v>2899.7311131059259</v>
      </c>
      <c r="O445" s="19">
        <f t="shared" si="20"/>
        <v>1346</v>
      </c>
      <c r="P445" s="19" t="str">
        <v>High</v>
      </c>
    </row>
    <row r="446" spans="1:16" x14ac:dyDescent="0.3">
      <c r="A446" s="2" t="s">
        <v>1292</v>
      </c>
      <c r="B446" s="2" t="s">
        <v>403</v>
      </c>
      <c r="C446" s="19" t="s">
        <v>1126</v>
      </c>
      <c r="D446" s="19" t="s">
        <v>30</v>
      </c>
      <c r="E446" s="19" t="s">
        <v>58</v>
      </c>
      <c r="F446" s="19" t="s">
        <v>49</v>
      </c>
      <c r="G446" s="19" t="s">
        <v>18</v>
      </c>
      <c r="H446" s="19" t="s">
        <v>19</v>
      </c>
      <c r="I446" s="19">
        <v>2</v>
      </c>
      <c r="J446" s="19">
        <v>3745</v>
      </c>
      <c r="K446" s="19">
        <v>20</v>
      </c>
      <c r="L446" s="19">
        <v>5992</v>
      </c>
      <c r="M446" s="19">
        <f t="shared" si="18"/>
        <v>1609152.6300000008</v>
      </c>
      <c r="N446" s="20">
        <f t="shared" si="19"/>
        <v>2894.1594064748215</v>
      </c>
      <c r="O446" s="19">
        <f t="shared" si="20"/>
        <v>1341</v>
      </c>
      <c r="P446" s="19" t="str">
        <v>High</v>
      </c>
    </row>
    <row r="447" spans="1:16" x14ac:dyDescent="0.3">
      <c r="A447" s="2" t="s">
        <v>285</v>
      </c>
      <c r="B447" s="2" t="s">
        <v>90</v>
      </c>
      <c r="C447" s="19" t="s">
        <v>238</v>
      </c>
      <c r="D447" s="19" t="s">
        <v>23</v>
      </c>
      <c r="E447" s="19" t="s">
        <v>79</v>
      </c>
      <c r="F447" s="19" t="s">
        <v>32</v>
      </c>
      <c r="G447" s="19" t="s">
        <v>40</v>
      </c>
      <c r="H447" s="19" t="s">
        <v>19</v>
      </c>
      <c r="I447" s="19">
        <v>2</v>
      </c>
      <c r="J447" s="19">
        <v>3174</v>
      </c>
      <c r="K447" s="19">
        <v>6</v>
      </c>
      <c r="L447" s="19">
        <v>5967.12</v>
      </c>
      <c r="M447" s="19">
        <f t="shared" si="18"/>
        <v>1603160.6300000006</v>
      </c>
      <c r="N447" s="20">
        <f t="shared" si="19"/>
        <v>2888.5777117117127</v>
      </c>
      <c r="O447" s="19">
        <f t="shared" si="20"/>
        <v>1339</v>
      </c>
      <c r="P447" s="19" t="str">
        <v>High</v>
      </c>
    </row>
    <row r="448" spans="1:16" x14ac:dyDescent="0.3">
      <c r="A448" s="2" t="s">
        <v>1633</v>
      </c>
      <c r="B448" s="2" t="s">
        <v>263</v>
      </c>
      <c r="C448" s="19" t="s">
        <v>1634</v>
      </c>
      <c r="D448" s="19" t="s">
        <v>88</v>
      </c>
      <c r="E448" s="19" t="s">
        <v>16</v>
      </c>
      <c r="F448" s="19" t="s">
        <v>17</v>
      </c>
      <c r="G448" s="19" t="s">
        <v>54</v>
      </c>
      <c r="H448" s="19" t="s">
        <v>75</v>
      </c>
      <c r="I448" s="19">
        <v>2</v>
      </c>
      <c r="J448" s="19">
        <v>3201</v>
      </c>
      <c r="K448" s="19">
        <v>7</v>
      </c>
      <c r="L448" s="19">
        <v>5953.86</v>
      </c>
      <c r="M448" s="19">
        <f t="shared" si="18"/>
        <v>1597193.5100000005</v>
      </c>
      <c r="N448" s="20">
        <f t="shared" si="19"/>
        <v>2883.0207761732859</v>
      </c>
      <c r="O448" s="19">
        <f t="shared" si="20"/>
        <v>1337</v>
      </c>
      <c r="P448" s="19" t="str">
        <v>High</v>
      </c>
    </row>
    <row r="449" spans="1:16" x14ac:dyDescent="0.3">
      <c r="A449" s="2" t="s">
        <v>1407</v>
      </c>
      <c r="B449" s="2" t="s">
        <v>446</v>
      </c>
      <c r="C449" s="19" t="s">
        <v>597</v>
      </c>
      <c r="D449" s="19" t="s">
        <v>30</v>
      </c>
      <c r="E449" s="19" t="s">
        <v>68</v>
      </c>
      <c r="F449" s="19" t="s">
        <v>25</v>
      </c>
      <c r="G449" s="19" t="s">
        <v>26</v>
      </c>
      <c r="H449" s="19" t="s">
        <v>33</v>
      </c>
      <c r="I449" s="19">
        <v>5</v>
      </c>
      <c r="J449" s="19">
        <v>1677</v>
      </c>
      <c r="K449" s="19">
        <v>29</v>
      </c>
      <c r="L449" s="19">
        <v>5953.35</v>
      </c>
      <c r="M449" s="19">
        <f t="shared" si="18"/>
        <v>1591239.6500000008</v>
      </c>
      <c r="N449" s="20">
        <f t="shared" si="19"/>
        <v>2877.467721518989</v>
      </c>
      <c r="O449" s="19">
        <f t="shared" si="20"/>
        <v>1335</v>
      </c>
      <c r="P449" s="19" t="str">
        <v>High</v>
      </c>
    </row>
    <row r="450" spans="1:16" x14ac:dyDescent="0.3">
      <c r="A450" s="2" t="s">
        <v>644</v>
      </c>
      <c r="B450" s="2" t="s">
        <v>645</v>
      </c>
      <c r="C450" s="19" t="s">
        <v>136</v>
      </c>
      <c r="D450" s="19" t="s">
        <v>30</v>
      </c>
      <c r="E450" s="19" t="s">
        <v>31</v>
      </c>
      <c r="F450" s="19" t="s">
        <v>32</v>
      </c>
      <c r="G450" s="19" t="s">
        <v>26</v>
      </c>
      <c r="H450" s="19" t="s">
        <v>75</v>
      </c>
      <c r="I450" s="19">
        <v>2</v>
      </c>
      <c r="J450" s="19">
        <v>3227</v>
      </c>
      <c r="K450" s="19">
        <v>8</v>
      </c>
      <c r="L450" s="19">
        <v>5937.68</v>
      </c>
      <c r="M450" s="19">
        <f t="shared" ref="M450:M513" si="21">SUM(L450:L1449)</f>
        <v>1585286.3000000007</v>
      </c>
      <c r="N450" s="20">
        <f t="shared" ref="N450:N513" si="22">AVERAGE(L450:L1449)</f>
        <v>2871.895471014494</v>
      </c>
      <c r="O450" s="19">
        <f t="shared" ref="O450:O513" si="23">SUM(I450:I1449)</f>
        <v>1330</v>
      </c>
      <c r="P450" s="19" t="str">
        <v>High</v>
      </c>
    </row>
    <row r="451" spans="1:16" x14ac:dyDescent="0.3">
      <c r="A451" s="2" t="s">
        <v>891</v>
      </c>
      <c r="B451" s="2" t="s">
        <v>355</v>
      </c>
      <c r="C451" s="19" t="s">
        <v>317</v>
      </c>
      <c r="D451" s="19" t="s">
        <v>23</v>
      </c>
      <c r="E451" s="19" t="s">
        <v>58</v>
      </c>
      <c r="F451" s="19" t="s">
        <v>49</v>
      </c>
      <c r="G451" s="19" t="s">
        <v>40</v>
      </c>
      <c r="H451" s="19" t="s">
        <v>19</v>
      </c>
      <c r="I451" s="19">
        <v>2</v>
      </c>
      <c r="J451" s="19">
        <v>3450</v>
      </c>
      <c r="K451" s="19">
        <v>14</v>
      </c>
      <c r="L451" s="19">
        <v>5934</v>
      </c>
      <c r="M451" s="19">
        <f t="shared" si="21"/>
        <v>1579348.620000001</v>
      </c>
      <c r="N451" s="20">
        <f t="shared" si="22"/>
        <v>2866.3314337568077</v>
      </c>
      <c r="O451" s="19">
        <f t="shared" si="23"/>
        <v>1328</v>
      </c>
      <c r="P451" s="19" t="str">
        <v>High</v>
      </c>
    </row>
    <row r="452" spans="1:16" x14ac:dyDescent="0.3">
      <c r="A452" s="2" t="s">
        <v>944</v>
      </c>
      <c r="B452" s="2" t="s">
        <v>290</v>
      </c>
      <c r="C452" s="19" t="s">
        <v>945</v>
      </c>
      <c r="D452" s="19" t="s">
        <v>30</v>
      </c>
      <c r="E452" s="19" t="s">
        <v>58</v>
      </c>
      <c r="F452" s="19" t="s">
        <v>17</v>
      </c>
      <c r="G452" s="19" t="s">
        <v>62</v>
      </c>
      <c r="H452" s="19" t="s">
        <v>19</v>
      </c>
      <c r="I452" s="19">
        <v>4</v>
      </c>
      <c r="J452" s="19">
        <v>1645</v>
      </c>
      <c r="K452" s="19">
        <v>10</v>
      </c>
      <c r="L452" s="19">
        <v>5922</v>
      </c>
      <c r="M452" s="19">
        <f t="shared" si="21"/>
        <v>1573414.620000001</v>
      </c>
      <c r="N452" s="20">
        <f t="shared" si="22"/>
        <v>2860.7538545454563</v>
      </c>
      <c r="O452" s="19">
        <f t="shared" si="23"/>
        <v>1326</v>
      </c>
      <c r="P452" s="19" t="str">
        <v>High</v>
      </c>
    </row>
    <row r="453" spans="1:16" x14ac:dyDescent="0.3">
      <c r="A453" s="2" t="s">
        <v>1341</v>
      </c>
      <c r="B453" s="2" t="s">
        <v>517</v>
      </c>
      <c r="C453" s="19" t="s">
        <v>1342</v>
      </c>
      <c r="D453" s="19" t="s">
        <v>88</v>
      </c>
      <c r="E453" s="19" t="s">
        <v>24</v>
      </c>
      <c r="F453" s="19" t="s">
        <v>32</v>
      </c>
      <c r="G453" s="19" t="s">
        <v>18</v>
      </c>
      <c r="H453" s="19" t="s">
        <v>44</v>
      </c>
      <c r="I453" s="19">
        <v>2</v>
      </c>
      <c r="J453" s="19">
        <v>3887</v>
      </c>
      <c r="K453" s="19">
        <v>24</v>
      </c>
      <c r="L453" s="19">
        <v>5908.24</v>
      </c>
      <c r="M453" s="19">
        <f t="shared" si="21"/>
        <v>1567492.6200000008</v>
      </c>
      <c r="N453" s="20">
        <f t="shared" si="22"/>
        <v>2855.1778142076519</v>
      </c>
      <c r="O453" s="19">
        <f t="shared" si="23"/>
        <v>1322</v>
      </c>
      <c r="P453" s="19" t="str">
        <v>High</v>
      </c>
    </row>
    <row r="454" spans="1:16" x14ac:dyDescent="0.3">
      <c r="A454" s="2" t="s">
        <v>859</v>
      </c>
      <c r="B454" s="2" t="s">
        <v>456</v>
      </c>
      <c r="C454" s="19" t="s">
        <v>860</v>
      </c>
      <c r="D454" s="19" t="s">
        <v>15</v>
      </c>
      <c r="E454" s="19" t="s">
        <v>16</v>
      </c>
      <c r="F454" s="19" t="s">
        <v>40</v>
      </c>
      <c r="G454" s="19" t="s">
        <v>26</v>
      </c>
      <c r="H454" s="19" t="s">
        <v>33</v>
      </c>
      <c r="I454" s="19">
        <v>2</v>
      </c>
      <c r="J454" s="19">
        <v>3009</v>
      </c>
      <c r="K454" s="19">
        <v>2</v>
      </c>
      <c r="L454" s="19">
        <v>5897.64</v>
      </c>
      <c r="M454" s="19">
        <f t="shared" si="21"/>
        <v>1561584.3800000008</v>
      </c>
      <c r="N454" s="20">
        <f t="shared" si="22"/>
        <v>2849.6065328467166</v>
      </c>
      <c r="O454" s="19">
        <f t="shared" si="23"/>
        <v>1320</v>
      </c>
      <c r="P454" s="19" t="str">
        <v>High</v>
      </c>
    </row>
    <row r="455" spans="1:16" x14ac:dyDescent="0.3">
      <c r="A455" s="2" t="s">
        <v>1510</v>
      </c>
      <c r="B455" s="2" t="s">
        <v>358</v>
      </c>
      <c r="C455" s="19" t="s">
        <v>804</v>
      </c>
      <c r="D455" s="19" t="s">
        <v>53</v>
      </c>
      <c r="E455" s="19" t="s">
        <v>79</v>
      </c>
      <c r="F455" s="19" t="s">
        <v>25</v>
      </c>
      <c r="G455" s="19" t="s">
        <v>40</v>
      </c>
      <c r="H455" s="19" t="s">
        <v>44</v>
      </c>
      <c r="I455" s="19">
        <v>5</v>
      </c>
      <c r="J455" s="19">
        <v>1452</v>
      </c>
      <c r="K455" s="19">
        <v>19</v>
      </c>
      <c r="L455" s="19">
        <v>5880.6</v>
      </c>
      <c r="M455" s="19">
        <f t="shared" si="21"/>
        <v>1555686.7400000009</v>
      </c>
      <c r="N455" s="20">
        <f t="shared" si="22"/>
        <v>2844.0342595978077</v>
      </c>
      <c r="O455" s="19">
        <f t="shared" si="23"/>
        <v>1318</v>
      </c>
      <c r="P455" s="19" t="str">
        <v>High</v>
      </c>
    </row>
    <row r="456" spans="1:16" x14ac:dyDescent="0.3">
      <c r="A456" s="2" t="s">
        <v>303</v>
      </c>
      <c r="B456" s="2" t="s">
        <v>304</v>
      </c>
      <c r="C456" s="19" t="s">
        <v>305</v>
      </c>
      <c r="D456" s="19" t="s">
        <v>88</v>
      </c>
      <c r="E456" s="19" t="s">
        <v>16</v>
      </c>
      <c r="F456" s="19" t="s">
        <v>25</v>
      </c>
      <c r="G456" s="19" t="s">
        <v>62</v>
      </c>
      <c r="H456" s="19" t="s">
        <v>75</v>
      </c>
      <c r="I456" s="19">
        <v>2</v>
      </c>
      <c r="J456" s="19">
        <v>3810</v>
      </c>
      <c r="K456" s="19">
        <v>23</v>
      </c>
      <c r="L456" s="19">
        <v>5867.4</v>
      </c>
      <c r="M456" s="19">
        <f t="shared" si="21"/>
        <v>1549806.1400000008</v>
      </c>
      <c r="N456" s="20">
        <f t="shared" si="22"/>
        <v>2838.4727838827853</v>
      </c>
      <c r="O456" s="19">
        <f t="shared" si="23"/>
        <v>1313</v>
      </c>
      <c r="P456" s="19" t="str">
        <v>High</v>
      </c>
    </row>
    <row r="457" spans="1:16" x14ac:dyDescent="0.3">
      <c r="A457" s="2" t="s">
        <v>1007</v>
      </c>
      <c r="B457" s="2" t="s">
        <v>60</v>
      </c>
      <c r="C457" s="19" t="s">
        <v>1008</v>
      </c>
      <c r="D457" s="19" t="s">
        <v>53</v>
      </c>
      <c r="E457" s="19" t="s">
        <v>24</v>
      </c>
      <c r="F457" s="19" t="s">
        <v>25</v>
      </c>
      <c r="G457" s="19" t="s">
        <v>54</v>
      </c>
      <c r="H457" s="19" t="s">
        <v>33</v>
      </c>
      <c r="I457" s="19">
        <v>2</v>
      </c>
      <c r="J457" s="19">
        <v>3181</v>
      </c>
      <c r="K457" s="19">
        <v>8</v>
      </c>
      <c r="L457" s="19">
        <v>5853.04</v>
      </c>
      <c r="M457" s="19">
        <f t="shared" si="21"/>
        <v>1543938.7400000009</v>
      </c>
      <c r="N457" s="20">
        <f t="shared" si="22"/>
        <v>2832.9151192660565</v>
      </c>
      <c r="O457" s="19">
        <f t="shared" si="23"/>
        <v>1311</v>
      </c>
      <c r="P457" s="19" t="str">
        <v>High</v>
      </c>
    </row>
    <row r="458" spans="1:16" x14ac:dyDescent="0.3">
      <c r="A458" s="2" t="s">
        <v>1248</v>
      </c>
      <c r="B458" s="2" t="s">
        <v>734</v>
      </c>
      <c r="C458" s="19" t="s">
        <v>1249</v>
      </c>
      <c r="D458" s="19" t="s">
        <v>53</v>
      </c>
      <c r="E458" s="19" t="s">
        <v>58</v>
      </c>
      <c r="F458" s="19" t="s">
        <v>17</v>
      </c>
      <c r="G458" s="19" t="s">
        <v>62</v>
      </c>
      <c r="H458" s="19" t="s">
        <v>44</v>
      </c>
      <c r="I458" s="19">
        <v>2</v>
      </c>
      <c r="J458" s="19">
        <v>3657</v>
      </c>
      <c r="K458" s="19">
        <v>20</v>
      </c>
      <c r="L458" s="19">
        <v>5851.2</v>
      </c>
      <c r="M458" s="19">
        <f t="shared" si="21"/>
        <v>1538085.7000000011</v>
      </c>
      <c r="N458" s="20">
        <f t="shared" si="22"/>
        <v>2827.3634191176493</v>
      </c>
      <c r="O458" s="19">
        <f t="shared" si="23"/>
        <v>1309</v>
      </c>
      <c r="P458" s="19" t="str">
        <v>High</v>
      </c>
    </row>
    <row r="459" spans="1:16" x14ac:dyDescent="0.3">
      <c r="A459" s="2" t="s">
        <v>76</v>
      </c>
      <c r="B459" s="2" t="s">
        <v>77</v>
      </c>
      <c r="C459" s="19" t="s">
        <v>78</v>
      </c>
      <c r="D459" s="19" t="s">
        <v>30</v>
      </c>
      <c r="E459" s="19" t="s">
        <v>79</v>
      </c>
      <c r="F459" s="19" t="s">
        <v>49</v>
      </c>
      <c r="G459" s="19" t="s">
        <v>26</v>
      </c>
      <c r="H459" s="19" t="s">
        <v>33</v>
      </c>
      <c r="I459" s="19">
        <v>5</v>
      </c>
      <c r="J459" s="19">
        <v>1182</v>
      </c>
      <c r="K459" s="19">
        <v>1</v>
      </c>
      <c r="L459" s="19">
        <v>5850.9</v>
      </c>
      <c r="M459" s="19">
        <f t="shared" si="21"/>
        <v>1532234.5000000009</v>
      </c>
      <c r="N459" s="20">
        <f t="shared" si="22"/>
        <v>2821.7946593001857</v>
      </c>
      <c r="O459" s="19">
        <f t="shared" si="23"/>
        <v>1307</v>
      </c>
      <c r="P459" s="19" t="str">
        <v>High</v>
      </c>
    </row>
    <row r="460" spans="1:16" x14ac:dyDescent="0.3">
      <c r="A460" s="2" t="s">
        <v>1042</v>
      </c>
      <c r="B460" s="2" t="s">
        <v>196</v>
      </c>
      <c r="C460" s="19" t="s">
        <v>342</v>
      </c>
      <c r="D460" s="19" t="s">
        <v>30</v>
      </c>
      <c r="E460" s="19" t="s">
        <v>58</v>
      </c>
      <c r="F460" s="19" t="s">
        <v>40</v>
      </c>
      <c r="G460" s="19" t="s">
        <v>54</v>
      </c>
      <c r="H460" s="19" t="s">
        <v>44</v>
      </c>
      <c r="I460" s="19">
        <v>4</v>
      </c>
      <c r="J460" s="19">
        <v>2081</v>
      </c>
      <c r="K460" s="19">
        <v>30</v>
      </c>
      <c r="L460" s="19">
        <v>5826.8</v>
      </c>
      <c r="M460" s="19">
        <f t="shared" si="21"/>
        <v>1526383.600000001</v>
      </c>
      <c r="N460" s="20">
        <f t="shared" si="22"/>
        <v>2816.2059040590425</v>
      </c>
      <c r="O460" s="19">
        <f t="shared" si="23"/>
        <v>1302</v>
      </c>
      <c r="P460" s="19" t="str">
        <v>High</v>
      </c>
    </row>
    <row r="461" spans="1:16" x14ac:dyDescent="0.3">
      <c r="A461" s="2" t="s">
        <v>65</v>
      </c>
      <c r="B461" s="2" t="s">
        <v>66</v>
      </c>
      <c r="C461" s="19" t="s">
        <v>67</v>
      </c>
      <c r="D461" s="19" t="s">
        <v>30</v>
      </c>
      <c r="E461" s="19" t="s">
        <v>68</v>
      </c>
      <c r="F461" s="19" t="s">
        <v>17</v>
      </c>
      <c r="G461" s="19" t="s">
        <v>62</v>
      </c>
      <c r="H461" s="19" t="s">
        <v>44</v>
      </c>
      <c r="I461" s="19">
        <v>2</v>
      </c>
      <c r="J461" s="19">
        <v>3237</v>
      </c>
      <c r="K461" s="19">
        <v>11</v>
      </c>
      <c r="L461" s="19">
        <v>5761.86</v>
      </c>
      <c r="M461" s="19">
        <f t="shared" si="21"/>
        <v>1520556.8000000012</v>
      </c>
      <c r="N461" s="20">
        <f t="shared" si="22"/>
        <v>2810.6410351201503</v>
      </c>
      <c r="O461" s="19">
        <f t="shared" si="23"/>
        <v>1298</v>
      </c>
      <c r="P461" s="19" t="str">
        <v>High</v>
      </c>
    </row>
    <row r="462" spans="1:16" x14ac:dyDescent="0.3">
      <c r="A462" s="2" t="s">
        <v>1352</v>
      </c>
      <c r="B462" s="2" t="s">
        <v>349</v>
      </c>
      <c r="C462" s="19" t="s">
        <v>573</v>
      </c>
      <c r="D462" s="19" t="s">
        <v>30</v>
      </c>
      <c r="E462" s="19" t="s">
        <v>31</v>
      </c>
      <c r="F462" s="19" t="s">
        <v>17</v>
      </c>
      <c r="G462" s="19" t="s">
        <v>26</v>
      </c>
      <c r="H462" s="19" t="s">
        <v>33</v>
      </c>
      <c r="I462" s="19">
        <v>3</v>
      </c>
      <c r="J462" s="19">
        <v>2657</v>
      </c>
      <c r="K462" s="19">
        <v>28</v>
      </c>
      <c r="L462" s="19">
        <v>5739.12</v>
      </c>
      <c r="M462" s="19">
        <f t="shared" si="21"/>
        <v>1514794.9400000011</v>
      </c>
      <c r="N462" s="20">
        <f t="shared" si="22"/>
        <v>2805.1758148148169</v>
      </c>
      <c r="O462" s="19">
        <f t="shared" si="23"/>
        <v>1296</v>
      </c>
      <c r="P462" s="19" t="str">
        <v>High</v>
      </c>
    </row>
    <row r="463" spans="1:16" x14ac:dyDescent="0.3">
      <c r="A463" s="2" t="s">
        <v>1624</v>
      </c>
      <c r="B463" s="2" t="s">
        <v>482</v>
      </c>
      <c r="C463" s="19" t="s">
        <v>1618</v>
      </c>
      <c r="D463" s="19" t="s">
        <v>53</v>
      </c>
      <c r="E463" s="19" t="s">
        <v>16</v>
      </c>
      <c r="F463" s="19" t="s">
        <v>17</v>
      </c>
      <c r="G463" s="19" t="s">
        <v>62</v>
      </c>
      <c r="H463" s="19" t="s">
        <v>75</v>
      </c>
      <c r="I463" s="19">
        <v>3</v>
      </c>
      <c r="J463" s="19">
        <v>1950</v>
      </c>
      <c r="K463" s="19">
        <v>2</v>
      </c>
      <c r="L463" s="19">
        <v>5733</v>
      </c>
      <c r="M463" s="19">
        <f t="shared" si="21"/>
        <v>1509055.8200000012</v>
      </c>
      <c r="N463" s="20">
        <f t="shared" si="22"/>
        <v>2799.7325046382211</v>
      </c>
      <c r="O463" s="19">
        <f t="shared" si="23"/>
        <v>1293</v>
      </c>
      <c r="P463" s="19" t="str">
        <v>High</v>
      </c>
    </row>
    <row r="464" spans="1:16" x14ac:dyDescent="0.3">
      <c r="A464" s="2" t="s">
        <v>1390</v>
      </c>
      <c r="B464" s="2" t="s">
        <v>509</v>
      </c>
      <c r="C464" s="19" t="s">
        <v>133</v>
      </c>
      <c r="D464" s="19" t="s">
        <v>53</v>
      </c>
      <c r="E464" s="19" t="s">
        <v>79</v>
      </c>
      <c r="F464" s="19" t="s">
        <v>25</v>
      </c>
      <c r="G464" s="19" t="s">
        <v>18</v>
      </c>
      <c r="H464" s="19" t="s">
        <v>19</v>
      </c>
      <c r="I464" s="19">
        <v>4</v>
      </c>
      <c r="J464" s="19">
        <v>1470</v>
      </c>
      <c r="K464" s="19">
        <v>3</v>
      </c>
      <c r="L464" s="19">
        <v>5703.6</v>
      </c>
      <c r="M464" s="19">
        <f t="shared" si="21"/>
        <v>1503322.8200000012</v>
      </c>
      <c r="N464" s="20">
        <f t="shared" si="22"/>
        <v>2794.2803345724928</v>
      </c>
      <c r="O464" s="19">
        <f t="shared" si="23"/>
        <v>1290</v>
      </c>
      <c r="P464" s="19" t="str">
        <v>High</v>
      </c>
    </row>
    <row r="465" spans="1:16" x14ac:dyDescent="0.3">
      <c r="A465" s="2" t="s">
        <v>932</v>
      </c>
      <c r="B465" s="2" t="s">
        <v>764</v>
      </c>
      <c r="C465" s="19" t="s">
        <v>419</v>
      </c>
      <c r="D465" s="19" t="s">
        <v>53</v>
      </c>
      <c r="E465" s="19" t="s">
        <v>24</v>
      </c>
      <c r="F465" s="19" t="s">
        <v>25</v>
      </c>
      <c r="G465" s="19" t="s">
        <v>40</v>
      </c>
      <c r="H465" s="19" t="s">
        <v>75</v>
      </c>
      <c r="I465" s="19">
        <v>3</v>
      </c>
      <c r="J465" s="19">
        <v>1975</v>
      </c>
      <c r="K465" s="19">
        <v>4</v>
      </c>
      <c r="L465" s="19">
        <v>5688</v>
      </c>
      <c r="M465" s="19">
        <f t="shared" si="21"/>
        <v>1497619.2200000011</v>
      </c>
      <c r="N465" s="20">
        <f t="shared" si="22"/>
        <v>2788.8626070763521</v>
      </c>
      <c r="O465" s="19">
        <f t="shared" si="23"/>
        <v>1286</v>
      </c>
      <c r="P465" s="19" t="str">
        <v>High</v>
      </c>
    </row>
    <row r="466" spans="1:16" x14ac:dyDescent="0.3">
      <c r="A466" s="2" t="s">
        <v>1627</v>
      </c>
      <c r="B466" s="2" t="s">
        <v>889</v>
      </c>
      <c r="C466" s="19" t="s">
        <v>505</v>
      </c>
      <c r="D466" s="19" t="s">
        <v>15</v>
      </c>
      <c r="E466" s="19" t="s">
        <v>24</v>
      </c>
      <c r="F466" s="19" t="s">
        <v>17</v>
      </c>
      <c r="G466" s="19" t="s">
        <v>40</v>
      </c>
      <c r="H466" s="19" t="s">
        <v>33</v>
      </c>
      <c r="I466" s="19">
        <v>4</v>
      </c>
      <c r="J466" s="19">
        <v>1776</v>
      </c>
      <c r="K466" s="19">
        <v>20</v>
      </c>
      <c r="L466" s="19">
        <v>5683.2</v>
      </c>
      <c r="M466" s="19">
        <f t="shared" si="21"/>
        <v>1491931.2200000011</v>
      </c>
      <c r="N466" s="20">
        <f t="shared" si="22"/>
        <v>2783.4537686567187</v>
      </c>
      <c r="O466" s="19">
        <f t="shared" si="23"/>
        <v>1283</v>
      </c>
      <c r="P466" s="19" t="str">
        <v>High</v>
      </c>
    </row>
    <row r="467" spans="1:16" x14ac:dyDescent="0.3">
      <c r="A467" s="2" t="s">
        <v>606</v>
      </c>
      <c r="B467" s="2" t="s">
        <v>190</v>
      </c>
      <c r="C467" s="19" t="s">
        <v>142</v>
      </c>
      <c r="D467" s="19" t="s">
        <v>15</v>
      </c>
      <c r="E467" s="19" t="s">
        <v>31</v>
      </c>
      <c r="F467" s="19" t="s">
        <v>40</v>
      </c>
      <c r="G467" s="19" t="s">
        <v>54</v>
      </c>
      <c r="H467" s="19" t="s">
        <v>33</v>
      </c>
      <c r="I467" s="19">
        <v>2</v>
      </c>
      <c r="J467" s="19">
        <v>3376</v>
      </c>
      <c r="K467" s="19">
        <v>16</v>
      </c>
      <c r="L467" s="19">
        <v>5671.68</v>
      </c>
      <c r="M467" s="19">
        <f t="shared" si="21"/>
        <v>1486248.0200000009</v>
      </c>
      <c r="N467" s="20">
        <f t="shared" si="22"/>
        <v>2778.0336822429927</v>
      </c>
      <c r="O467" s="19">
        <f t="shared" si="23"/>
        <v>1279</v>
      </c>
      <c r="P467" s="19" t="str">
        <v>High</v>
      </c>
    </row>
    <row r="468" spans="1:16" x14ac:dyDescent="0.3">
      <c r="A468" s="2" t="s">
        <v>710</v>
      </c>
      <c r="B468" s="2" t="s">
        <v>707</v>
      </c>
      <c r="C468" s="19" t="s">
        <v>711</v>
      </c>
      <c r="D468" s="19" t="s">
        <v>30</v>
      </c>
      <c r="E468" s="19" t="s">
        <v>31</v>
      </c>
      <c r="F468" s="19" t="s">
        <v>25</v>
      </c>
      <c r="G468" s="19" t="s">
        <v>54</v>
      </c>
      <c r="H468" s="19" t="s">
        <v>44</v>
      </c>
      <c r="I468" s="19">
        <v>4</v>
      </c>
      <c r="J468" s="19">
        <v>1417</v>
      </c>
      <c r="K468" s="19">
        <v>0</v>
      </c>
      <c r="L468" s="19">
        <v>5668</v>
      </c>
      <c r="M468" s="19">
        <f t="shared" si="21"/>
        <v>1480576.3400000012</v>
      </c>
      <c r="N468" s="20">
        <f t="shared" si="22"/>
        <v>2772.6148689138599</v>
      </c>
      <c r="O468" s="19">
        <f t="shared" si="23"/>
        <v>1277</v>
      </c>
      <c r="P468" s="19" t="str">
        <v>High</v>
      </c>
    </row>
    <row r="469" spans="1:16" x14ac:dyDescent="0.3">
      <c r="A469" s="2" t="s">
        <v>511</v>
      </c>
      <c r="B469" s="2" t="s">
        <v>51</v>
      </c>
      <c r="C469" s="19" t="s">
        <v>512</v>
      </c>
      <c r="D469" s="19" t="s">
        <v>23</v>
      </c>
      <c r="E469" s="19" t="s">
        <v>68</v>
      </c>
      <c r="F469" s="19" t="s">
        <v>49</v>
      </c>
      <c r="G469" s="19" t="s">
        <v>40</v>
      </c>
      <c r="H469" s="19" t="s">
        <v>19</v>
      </c>
      <c r="I469" s="19">
        <v>5</v>
      </c>
      <c r="J469" s="19">
        <v>1349</v>
      </c>
      <c r="K469" s="19">
        <v>16</v>
      </c>
      <c r="L469" s="19">
        <v>5665.8</v>
      </c>
      <c r="M469" s="19">
        <f t="shared" si="21"/>
        <v>1474908.340000001</v>
      </c>
      <c r="N469" s="20">
        <f t="shared" si="22"/>
        <v>2767.1826266416529</v>
      </c>
      <c r="O469" s="19">
        <f t="shared" si="23"/>
        <v>1273</v>
      </c>
      <c r="P469" s="19" t="str">
        <v>High</v>
      </c>
    </row>
    <row r="470" spans="1:16" x14ac:dyDescent="0.3">
      <c r="A470" s="2" t="s">
        <v>336</v>
      </c>
      <c r="B470" s="2" t="s">
        <v>337</v>
      </c>
      <c r="C470" s="19" t="s">
        <v>338</v>
      </c>
      <c r="D470" s="19" t="s">
        <v>88</v>
      </c>
      <c r="E470" s="19" t="s">
        <v>68</v>
      </c>
      <c r="F470" s="19" t="s">
        <v>49</v>
      </c>
      <c r="G470" s="19" t="s">
        <v>54</v>
      </c>
      <c r="H470" s="19" t="s">
        <v>44</v>
      </c>
      <c r="I470" s="19">
        <v>2</v>
      </c>
      <c r="J470" s="19">
        <v>3926</v>
      </c>
      <c r="K470" s="19">
        <v>28</v>
      </c>
      <c r="L470" s="19">
        <v>5653.44</v>
      </c>
      <c r="M470" s="19">
        <f t="shared" si="21"/>
        <v>1469242.540000001</v>
      </c>
      <c r="N470" s="20">
        <f t="shared" si="22"/>
        <v>2761.7340977443628</v>
      </c>
      <c r="O470" s="19">
        <f t="shared" si="23"/>
        <v>1268</v>
      </c>
      <c r="P470" s="19" t="str">
        <v>High</v>
      </c>
    </row>
    <row r="471" spans="1:16" x14ac:dyDescent="0.3">
      <c r="A471" s="2" t="s">
        <v>1399</v>
      </c>
      <c r="B471" s="2" t="s">
        <v>985</v>
      </c>
      <c r="C471" s="19" t="s">
        <v>133</v>
      </c>
      <c r="D471" s="19" t="s">
        <v>15</v>
      </c>
      <c r="E471" s="19" t="s">
        <v>31</v>
      </c>
      <c r="F471" s="19" t="s">
        <v>40</v>
      </c>
      <c r="G471" s="19" t="s">
        <v>62</v>
      </c>
      <c r="H471" s="19" t="s">
        <v>19</v>
      </c>
      <c r="I471" s="19">
        <v>2</v>
      </c>
      <c r="J471" s="19">
        <v>3136</v>
      </c>
      <c r="K471" s="19">
        <v>10</v>
      </c>
      <c r="L471" s="19">
        <v>5644.8</v>
      </c>
      <c r="M471" s="19">
        <f t="shared" si="21"/>
        <v>1463589.1000000008</v>
      </c>
      <c r="N471" s="20">
        <f t="shared" si="22"/>
        <v>2756.2883239171388</v>
      </c>
      <c r="O471" s="19">
        <f t="shared" si="23"/>
        <v>1266</v>
      </c>
      <c r="P471" s="19" t="str">
        <v>High</v>
      </c>
    </row>
    <row r="472" spans="1:16" x14ac:dyDescent="0.3">
      <c r="A472" s="2" t="s">
        <v>460</v>
      </c>
      <c r="B472" s="2" t="s">
        <v>418</v>
      </c>
      <c r="C472" s="19" t="s">
        <v>461</v>
      </c>
      <c r="D472" s="19" t="s">
        <v>15</v>
      </c>
      <c r="E472" s="19" t="s">
        <v>48</v>
      </c>
      <c r="F472" s="19" t="s">
        <v>32</v>
      </c>
      <c r="G472" s="19" t="s">
        <v>40</v>
      </c>
      <c r="H472" s="19" t="s">
        <v>44</v>
      </c>
      <c r="I472" s="19">
        <v>4</v>
      </c>
      <c r="J472" s="19">
        <v>1451</v>
      </c>
      <c r="K472" s="19">
        <v>3</v>
      </c>
      <c r="L472" s="19">
        <v>5629.88</v>
      </c>
      <c r="M472" s="19">
        <f t="shared" si="21"/>
        <v>1457944.3000000005</v>
      </c>
      <c r="N472" s="20">
        <f t="shared" si="22"/>
        <v>2750.8383018867935</v>
      </c>
      <c r="O472" s="19">
        <f t="shared" si="23"/>
        <v>1264</v>
      </c>
      <c r="P472" s="19" t="str">
        <v>High</v>
      </c>
    </row>
    <row r="473" spans="1:16" x14ac:dyDescent="0.3">
      <c r="A473" s="2" t="s">
        <v>212</v>
      </c>
      <c r="B473" s="2" t="s">
        <v>213</v>
      </c>
      <c r="C473" s="19" t="s">
        <v>214</v>
      </c>
      <c r="D473" s="19" t="s">
        <v>53</v>
      </c>
      <c r="E473" s="19" t="s">
        <v>68</v>
      </c>
      <c r="F473" s="19" t="s">
        <v>49</v>
      </c>
      <c r="G473" s="19" t="s">
        <v>40</v>
      </c>
      <c r="H473" s="19" t="s">
        <v>19</v>
      </c>
      <c r="I473" s="19">
        <v>2</v>
      </c>
      <c r="J473" s="19">
        <v>3852</v>
      </c>
      <c r="K473" s="19">
        <v>27</v>
      </c>
      <c r="L473" s="19">
        <v>5623.92</v>
      </c>
      <c r="M473" s="19">
        <f t="shared" si="21"/>
        <v>1452314.4200000006</v>
      </c>
      <c r="N473" s="20">
        <f t="shared" si="22"/>
        <v>2745.3958790170145</v>
      </c>
      <c r="O473" s="19">
        <f t="shared" si="23"/>
        <v>1260</v>
      </c>
      <c r="P473" s="19" t="str">
        <v>High</v>
      </c>
    </row>
    <row r="474" spans="1:16" x14ac:dyDescent="0.3">
      <c r="A474" s="2" t="s">
        <v>560</v>
      </c>
      <c r="B474" s="2" t="s">
        <v>561</v>
      </c>
      <c r="C474" s="19" t="s">
        <v>562</v>
      </c>
      <c r="D474" s="19" t="s">
        <v>15</v>
      </c>
      <c r="E474" s="19" t="s">
        <v>31</v>
      </c>
      <c r="F474" s="19" t="s">
        <v>25</v>
      </c>
      <c r="G474" s="19" t="s">
        <v>40</v>
      </c>
      <c r="H474" s="19" t="s">
        <v>75</v>
      </c>
      <c r="I474" s="19">
        <v>2</v>
      </c>
      <c r="J474" s="19">
        <v>3422</v>
      </c>
      <c r="K474" s="19">
        <v>18</v>
      </c>
      <c r="L474" s="19">
        <v>5612.08</v>
      </c>
      <c r="M474" s="19">
        <f t="shared" si="21"/>
        <v>1446690.5000000005</v>
      </c>
      <c r="N474" s="20">
        <f t="shared" si="22"/>
        <v>2739.9441287878799</v>
      </c>
      <c r="O474" s="19">
        <f t="shared" si="23"/>
        <v>1258</v>
      </c>
      <c r="P474" s="19" t="str">
        <v>High</v>
      </c>
    </row>
    <row r="475" spans="1:16" x14ac:dyDescent="0.3">
      <c r="A475" s="2" t="s">
        <v>972</v>
      </c>
      <c r="B475" s="2" t="s">
        <v>731</v>
      </c>
      <c r="C475" s="19" t="s">
        <v>902</v>
      </c>
      <c r="D475" s="19" t="s">
        <v>53</v>
      </c>
      <c r="E475" s="19" t="s">
        <v>24</v>
      </c>
      <c r="F475" s="19" t="s">
        <v>17</v>
      </c>
      <c r="G475" s="19" t="s">
        <v>62</v>
      </c>
      <c r="H475" s="19" t="s">
        <v>75</v>
      </c>
      <c r="I475" s="19">
        <v>5</v>
      </c>
      <c r="J475" s="19">
        <v>1363</v>
      </c>
      <c r="K475" s="19">
        <v>18</v>
      </c>
      <c r="L475" s="19">
        <v>5588.3</v>
      </c>
      <c r="M475" s="19">
        <f t="shared" si="21"/>
        <v>1441078.4200000006</v>
      </c>
      <c r="N475" s="20">
        <f t="shared" si="22"/>
        <v>2734.4941555977243</v>
      </c>
      <c r="O475" s="19">
        <f t="shared" si="23"/>
        <v>1256</v>
      </c>
      <c r="P475" s="19" t="str">
        <v>High</v>
      </c>
    </row>
    <row r="476" spans="1:16" x14ac:dyDescent="0.3">
      <c r="A476" s="2" t="s">
        <v>386</v>
      </c>
      <c r="B476" s="2" t="s">
        <v>232</v>
      </c>
      <c r="C476" s="19" t="s">
        <v>322</v>
      </c>
      <c r="D476" s="19" t="s">
        <v>30</v>
      </c>
      <c r="E476" s="19" t="s">
        <v>24</v>
      </c>
      <c r="F476" s="19" t="s">
        <v>25</v>
      </c>
      <c r="G476" s="19" t="s">
        <v>54</v>
      </c>
      <c r="H476" s="19" t="s">
        <v>75</v>
      </c>
      <c r="I476" s="19">
        <v>2</v>
      </c>
      <c r="J476" s="19">
        <v>3620</v>
      </c>
      <c r="K476" s="19">
        <v>23</v>
      </c>
      <c r="L476" s="19">
        <v>5574.8</v>
      </c>
      <c r="M476" s="19">
        <f t="shared" si="21"/>
        <v>1435490.1200000008</v>
      </c>
      <c r="N476" s="20">
        <f t="shared" si="22"/>
        <v>2729.0686692015224</v>
      </c>
      <c r="O476" s="19">
        <f t="shared" si="23"/>
        <v>1251</v>
      </c>
      <c r="P476" s="19" t="str">
        <v>High</v>
      </c>
    </row>
    <row r="477" spans="1:16" x14ac:dyDescent="0.3">
      <c r="A477" s="2" t="s">
        <v>1105</v>
      </c>
      <c r="B477" s="2" t="s">
        <v>1106</v>
      </c>
      <c r="C477" s="19" t="s">
        <v>407</v>
      </c>
      <c r="D477" s="19" t="s">
        <v>53</v>
      </c>
      <c r="E477" s="19" t="s">
        <v>58</v>
      </c>
      <c r="F477" s="19" t="s">
        <v>40</v>
      </c>
      <c r="G477" s="19" t="s">
        <v>54</v>
      </c>
      <c r="H477" s="19" t="s">
        <v>33</v>
      </c>
      <c r="I477" s="19">
        <v>2</v>
      </c>
      <c r="J477" s="19">
        <v>3867</v>
      </c>
      <c r="K477" s="19">
        <v>28</v>
      </c>
      <c r="L477" s="19">
        <v>5568.48</v>
      </c>
      <c r="M477" s="19">
        <f t="shared" si="21"/>
        <v>1429915.3200000008</v>
      </c>
      <c r="N477" s="20">
        <f t="shared" si="22"/>
        <v>2723.6482285714301</v>
      </c>
      <c r="O477" s="19">
        <f t="shared" si="23"/>
        <v>1249</v>
      </c>
      <c r="P477" s="19" t="str">
        <v>High</v>
      </c>
    </row>
    <row r="478" spans="1:16" x14ac:dyDescent="0.3">
      <c r="A478" s="2" t="s">
        <v>63</v>
      </c>
      <c r="B478" s="2" t="s">
        <v>64</v>
      </c>
      <c r="C478" s="19" t="s">
        <v>39</v>
      </c>
      <c r="D478" s="19" t="s">
        <v>23</v>
      </c>
      <c r="E478" s="19" t="s">
        <v>58</v>
      </c>
      <c r="F478" s="19" t="s">
        <v>40</v>
      </c>
      <c r="G478" s="19" t="s">
        <v>18</v>
      </c>
      <c r="H478" s="19" t="s">
        <v>19</v>
      </c>
      <c r="I478" s="19">
        <v>4</v>
      </c>
      <c r="J478" s="19">
        <v>1873</v>
      </c>
      <c r="K478" s="19">
        <v>26</v>
      </c>
      <c r="L478" s="19">
        <v>5544.08</v>
      </c>
      <c r="M478" s="19">
        <f t="shared" si="21"/>
        <v>1424346.8400000008</v>
      </c>
      <c r="N478" s="20">
        <f t="shared" si="22"/>
        <v>2718.2191603053452</v>
      </c>
      <c r="O478" s="19">
        <f t="shared" si="23"/>
        <v>1247</v>
      </c>
      <c r="P478" s="19" t="str">
        <v>High</v>
      </c>
    </row>
    <row r="479" spans="1:16" x14ac:dyDescent="0.3">
      <c r="A479" s="2" t="s">
        <v>1477</v>
      </c>
      <c r="B479" s="2" t="s">
        <v>1478</v>
      </c>
      <c r="C479" s="19" t="s">
        <v>396</v>
      </c>
      <c r="D479" s="19" t="s">
        <v>15</v>
      </c>
      <c r="E479" s="19" t="s">
        <v>16</v>
      </c>
      <c r="F479" s="19" t="s">
        <v>25</v>
      </c>
      <c r="G479" s="19" t="s">
        <v>54</v>
      </c>
      <c r="H479" s="19" t="s">
        <v>44</v>
      </c>
      <c r="I479" s="19">
        <v>3</v>
      </c>
      <c r="J479" s="19">
        <v>2555</v>
      </c>
      <c r="K479" s="19">
        <v>28</v>
      </c>
      <c r="L479" s="19">
        <v>5518.8</v>
      </c>
      <c r="M479" s="19">
        <f t="shared" si="21"/>
        <v>1418802.7600000007</v>
      </c>
      <c r="N479" s="20">
        <f t="shared" si="22"/>
        <v>2712.8159847036341</v>
      </c>
      <c r="O479" s="19">
        <f t="shared" si="23"/>
        <v>1243</v>
      </c>
      <c r="P479" s="19" t="str">
        <v>High</v>
      </c>
    </row>
    <row r="480" spans="1:16" x14ac:dyDescent="0.3">
      <c r="A480" s="2" t="s">
        <v>1321</v>
      </c>
      <c r="B480" s="2" t="s">
        <v>569</v>
      </c>
      <c r="C480" s="19" t="s">
        <v>253</v>
      </c>
      <c r="D480" s="19" t="s">
        <v>30</v>
      </c>
      <c r="E480" s="19" t="s">
        <v>31</v>
      </c>
      <c r="F480" s="19" t="s">
        <v>40</v>
      </c>
      <c r="G480" s="19" t="s">
        <v>62</v>
      </c>
      <c r="H480" s="19" t="s">
        <v>75</v>
      </c>
      <c r="I480" s="19">
        <v>4</v>
      </c>
      <c r="J480" s="19">
        <v>1814</v>
      </c>
      <c r="K480" s="19">
        <v>24</v>
      </c>
      <c r="L480" s="19">
        <v>5514.56</v>
      </c>
      <c r="M480" s="19">
        <f t="shared" si="21"/>
        <v>1413283.9600000007</v>
      </c>
      <c r="N480" s="20">
        <f t="shared" si="22"/>
        <v>2707.4405363984688</v>
      </c>
      <c r="O480" s="19">
        <f t="shared" si="23"/>
        <v>1240</v>
      </c>
      <c r="P480" s="19" t="str">
        <v>High</v>
      </c>
    </row>
    <row r="481" spans="1:16" x14ac:dyDescent="0.3">
      <c r="A481" s="2" t="s">
        <v>1350</v>
      </c>
      <c r="B481" s="2" t="s">
        <v>876</v>
      </c>
      <c r="C481" s="19" t="s">
        <v>558</v>
      </c>
      <c r="D481" s="19" t="s">
        <v>88</v>
      </c>
      <c r="E481" s="19" t="s">
        <v>24</v>
      </c>
      <c r="F481" s="19" t="s">
        <v>40</v>
      </c>
      <c r="G481" s="19" t="s">
        <v>62</v>
      </c>
      <c r="H481" s="19" t="s">
        <v>33</v>
      </c>
      <c r="I481" s="19">
        <v>3</v>
      </c>
      <c r="J481" s="19">
        <v>2370</v>
      </c>
      <c r="K481" s="19">
        <v>23</v>
      </c>
      <c r="L481" s="19">
        <v>5474.7</v>
      </c>
      <c r="M481" s="19">
        <f t="shared" si="21"/>
        <v>1407769.4000000006</v>
      </c>
      <c r="N481" s="20">
        <f t="shared" si="22"/>
        <v>2702.0525911708264</v>
      </c>
      <c r="O481" s="19">
        <f t="shared" si="23"/>
        <v>1236</v>
      </c>
      <c r="P481" s="19" t="str">
        <v>High</v>
      </c>
    </row>
    <row r="482" spans="1:16" x14ac:dyDescent="0.3">
      <c r="A482" s="2" t="s">
        <v>399</v>
      </c>
      <c r="B482" s="2" t="s">
        <v>400</v>
      </c>
      <c r="C482" s="19" t="s">
        <v>401</v>
      </c>
      <c r="D482" s="19" t="s">
        <v>88</v>
      </c>
      <c r="E482" s="19" t="s">
        <v>68</v>
      </c>
      <c r="F482" s="19" t="s">
        <v>25</v>
      </c>
      <c r="G482" s="19" t="s">
        <v>40</v>
      </c>
      <c r="H482" s="19" t="s">
        <v>19</v>
      </c>
      <c r="I482" s="19">
        <v>4</v>
      </c>
      <c r="J482" s="19">
        <v>1590</v>
      </c>
      <c r="K482" s="19">
        <v>14</v>
      </c>
      <c r="L482" s="19">
        <v>5469.6</v>
      </c>
      <c r="M482" s="19">
        <f t="shared" si="21"/>
        <v>1402294.7000000009</v>
      </c>
      <c r="N482" s="20">
        <f t="shared" si="22"/>
        <v>2696.7205769230786</v>
      </c>
      <c r="O482" s="19">
        <f t="shared" si="23"/>
        <v>1233</v>
      </c>
      <c r="P482" s="19" t="str">
        <v>High</v>
      </c>
    </row>
    <row r="483" spans="1:16" x14ac:dyDescent="0.3">
      <c r="A483" s="2" t="s">
        <v>1213</v>
      </c>
      <c r="B483" s="2" t="s">
        <v>1214</v>
      </c>
      <c r="C483" s="19" t="s">
        <v>663</v>
      </c>
      <c r="D483" s="19" t="s">
        <v>15</v>
      </c>
      <c r="E483" s="19" t="s">
        <v>58</v>
      </c>
      <c r="F483" s="19" t="s">
        <v>25</v>
      </c>
      <c r="G483" s="19" t="s">
        <v>54</v>
      </c>
      <c r="H483" s="19" t="s">
        <v>44</v>
      </c>
      <c r="I483" s="19">
        <v>2</v>
      </c>
      <c r="J483" s="19">
        <v>3901</v>
      </c>
      <c r="K483" s="19">
        <v>30</v>
      </c>
      <c r="L483" s="19">
        <v>5461.4</v>
      </c>
      <c r="M483" s="19">
        <f t="shared" si="21"/>
        <v>1396825.1000000008</v>
      </c>
      <c r="N483" s="20">
        <f t="shared" si="22"/>
        <v>2691.3778420038552</v>
      </c>
      <c r="O483" s="19">
        <f t="shared" si="23"/>
        <v>1229</v>
      </c>
      <c r="P483" s="19" t="str">
        <v>High</v>
      </c>
    </row>
    <row r="484" spans="1:16" x14ac:dyDescent="0.3">
      <c r="A484" s="2" t="s">
        <v>72</v>
      </c>
      <c r="B484" s="2" t="s">
        <v>73</v>
      </c>
      <c r="C484" s="19" t="s">
        <v>74</v>
      </c>
      <c r="D484" s="19" t="s">
        <v>15</v>
      </c>
      <c r="E484" s="19" t="s">
        <v>24</v>
      </c>
      <c r="F484" s="19" t="s">
        <v>32</v>
      </c>
      <c r="G484" s="19" t="s">
        <v>18</v>
      </c>
      <c r="H484" s="19" t="s">
        <v>75</v>
      </c>
      <c r="I484" s="19">
        <v>2</v>
      </c>
      <c r="J484" s="19">
        <v>2873</v>
      </c>
      <c r="K484" s="19">
        <v>5</v>
      </c>
      <c r="L484" s="19">
        <v>5458.7</v>
      </c>
      <c r="M484" s="19">
        <f t="shared" si="21"/>
        <v>1391363.7000000009</v>
      </c>
      <c r="N484" s="20">
        <f t="shared" si="22"/>
        <v>2686.0303088803107</v>
      </c>
      <c r="O484" s="19">
        <f t="shared" si="23"/>
        <v>1227</v>
      </c>
      <c r="P484" s="19" t="str">
        <v>High</v>
      </c>
    </row>
    <row r="485" spans="1:16" x14ac:dyDescent="0.3">
      <c r="A485" s="2" t="s">
        <v>1339</v>
      </c>
      <c r="B485" s="2" t="s">
        <v>1338</v>
      </c>
      <c r="C485" s="19" t="s">
        <v>1340</v>
      </c>
      <c r="D485" s="19" t="s">
        <v>15</v>
      </c>
      <c r="E485" s="19" t="s">
        <v>79</v>
      </c>
      <c r="F485" s="19" t="s">
        <v>49</v>
      </c>
      <c r="G485" s="19" t="s">
        <v>40</v>
      </c>
      <c r="H485" s="19" t="s">
        <v>33</v>
      </c>
      <c r="I485" s="19">
        <v>2</v>
      </c>
      <c r="J485" s="19">
        <v>3671</v>
      </c>
      <c r="K485" s="19">
        <v>26</v>
      </c>
      <c r="L485" s="19">
        <v>5433.08</v>
      </c>
      <c r="M485" s="19">
        <f t="shared" si="21"/>
        <v>1385905.0000000007</v>
      </c>
      <c r="N485" s="20">
        <f t="shared" si="22"/>
        <v>2680.6673114119935</v>
      </c>
      <c r="O485" s="19">
        <f t="shared" si="23"/>
        <v>1225</v>
      </c>
      <c r="P485" s="19" t="str">
        <v>High</v>
      </c>
    </row>
    <row r="486" spans="1:16" x14ac:dyDescent="0.3">
      <c r="A486" s="2" t="s">
        <v>1416</v>
      </c>
      <c r="B486" s="2" t="s">
        <v>1368</v>
      </c>
      <c r="C486" s="19" t="s">
        <v>1266</v>
      </c>
      <c r="D486" s="19" t="s">
        <v>53</v>
      </c>
      <c r="E486" s="19" t="s">
        <v>68</v>
      </c>
      <c r="F486" s="19" t="s">
        <v>40</v>
      </c>
      <c r="G486" s="19" t="s">
        <v>18</v>
      </c>
      <c r="H486" s="19" t="s">
        <v>33</v>
      </c>
      <c r="I486" s="19">
        <v>4</v>
      </c>
      <c r="J486" s="19">
        <v>1695</v>
      </c>
      <c r="K486" s="19">
        <v>20</v>
      </c>
      <c r="L486" s="19">
        <v>5424</v>
      </c>
      <c r="M486" s="19">
        <f t="shared" si="21"/>
        <v>1380471.9200000009</v>
      </c>
      <c r="N486" s="20">
        <f t="shared" si="22"/>
        <v>2675.3331782945752</v>
      </c>
      <c r="O486" s="19">
        <f t="shared" si="23"/>
        <v>1223</v>
      </c>
      <c r="P486" s="19" t="str">
        <v>High</v>
      </c>
    </row>
    <row r="487" spans="1:16" x14ac:dyDescent="0.3">
      <c r="A487" s="2" t="s">
        <v>1481</v>
      </c>
      <c r="B487" s="2" t="s">
        <v>1482</v>
      </c>
      <c r="C487" s="19" t="s">
        <v>641</v>
      </c>
      <c r="D487" s="19" t="s">
        <v>53</v>
      </c>
      <c r="E487" s="19" t="s">
        <v>79</v>
      </c>
      <c r="F487" s="19" t="s">
        <v>32</v>
      </c>
      <c r="G487" s="19" t="s">
        <v>54</v>
      </c>
      <c r="H487" s="19" t="s">
        <v>75</v>
      </c>
      <c r="I487" s="19">
        <v>3</v>
      </c>
      <c r="J487" s="19">
        <v>2259</v>
      </c>
      <c r="K487" s="19">
        <v>20</v>
      </c>
      <c r="L487" s="19">
        <v>5421.6</v>
      </c>
      <c r="M487" s="19">
        <f t="shared" si="21"/>
        <v>1375047.9200000009</v>
      </c>
      <c r="N487" s="20">
        <f t="shared" si="22"/>
        <v>2669.9959611650502</v>
      </c>
      <c r="O487" s="19">
        <f t="shared" si="23"/>
        <v>1219</v>
      </c>
      <c r="P487" s="19" t="str">
        <v>High</v>
      </c>
    </row>
    <row r="488" spans="1:16" x14ac:dyDescent="0.3">
      <c r="A488" s="2" t="s">
        <v>339</v>
      </c>
      <c r="B488" s="2" t="s">
        <v>116</v>
      </c>
      <c r="C488" s="19" t="s">
        <v>267</v>
      </c>
      <c r="D488" s="19" t="s">
        <v>30</v>
      </c>
      <c r="E488" s="19" t="s">
        <v>79</v>
      </c>
      <c r="F488" s="19" t="s">
        <v>17</v>
      </c>
      <c r="G488" s="19" t="s">
        <v>18</v>
      </c>
      <c r="H488" s="19" t="s">
        <v>19</v>
      </c>
      <c r="I488" s="19">
        <v>5</v>
      </c>
      <c r="J488" s="19">
        <v>1246</v>
      </c>
      <c r="K488" s="19">
        <v>13</v>
      </c>
      <c r="L488" s="19">
        <v>5420.1</v>
      </c>
      <c r="M488" s="19">
        <f t="shared" si="21"/>
        <v>1369626.3200000008</v>
      </c>
      <c r="N488" s="20">
        <f t="shared" si="22"/>
        <v>2664.6426459143986</v>
      </c>
      <c r="O488" s="19">
        <f t="shared" si="23"/>
        <v>1216</v>
      </c>
      <c r="P488" s="19" t="str">
        <v>High</v>
      </c>
    </row>
    <row r="489" spans="1:16" x14ac:dyDescent="0.3">
      <c r="A489" s="2" t="s">
        <v>1172</v>
      </c>
      <c r="B489" s="2" t="s">
        <v>479</v>
      </c>
      <c r="C489" s="19" t="s">
        <v>241</v>
      </c>
      <c r="D489" s="19" t="s">
        <v>15</v>
      </c>
      <c r="E489" s="19" t="s">
        <v>16</v>
      </c>
      <c r="F489" s="19" t="s">
        <v>49</v>
      </c>
      <c r="G489" s="19" t="s">
        <v>54</v>
      </c>
      <c r="H489" s="19" t="s">
        <v>75</v>
      </c>
      <c r="I489" s="19">
        <v>4</v>
      </c>
      <c r="J489" s="19">
        <v>1400</v>
      </c>
      <c r="K489" s="19">
        <v>4</v>
      </c>
      <c r="L489" s="19">
        <v>5376</v>
      </c>
      <c r="M489" s="19">
        <f t="shared" si="21"/>
        <v>1364206.2200000009</v>
      </c>
      <c r="N489" s="20">
        <f t="shared" si="22"/>
        <v>2659.2713840155961</v>
      </c>
      <c r="O489" s="19">
        <f t="shared" si="23"/>
        <v>1211</v>
      </c>
      <c r="P489" s="19" t="str">
        <v>High</v>
      </c>
    </row>
    <row r="490" spans="1:16" x14ac:dyDescent="0.3">
      <c r="A490" s="2" t="s">
        <v>1619</v>
      </c>
      <c r="B490" s="2" t="s">
        <v>138</v>
      </c>
      <c r="C490" s="19" t="s">
        <v>258</v>
      </c>
      <c r="D490" s="19" t="s">
        <v>53</v>
      </c>
      <c r="E490" s="19" t="s">
        <v>58</v>
      </c>
      <c r="F490" s="19" t="s">
        <v>25</v>
      </c>
      <c r="G490" s="19" t="s">
        <v>40</v>
      </c>
      <c r="H490" s="19" t="s">
        <v>75</v>
      </c>
      <c r="I490" s="19">
        <v>2</v>
      </c>
      <c r="J490" s="19">
        <v>3759</v>
      </c>
      <c r="K490" s="19">
        <v>29</v>
      </c>
      <c r="L490" s="19">
        <v>5337.78</v>
      </c>
      <c r="M490" s="19">
        <f t="shared" si="21"/>
        <v>1358830.2200000009</v>
      </c>
      <c r="N490" s="20">
        <f t="shared" si="22"/>
        <v>2653.9652734375018</v>
      </c>
      <c r="O490" s="19">
        <f t="shared" si="23"/>
        <v>1207</v>
      </c>
      <c r="P490" s="19" t="str">
        <v>High</v>
      </c>
    </row>
    <row r="491" spans="1:16" x14ac:dyDescent="0.3">
      <c r="A491" s="2" t="s">
        <v>1091</v>
      </c>
      <c r="B491" s="2" t="s">
        <v>1083</v>
      </c>
      <c r="C491" s="19" t="s">
        <v>71</v>
      </c>
      <c r="D491" s="19" t="s">
        <v>15</v>
      </c>
      <c r="E491" s="19" t="s">
        <v>16</v>
      </c>
      <c r="F491" s="19" t="s">
        <v>40</v>
      </c>
      <c r="G491" s="19" t="s">
        <v>40</v>
      </c>
      <c r="H491" s="19" t="s">
        <v>75</v>
      </c>
      <c r="I491" s="19">
        <v>3</v>
      </c>
      <c r="J491" s="19">
        <v>2211</v>
      </c>
      <c r="K491" s="19">
        <v>20</v>
      </c>
      <c r="L491" s="19">
        <v>5306.4</v>
      </c>
      <c r="M491" s="19">
        <f t="shared" si="21"/>
        <v>1353492.4400000009</v>
      </c>
      <c r="N491" s="20">
        <f t="shared" si="22"/>
        <v>2648.7131898238763</v>
      </c>
      <c r="O491" s="19">
        <f t="shared" si="23"/>
        <v>1205</v>
      </c>
      <c r="P491" s="19" t="str">
        <v>High</v>
      </c>
    </row>
    <row r="492" spans="1:16" x14ac:dyDescent="0.3">
      <c r="A492" s="2" t="s">
        <v>89</v>
      </c>
      <c r="B492" s="2" t="s">
        <v>90</v>
      </c>
      <c r="C492" s="19" t="s">
        <v>91</v>
      </c>
      <c r="D492" s="19" t="s">
        <v>53</v>
      </c>
      <c r="E492" s="19" t="s">
        <v>68</v>
      </c>
      <c r="F492" s="19" t="s">
        <v>49</v>
      </c>
      <c r="G492" s="19" t="s">
        <v>26</v>
      </c>
      <c r="H492" s="19" t="s">
        <v>19</v>
      </c>
      <c r="I492" s="19">
        <v>3</v>
      </c>
      <c r="J492" s="19">
        <v>2358</v>
      </c>
      <c r="K492" s="19">
        <v>25</v>
      </c>
      <c r="L492" s="19">
        <v>5305.5</v>
      </c>
      <c r="M492" s="19">
        <f t="shared" si="21"/>
        <v>1348186.040000001</v>
      </c>
      <c r="N492" s="20">
        <f t="shared" si="22"/>
        <v>2643.502039215688</v>
      </c>
      <c r="O492" s="19">
        <f t="shared" si="23"/>
        <v>1202</v>
      </c>
      <c r="P492" s="19" t="str">
        <v>High</v>
      </c>
    </row>
    <row r="493" spans="1:16" x14ac:dyDescent="0.3">
      <c r="A493" s="2" t="s">
        <v>1132</v>
      </c>
      <c r="B493" s="2" t="s">
        <v>392</v>
      </c>
      <c r="C493" s="19" t="s">
        <v>1133</v>
      </c>
      <c r="D493" s="19" t="s">
        <v>53</v>
      </c>
      <c r="E493" s="19" t="s">
        <v>16</v>
      </c>
      <c r="F493" s="19" t="s">
        <v>25</v>
      </c>
      <c r="G493" s="19" t="s">
        <v>26</v>
      </c>
      <c r="H493" s="19" t="s">
        <v>75</v>
      </c>
      <c r="I493" s="19">
        <v>5</v>
      </c>
      <c r="J493" s="19">
        <v>1341</v>
      </c>
      <c r="K493" s="19">
        <v>21</v>
      </c>
      <c r="L493" s="19">
        <v>5296.95</v>
      </c>
      <c r="M493" s="19">
        <f t="shared" si="21"/>
        <v>1342880.540000001</v>
      </c>
      <c r="N493" s="20">
        <f t="shared" si="22"/>
        <v>2638.2721807465637</v>
      </c>
      <c r="O493" s="19">
        <f t="shared" si="23"/>
        <v>1199</v>
      </c>
      <c r="P493" s="19" t="str">
        <v>High</v>
      </c>
    </row>
    <row r="494" spans="1:16" x14ac:dyDescent="0.3">
      <c r="A494" s="2" t="s">
        <v>1400</v>
      </c>
      <c r="B494" s="2" t="s">
        <v>60</v>
      </c>
      <c r="C494" s="19" t="s">
        <v>1130</v>
      </c>
      <c r="D494" s="19" t="s">
        <v>53</v>
      </c>
      <c r="E494" s="19" t="s">
        <v>79</v>
      </c>
      <c r="F494" s="19" t="s">
        <v>32</v>
      </c>
      <c r="G494" s="19" t="s">
        <v>54</v>
      </c>
      <c r="H494" s="19" t="s">
        <v>19</v>
      </c>
      <c r="I494" s="19">
        <v>2</v>
      </c>
      <c r="J494" s="19">
        <v>3108</v>
      </c>
      <c r="K494" s="19">
        <v>15</v>
      </c>
      <c r="L494" s="19">
        <v>5283.6</v>
      </c>
      <c r="M494" s="19">
        <f t="shared" si="21"/>
        <v>1337583.5900000012</v>
      </c>
      <c r="N494" s="20">
        <f t="shared" si="22"/>
        <v>2633.0385629921284</v>
      </c>
      <c r="O494" s="19">
        <f t="shared" si="23"/>
        <v>1194</v>
      </c>
      <c r="P494" s="19" t="str">
        <v>High</v>
      </c>
    </row>
    <row r="495" spans="1:16" x14ac:dyDescent="0.3">
      <c r="A495" s="2" t="s">
        <v>693</v>
      </c>
      <c r="B495" s="2" t="s">
        <v>96</v>
      </c>
      <c r="C495" s="19" t="s">
        <v>267</v>
      </c>
      <c r="D495" s="19" t="s">
        <v>53</v>
      </c>
      <c r="E495" s="19" t="s">
        <v>24</v>
      </c>
      <c r="F495" s="19" t="s">
        <v>40</v>
      </c>
      <c r="G495" s="19" t="s">
        <v>26</v>
      </c>
      <c r="H495" s="19" t="s">
        <v>33</v>
      </c>
      <c r="I495" s="19">
        <v>2</v>
      </c>
      <c r="J495" s="19">
        <v>3669</v>
      </c>
      <c r="K495" s="19">
        <v>28</v>
      </c>
      <c r="L495" s="19">
        <v>5283.36</v>
      </c>
      <c r="M495" s="19">
        <f t="shared" si="21"/>
        <v>1332299.9900000012</v>
      </c>
      <c r="N495" s="20">
        <f t="shared" si="22"/>
        <v>2627.8106311637102</v>
      </c>
      <c r="O495" s="19">
        <f t="shared" si="23"/>
        <v>1192</v>
      </c>
      <c r="P495" s="19" t="str">
        <v>High</v>
      </c>
    </row>
    <row r="496" spans="1:16" x14ac:dyDescent="0.3">
      <c r="A496" s="2" t="s">
        <v>1363</v>
      </c>
      <c r="B496" s="2" t="s">
        <v>153</v>
      </c>
      <c r="C496" s="19" t="s">
        <v>968</v>
      </c>
      <c r="D496" s="19" t="s">
        <v>30</v>
      </c>
      <c r="E496" s="19" t="s">
        <v>48</v>
      </c>
      <c r="F496" s="19" t="s">
        <v>49</v>
      </c>
      <c r="G496" s="19" t="s">
        <v>54</v>
      </c>
      <c r="H496" s="19" t="s">
        <v>33</v>
      </c>
      <c r="I496" s="19">
        <v>5</v>
      </c>
      <c r="J496" s="19">
        <v>1075</v>
      </c>
      <c r="K496" s="19">
        <v>2</v>
      </c>
      <c r="L496" s="19">
        <v>5267.5</v>
      </c>
      <c r="M496" s="19">
        <f t="shared" si="21"/>
        <v>1327016.6300000013</v>
      </c>
      <c r="N496" s="20">
        <f t="shared" si="22"/>
        <v>2622.5625098814253</v>
      </c>
      <c r="O496" s="19">
        <f t="shared" si="23"/>
        <v>1190</v>
      </c>
      <c r="P496" s="19" t="str">
        <v>High</v>
      </c>
    </row>
    <row r="497" spans="1:16" x14ac:dyDescent="0.3">
      <c r="A497" s="2" t="s">
        <v>1312</v>
      </c>
      <c r="B497" s="2" t="s">
        <v>295</v>
      </c>
      <c r="C497" s="19" t="s">
        <v>711</v>
      </c>
      <c r="D497" s="19" t="s">
        <v>88</v>
      </c>
      <c r="E497" s="19" t="s">
        <v>79</v>
      </c>
      <c r="F497" s="19" t="s">
        <v>49</v>
      </c>
      <c r="G497" s="19" t="s">
        <v>62</v>
      </c>
      <c r="H497" s="19" t="s">
        <v>19</v>
      </c>
      <c r="I497" s="19">
        <v>3</v>
      </c>
      <c r="J497" s="19">
        <v>2503</v>
      </c>
      <c r="K497" s="19">
        <v>30</v>
      </c>
      <c r="L497" s="19">
        <v>5256.3</v>
      </c>
      <c r="M497" s="19">
        <f t="shared" si="21"/>
        <v>1321749.1300000013</v>
      </c>
      <c r="N497" s="20">
        <f t="shared" si="22"/>
        <v>2617.3250099009924</v>
      </c>
      <c r="O497" s="19">
        <f t="shared" si="23"/>
        <v>1185</v>
      </c>
      <c r="P497" s="19" t="str">
        <v>High</v>
      </c>
    </row>
    <row r="498" spans="1:16" x14ac:dyDescent="0.3">
      <c r="A498" s="2" t="s">
        <v>527</v>
      </c>
      <c r="B498" s="2" t="s">
        <v>528</v>
      </c>
      <c r="C498" s="19" t="s">
        <v>151</v>
      </c>
      <c r="D498" s="19" t="s">
        <v>23</v>
      </c>
      <c r="E498" s="19" t="s">
        <v>31</v>
      </c>
      <c r="F498" s="19" t="s">
        <v>49</v>
      </c>
      <c r="G498" s="19" t="s">
        <v>62</v>
      </c>
      <c r="H498" s="19" t="s">
        <v>44</v>
      </c>
      <c r="I498" s="19">
        <v>3</v>
      </c>
      <c r="J498" s="19">
        <v>2428</v>
      </c>
      <c r="K498" s="19">
        <v>28</v>
      </c>
      <c r="L498" s="19">
        <v>5244.48</v>
      </c>
      <c r="M498" s="19">
        <f t="shared" si="21"/>
        <v>1316492.8300000015</v>
      </c>
      <c r="N498" s="20">
        <f t="shared" si="22"/>
        <v>2612.0889484127015</v>
      </c>
      <c r="O498" s="19">
        <f t="shared" si="23"/>
        <v>1182</v>
      </c>
      <c r="P498" s="19" t="str">
        <v>High</v>
      </c>
    </row>
    <row r="499" spans="1:16" x14ac:dyDescent="0.3">
      <c r="A499" s="2" t="s">
        <v>1522</v>
      </c>
      <c r="B499" s="2" t="s">
        <v>1183</v>
      </c>
      <c r="C499" s="19" t="s">
        <v>99</v>
      </c>
      <c r="D499" s="19" t="s">
        <v>30</v>
      </c>
      <c r="E499" s="19" t="s">
        <v>68</v>
      </c>
      <c r="F499" s="19" t="s">
        <v>40</v>
      </c>
      <c r="G499" s="19" t="s">
        <v>54</v>
      </c>
      <c r="H499" s="19" t="s">
        <v>75</v>
      </c>
      <c r="I499" s="19">
        <v>2</v>
      </c>
      <c r="J499" s="19">
        <v>3636</v>
      </c>
      <c r="K499" s="19">
        <v>28</v>
      </c>
      <c r="L499" s="19">
        <v>5235.84</v>
      </c>
      <c r="M499" s="19">
        <f t="shared" si="21"/>
        <v>1311248.3500000015</v>
      </c>
      <c r="N499" s="20">
        <f t="shared" si="22"/>
        <v>2606.8555666004004</v>
      </c>
      <c r="O499" s="19">
        <f t="shared" si="23"/>
        <v>1179</v>
      </c>
      <c r="P499" s="19" t="str">
        <v>High</v>
      </c>
    </row>
    <row r="500" spans="1:16" x14ac:dyDescent="0.3">
      <c r="A500" s="2" t="s">
        <v>846</v>
      </c>
      <c r="B500" s="2" t="s">
        <v>243</v>
      </c>
      <c r="C500" s="19" t="s">
        <v>148</v>
      </c>
      <c r="D500" s="19" t="s">
        <v>88</v>
      </c>
      <c r="E500" s="19" t="s">
        <v>79</v>
      </c>
      <c r="F500" s="19" t="s">
        <v>17</v>
      </c>
      <c r="G500" s="19" t="s">
        <v>54</v>
      </c>
      <c r="H500" s="19" t="s">
        <v>19</v>
      </c>
      <c r="I500" s="19">
        <v>4</v>
      </c>
      <c r="J500" s="19">
        <v>1419</v>
      </c>
      <c r="K500" s="19">
        <v>8</v>
      </c>
      <c r="L500" s="19">
        <v>5221.92</v>
      </c>
      <c r="M500" s="19">
        <f t="shared" si="21"/>
        <v>1306012.5100000014</v>
      </c>
      <c r="N500" s="20">
        <f t="shared" si="22"/>
        <v>2601.6185458167361</v>
      </c>
      <c r="O500" s="19">
        <f t="shared" si="23"/>
        <v>1177</v>
      </c>
      <c r="P500" s="19" t="str">
        <v>High</v>
      </c>
    </row>
    <row r="501" spans="1:16" x14ac:dyDescent="0.3">
      <c r="A501" s="2" t="s">
        <v>796</v>
      </c>
      <c r="B501" s="2" t="s">
        <v>797</v>
      </c>
      <c r="C501" s="19" t="s">
        <v>721</v>
      </c>
      <c r="D501" s="19" t="s">
        <v>88</v>
      </c>
      <c r="E501" s="19" t="s">
        <v>68</v>
      </c>
      <c r="F501" s="19" t="s">
        <v>49</v>
      </c>
      <c r="G501" s="19" t="s">
        <v>18</v>
      </c>
      <c r="H501" s="19" t="s">
        <v>44</v>
      </c>
      <c r="I501" s="19">
        <v>3</v>
      </c>
      <c r="J501" s="19">
        <v>1755</v>
      </c>
      <c r="K501" s="19">
        <v>1</v>
      </c>
      <c r="L501" s="19">
        <v>5212.3500000000004</v>
      </c>
      <c r="M501" s="19">
        <f t="shared" si="21"/>
        <v>1300790.5900000015</v>
      </c>
      <c r="N501" s="20">
        <f t="shared" si="22"/>
        <v>2596.3884031936159</v>
      </c>
      <c r="O501" s="19">
        <f t="shared" si="23"/>
        <v>1173</v>
      </c>
      <c r="P501" s="19" t="str">
        <v>High</v>
      </c>
    </row>
    <row r="502" spans="1:16" x14ac:dyDescent="0.3">
      <c r="A502" s="2" t="s">
        <v>351</v>
      </c>
      <c r="B502" s="2" t="s">
        <v>352</v>
      </c>
      <c r="C502" s="19" t="s">
        <v>353</v>
      </c>
      <c r="D502" s="19" t="s">
        <v>53</v>
      </c>
      <c r="E502" s="19" t="s">
        <v>68</v>
      </c>
      <c r="F502" s="19" t="s">
        <v>49</v>
      </c>
      <c r="G502" s="19" t="s">
        <v>18</v>
      </c>
      <c r="H502" s="19" t="s">
        <v>75</v>
      </c>
      <c r="I502" s="19">
        <v>4</v>
      </c>
      <c r="J502" s="19">
        <v>1496</v>
      </c>
      <c r="K502" s="19">
        <v>13</v>
      </c>
      <c r="L502" s="19">
        <v>5206.08</v>
      </c>
      <c r="M502" s="19">
        <f t="shared" si="21"/>
        <v>1295578.2400000012</v>
      </c>
      <c r="N502" s="20">
        <f t="shared" si="22"/>
        <v>2591.1564800000024</v>
      </c>
      <c r="O502" s="19">
        <f t="shared" si="23"/>
        <v>1170</v>
      </c>
      <c r="P502" s="19" t="str">
        <v>High</v>
      </c>
    </row>
    <row r="503" spans="1:16" x14ac:dyDescent="0.3">
      <c r="A503" s="2" t="s">
        <v>484</v>
      </c>
      <c r="B503" s="2" t="s">
        <v>485</v>
      </c>
      <c r="C503" s="19" t="s">
        <v>36</v>
      </c>
      <c r="D503" s="19" t="s">
        <v>53</v>
      </c>
      <c r="E503" s="19" t="s">
        <v>24</v>
      </c>
      <c r="F503" s="19" t="s">
        <v>49</v>
      </c>
      <c r="G503" s="19" t="s">
        <v>54</v>
      </c>
      <c r="H503" s="19" t="s">
        <v>19</v>
      </c>
      <c r="I503" s="19">
        <v>2</v>
      </c>
      <c r="J503" s="19">
        <v>3706</v>
      </c>
      <c r="K503" s="19">
        <v>30</v>
      </c>
      <c r="L503" s="19">
        <v>5188.3999999999996</v>
      </c>
      <c r="M503" s="19">
        <f t="shared" si="21"/>
        <v>1290372.1600000013</v>
      </c>
      <c r="N503" s="20">
        <f t="shared" si="22"/>
        <v>2585.9161523046118</v>
      </c>
      <c r="O503" s="19">
        <f t="shared" si="23"/>
        <v>1166</v>
      </c>
      <c r="P503" s="19" t="str">
        <v>High</v>
      </c>
    </row>
    <row r="504" spans="1:16" x14ac:dyDescent="0.3">
      <c r="A504" s="2" t="s">
        <v>209</v>
      </c>
      <c r="B504" s="2" t="s">
        <v>210</v>
      </c>
      <c r="C504" s="19" t="s">
        <v>211</v>
      </c>
      <c r="D504" s="19" t="s">
        <v>23</v>
      </c>
      <c r="E504" s="19" t="s">
        <v>16</v>
      </c>
      <c r="F504" s="19" t="s">
        <v>17</v>
      </c>
      <c r="G504" s="19" t="s">
        <v>26</v>
      </c>
      <c r="H504" s="19" t="s">
        <v>75</v>
      </c>
      <c r="I504" s="19">
        <v>5</v>
      </c>
      <c r="J504" s="19">
        <v>1163</v>
      </c>
      <c r="K504" s="19">
        <v>11</v>
      </c>
      <c r="L504" s="19">
        <v>5175.3500000000004</v>
      </c>
      <c r="M504" s="19">
        <f t="shared" si="21"/>
        <v>1285183.7600000012</v>
      </c>
      <c r="N504" s="20">
        <f t="shared" si="22"/>
        <v>2580.6902811245004</v>
      </c>
      <c r="O504" s="19">
        <f t="shared" si="23"/>
        <v>1164</v>
      </c>
      <c r="P504" s="19" t="str">
        <v>High</v>
      </c>
    </row>
    <row r="505" spans="1:16" x14ac:dyDescent="0.3">
      <c r="A505" s="2" t="s">
        <v>1286</v>
      </c>
      <c r="B505" s="2" t="s">
        <v>366</v>
      </c>
      <c r="C505" s="19" t="s">
        <v>404</v>
      </c>
      <c r="D505" s="19" t="s">
        <v>30</v>
      </c>
      <c r="E505" s="19" t="s">
        <v>68</v>
      </c>
      <c r="F505" s="19" t="s">
        <v>49</v>
      </c>
      <c r="G505" s="19" t="s">
        <v>26</v>
      </c>
      <c r="H505" s="19" t="s">
        <v>33</v>
      </c>
      <c r="I505" s="19">
        <v>3</v>
      </c>
      <c r="J505" s="19">
        <v>2331</v>
      </c>
      <c r="K505" s="19">
        <v>26</v>
      </c>
      <c r="L505" s="19">
        <v>5174.82</v>
      </c>
      <c r="M505" s="19">
        <f t="shared" si="21"/>
        <v>1280008.4100000015</v>
      </c>
      <c r="N505" s="20">
        <f t="shared" si="22"/>
        <v>2575.469637826965</v>
      </c>
      <c r="O505" s="19">
        <f t="shared" si="23"/>
        <v>1159</v>
      </c>
      <c r="P505" s="19" t="str">
        <v>High</v>
      </c>
    </row>
    <row r="506" spans="1:16" x14ac:dyDescent="0.3">
      <c r="A506" s="2" t="s">
        <v>326</v>
      </c>
      <c r="B506" s="2" t="s">
        <v>327</v>
      </c>
      <c r="C506" s="19" t="s">
        <v>328</v>
      </c>
      <c r="D506" s="19" t="s">
        <v>88</v>
      </c>
      <c r="E506" s="19" t="s">
        <v>16</v>
      </c>
      <c r="F506" s="19" t="s">
        <v>49</v>
      </c>
      <c r="G506" s="19" t="s">
        <v>26</v>
      </c>
      <c r="H506" s="19" t="s">
        <v>44</v>
      </c>
      <c r="I506" s="19">
        <v>3</v>
      </c>
      <c r="J506" s="19">
        <v>2075</v>
      </c>
      <c r="K506" s="19">
        <v>17</v>
      </c>
      <c r="L506" s="19">
        <v>5166.75</v>
      </c>
      <c r="M506" s="19">
        <f t="shared" si="21"/>
        <v>1274833.5900000017</v>
      </c>
      <c r="N506" s="20">
        <f t="shared" si="22"/>
        <v>2570.2290120967778</v>
      </c>
      <c r="O506" s="19">
        <f t="shared" si="23"/>
        <v>1156</v>
      </c>
      <c r="P506" s="19" t="str">
        <v>High</v>
      </c>
    </row>
    <row r="507" spans="1:16" x14ac:dyDescent="0.3">
      <c r="A507" s="2" t="s">
        <v>607</v>
      </c>
      <c r="B507" s="2" t="s">
        <v>101</v>
      </c>
      <c r="C507" s="19" t="s">
        <v>169</v>
      </c>
      <c r="D507" s="19" t="s">
        <v>53</v>
      </c>
      <c r="E507" s="19" t="s">
        <v>68</v>
      </c>
      <c r="F507" s="19" t="s">
        <v>40</v>
      </c>
      <c r="G507" s="19" t="s">
        <v>18</v>
      </c>
      <c r="H507" s="19" t="s">
        <v>44</v>
      </c>
      <c r="I507" s="19">
        <v>5</v>
      </c>
      <c r="J507" s="19">
        <v>1092</v>
      </c>
      <c r="K507" s="19">
        <v>6</v>
      </c>
      <c r="L507" s="19">
        <v>5132.3999999999996</v>
      </c>
      <c r="M507" s="19">
        <f t="shared" si="21"/>
        <v>1269666.8400000015</v>
      </c>
      <c r="N507" s="20">
        <f t="shared" si="22"/>
        <v>2564.9835151515181</v>
      </c>
      <c r="O507" s="19">
        <f t="shared" si="23"/>
        <v>1153</v>
      </c>
      <c r="P507" s="19" t="str">
        <v>High</v>
      </c>
    </row>
    <row r="508" spans="1:16" x14ac:dyDescent="0.3">
      <c r="A508" s="2" t="s">
        <v>706</v>
      </c>
      <c r="B508" s="2" t="s">
        <v>707</v>
      </c>
      <c r="C508" s="19" t="s">
        <v>675</v>
      </c>
      <c r="D508" s="19" t="s">
        <v>88</v>
      </c>
      <c r="E508" s="19" t="s">
        <v>31</v>
      </c>
      <c r="F508" s="19" t="s">
        <v>17</v>
      </c>
      <c r="G508" s="19" t="s">
        <v>18</v>
      </c>
      <c r="H508" s="19" t="s">
        <v>44</v>
      </c>
      <c r="I508" s="19">
        <v>2</v>
      </c>
      <c r="J508" s="19">
        <v>3247</v>
      </c>
      <c r="K508" s="19">
        <v>21</v>
      </c>
      <c r="L508" s="19">
        <v>5130.26</v>
      </c>
      <c r="M508" s="19">
        <f t="shared" si="21"/>
        <v>1264534.4400000016</v>
      </c>
      <c r="N508" s="20">
        <f t="shared" si="22"/>
        <v>2559.7863157894767</v>
      </c>
      <c r="O508" s="19">
        <f t="shared" si="23"/>
        <v>1148</v>
      </c>
      <c r="P508" s="19" t="str">
        <v>High</v>
      </c>
    </row>
    <row r="509" spans="1:16" x14ac:dyDescent="0.3">
      <c r="A509" s="2" t="s">
        <v>1560</v>
      </c>
      <c r="B509" s="2" t="s">
        <v>1201</v>
      </c>
      <c r="C509" s="19" t="s">
        <v>1561</v>
      </c>
      <c r="D509" s="19" t="s">
        <v>30</v>
      </c>
      <c r="E509" s="19" t="s">
        <v>58</v>
      </c>
      <c r="F509" s="19" t="s">
        <v>49</v>
      </c>
      <c r="G509" s="19" t="s">
        <v>62</v>
      </c>
      <c r="H509" s="19" t="s">
        <v>44</v>
      </c>
      <c r="I509" s="19">
        <v>5</v>
      </c>
      <c r="J509" s="19">
        <v>1347</v>
      </c>
      <c r="K509" s="19">
        <v>24</v>
      </c>
      <c r="L509" s="19">
        <v>5118.6000000000004</v>
      </c>
      <c r="M509" s="19">
        <f t="shared" si="21"/>
        <v>1259404.1800000016</v>
      </c>
      <c r="N509" s="20">
        <f t="shared" si="22"/>
        <v>2554.5723732251554</v>
      </c>
      <c r="O509" s="19">
        <f t="shared" si="23"/>
        <v>1146</v>
      </c>
      <c r="P509" s="19" t="str">
        <v>High</v>
      </c>
    </row>
    <row r="510" spans="1:16" x14ac:dyDescent="0.3">
      <c r="A510" s="2" t="s">
        <v>1347</v>
      </c>
      <c r="B510" s="2" t="s">
        <v>177</v>
      </c>
      <c r="C510" s="19" t="s">
        <v>555</v>
      </c>
      <c r="D510" s="19" t="s">
        <v>15</v>
      </c>
      <c r="E510" s="19" t="s">
        <v>58</v>
      </c>
      <c r="F510" s="19" t="s">
        <v>17</v>
      </c>
      <c r="G510" s="19" t="s">
        <v>62</v>
      </c>
      <c r="H510" s="19" t="s">
        <v>19</v>
      </c>
      <c r="I510" s="19">
        <v>5</v>
      </c>
      <c r="J510" s="19">
        <v>1260</v>
      </c>
      <c r="K510" s="19">
        <v>19</v>
      </c>
      <c r="L510" s="19">
        <v>5103</v>
      </c>
      <c r="M510" s="19">
        <f t="shared" si="21"/>
        <v>1254285.5800000017</v>
      </c>
      <c r="N510" s="20">
        <f t="shared" si="22"/>
        <v>2549.360934959353</v>
      </c>
      <c r="O510" s="19">
        <f t="shared" si="23"/>
        <v>1141</v>
      </c>
      <c r="P510" s="19" t="str">
        <v>High</v>
      </c>
    </row>
    <row r="511" spans="1:16" x14ac:dyDescent="0.3">
      <c r="A511" s="2" t="s">
        <v>378</v>
      </c>
      <c r="B511" s="2" t="s">
        <v>379</v>
      </c>
      <c r="C511" s="19" t="s">
        <v>133</v>
      </c>
      <c r="D511" s="19" t="s">
        <v>15</v>
      </c>
      <c r="E511" s="19" t="s">
        <v>58</v>
      </c>
      <c r="F511" s="19" t="s">
        <v>25</v>
      </c>
      <c r="G511" s="19" t="s">
        <v>18</v>
      </c>
      <c r="H511" s="19" t="s">
        <v>44</v>
      </c>
      <c r="I511" s="19">
        <v>4</v>
      </c>
      <c r="J511" s="19">
        <v>1822</v>
      </c>
      <c r="K511" s="19">
        <v>30</v>
      </c>
      <c r="L511" s="19">
        <v>5101.6000000000004</v>
      </c>
      <c r="M511" s="19">
        <f t="shared" si="21"/>
        <v>1249182.5800000015</v>
      </c>
      <c r="N511" s="20">
        <f t="shared" si="22"/>
        <v>2544.1600407332007</v>
      </c>
      <c r="O511" s="19">
        <f t="shared" si="23"/>
        <v>1136</v>
      </c>
      <c r="P511" s="19" t="str">
        <v>High</v>
      </c>
    </row>
    <row r="512" spans="1:16" x14ac:dyDescent="0.3">
      <c r="A512" s="2" t="s">
        <v>669</v>
      </c>
      <c r="B512" s="2" t="s">
        <v>440</v>
      </c>
      <c r="C512" s="19" t="s">
        <v>670</v>
      </c>
      <c r="D512" s="19" t="s">
        <v>30</v>
      </c>
      <c r="E512" s="19" t="s">
        <v>68</v>
      </c>
      <c r="F512" s="19" t="s">
        <v>17</v>
      </c>
      <c r="G512" s="19" t="s">
        <v>18</v>
      </c>
      <c r="H512" s="19" t="s">
        <v>19</v>
      </c>
      <c r="I512" s="19">
        <v>2</v>
      </c>
      <c r="J512" s="19">
        <v>2678</v>
      </c>
      <c r="K512" s="19">
        <v>5</v>
      </c>
      <c r="L512" s="19">
        <v>5088.2</v>
      </c>
      <c r="M512" s="19">
        <f t="shared" si="21"/>
        <v>1244080.9800000016</v>
      </c>
      <c r="N512" s="20">
        <f t="shared" si="22"/>
        <v>2538.9407755102075</v>
      </c>
      <c r="O512" s="19">
        <f t="shared" si="23"/>
        <v>1132</v>
      </c>
      <c r="P512" s="19" t="str">
        <v>High</v>
      </c>
    </row>
    <row r="513" spans="1:16" x14ac:dyDescent="0.3">
      <c r="A513" s="2" t="s">
        <v>204</v>
      </c>
      <c r="B513" s="2" t="s">
        <v>205</v>
      </c>
      <c r="C513" s="19" t="s">
        <v>206</v>
      </c>
      <c r="D513" s="19" t="s">
        <v>30</v>
      </c>
      <c r="E513" s="19" t="s">
        <v>16</v>
      </c>
      <c r="F513" s="19" t="s">
        <v>17</v>
      </c>
      <c r="G513" s="19" t="s">
        <v>62</v>
      </c>
      <c r="H513" s="19" t="s">
        <v>75</v>
      </c>
      <c r="I513" s="19">
        <v>4</v>
      </c>
      <c r="J513" s="19">
        <v>1781</v>
      </c>
      <c r="K513" s="19">
        <v>29</v>
      </c>
      <c r="L513" s="19">
        <v>5058.04</v>
      </c>
      <c r="M513" s="19">
        <f t="shared" si="21"/>
        <v>1238992.7800000014</v>
      </c>
      <c r="N513" s="20">
        <f t="shared" si="22"/>
        <v>2533.7275664621707</v>
      </c>
      <c r="O513" s="19">
        <f t="shared" si="23"/>
        <v>1130</v>
      </c>
      <c r="P513" s="19" t="str">
        <v>High</v>
      </c>
    </row>
    <row r="514" spans="1:16" x14ac:dyDescent="0.3">
      <c r="A514" s="2" t="s">
        <v>1304</v>
      </c>
      <c r="B514" s="2" t="s">
        <v>463</v>
      </c>
      <c r="C514" s="19" t="s">
        <v>71</v>
      </c>
      <c r="D514" s="19" t="s">
        <v>88</v>
      </c>
      <c r="E514" s="19" t="s">
        <v>79</v>
      </c>
      <c r="F514" s="19" t="s">
        <v>32</v>
      </c>
      <c r="G514" s="19" t="s">
        <v>26</v>
      </c>
      <c r="H514" s="19" t="s">
        <v>44</v>
      </c>
      <c r="I514" s="19">
        <v>2</v>
      </c>
      <c r="J514" s="19">
        <v>2541</v>
      </c>
      <c r="K514" s="19">
        <v>1</v>
      </c>
      <c r="L514" s="19">
        <v>5031.18</v>
      </c>
      <c r="M514" s="19">
        <f t="shared" ref="M514:M577" si="24">SUM(L514:L1513)</f>
        <v>1233934.7400000014</v>
      </c>
      <c r="N514" s="20">
        <f t="shared" ref="N514:N577" si="25">AVERAGE(L514:L1513)</f>
        <v>2528.55479508197</v>
      </c>
      <c r="O514" s="19">
        <f t="shared" ref="O514:O577" si="26">SUM(I514:I1513)</f>
        <v>1126</v>
      </c>
      <c r="P514" s="19" t="str">
        <v>High</v>
      </c>
    </row>
    <row r="515" spans="1:16" x14ac:dyDescent="0.3">
      <c r="A515" s="2" t="s">
        <v>666</v>
      </c>
      <c r="B515" s="2" t="s">
        <v>667</v>
      </c>
      <c r="C515" s="19" t="s">
        <v>668</v>
      </c>
      <c r="D515" s="19" t="s">
        <v>30</v>
      </c>
      <c r="E515" s="19" t="s">
        <v>24</v>
      </c>
      <c r="F515" s="19" t="s">
        <v>32</v>
      </c>
      <c r="G515" s="19" t="s">
        <v>54</v>
      </c>
      <c r="H515" s="19" t="s">
        <v>33</v>
      </c>
      <c r="I515" s="19">
        <v>2</v>
      </c>
      <c r="J515" s="19">
        <v>3173</v>
      </c>
      <c r="K515" s="19">
        <v>21</v>
      </c>
      <c r="L515" s="19">
        <v>5013.34</v>
      </c>
      <c r="M515" s="19">
        <f t="shared" si="24"/>
        <v>1228903.5600000012</v>
      </c>
      <c r="N515" s="20">
        <f t="shared" si="25"/>
        <v>2523.4159342915837</v>
      </c>
      <c r="O515" s="19">
        <f t="shared" si="26"/>
        <v>1124</v>
      </c>
      <c r="P515" s="19" t="str">
        <v>High</v>
      </c>
    </row>
    <row r="516" spans="1:16" x14ac:dyDescent="0.3">
      <c r="A516" s="2" t="s">
        <v>1664</v>
      </c>
      <c r="B516" s="2" t="s">
        <v>1410</v>
      </c>
      <c r="C516" s="19" t="s">
        <v>127</v>
      </c>
      <c r="D516" s="19" t="s">
        <v>53</v>
      </c>
      <c r="E516" s="19" t="s">
        <v>16</v>
      </c>
      <c r="F516" s="19" t="s">
        <v>17</v>
      </c>
      <c r="G516" s="19" t="s">
        <v>54</v>
      </c>
      <c r="H516" s="19" t="s">
        <v>75</v>
      </c>
      <c r="I516" s="19">
        <v>3</v>
      </c>
      <c r="J516" s="19">
        <v>2169</v>
      </c>
      <c r="K516" s="19">
        <v>23</v>
      </c>
      <c r="L516" s="19">
        <v>5010.3900000000003</v>
      </c>
      <c r="M516" s="19">
        <f t="shared" si="24"/>
        <v>1223890.2200000011</v>
      </c>
      <c r="N516" s="20">
        <f t="shared" si="25"/>
        <v>2518.2926337448584</v>
      </c>
      <c r="O516" s="19">
        <f t="shared" si="26"/>
        <v>1122</v>
      </c>
      <c r="P516" s="19" t="str">
        <v>High</v>
      </c>
    </row>
    <row r="517" spans="1:16" x14ac:dyDescent="0.3">
      <c r="A517" s="2" t="s">
        <v>1632</v>
      </c>
      <c r="B517" s="2" t="s">
        <v>634</v>
      </c>
      <c r="C517" s="19" t="s">
        <v>555</v>
      </c>
      <c r="D517" s="19" t="s">
        <v>30</v>
      </c>
      <c r="E517" s="19" t="s">
        <v>31</v>
      </c>
      <c r="F517" s="19" t="s">
        <v>17</v>
      </c>
      <c r="G517" s="19" t="s">
        <v>54</v>
      </c>
      <c r="H517" s="19" t="s">
        <v>33</v>
      </c>
      <c r="I517" s="19">
        <v>2</v>
      </c>
      <c r="J517" s="19">
        <v>2549</v>
      </c>
      <c r="K517" s="19">
        <v>2</v>
      </c>
      <c r="L517" s="19">
        <v>4996.04</v>
      </c>
      <c r="M517" s="19">
        <f t="shared" si="24"/>
        <v>1218879.830000001</v>
      </c>
      <c r="N517" s="20">
        <f t="shared" si="25"/>
        <v>2513.1542886597958</v>
      </c>
      <c r="O517" s="19">
        <f t="shared" si="26"/>
        <v>1119</v>
      </c>
      <c r="P517" s="19" t="str">
        <v>High</v>
      </c>
    </row>
    <row r="518" spans="1:16" x14ac:dyDescent="0.3">
      <c r="A518" s="2" t="s">
        <v>533</v>
      </c>
      <c r="B518" s="2" t="s">
        <v>534</v>
      </c>
      <c r="C518" s="19" t="s">
        <v>535</v>
      </c>
      <c r="D518" s="19" t="s">
        <v>15</v>
      </c>
      <c r="E518" s="19" t="s">
        <v>31</v>
      </c>
      <c r="F518" s="19" t="s">
        <v>25</v>
      </c>
      <c r="G518" s="19" t="s">
        <v>26</v>
      </c>
      <c r="H518" s="19" t="s">
        <v>33</v>
      </c>
      <c r="I518" s="19">
        <v>4</v>
      </c>
      <c r="J518" s="19">
        <v>1402</v>
      </c>
      <c r="K518" s="19">
        <v>11</v>
      </c>
      <c r="L518" s="19">
        <v>4991.12</v>
      </c>
      <c r="M518" s="19">
        <f t="shared" si="24"/>
        <v>1213883.7900000012</v>
      </c>
      <c r="N518" s="20">
        <f t="shared" si="25"/>
        <v>2508.0243595041347</v>
      </c>
      <c r="O518" s="19">
        <f t="shared" si="26"/>
        <v>1117</v>
      </c>
      <c r="P518" s="19" t="str">
        <v>High</v>
      </c>
    </row>
    <row r="519" spans="1:16" x14ac:dyDescent="0.3">
      <c r="A519" s="2" t="s">
        <v>1558</v>
      </c>
      <c r="B519" s="2" t="s">
        <v>677</v>
      </c>
      <c r="C519" s="19" t="s">
        <v>267</v>
      </c>
      <c r="D519" s="19" t="s">
        <v>88</v>
      </c>
      <c r="E519" s="19" t="s">
        <v>24</v>
      </c>
      <c r="F519" s="19" t="s">
        <v>32</v>
      </c>
      <c r="G519" s="19" t="s">
        <v>62</v>
      </c>
      <c r="H519" s="19" t="s">
        <v>19</v>
      </c>
      <c r="I519" s="19">
        <v>1</v>
      </c>
      <c r="J519" s="19">
        <v>4971</v>
      </c>
      <c r="K519" s="19">
        <v>0</v>
      </c>
      <c r="L519" s="19">
        <v>4971</v>
      </c>
      <c r="M519" s="19">
        <f t="shared" si="24"/>
        <v>1208892.6700000013</v>
      </c>
      <c r="N519" s="20">
        <f t="shared" si="25"/>
        <v>2502.8833747412036</v>
      </c>
      <c r="O519" s="19">
        <f t="shared" si="26"/>
        <v>1113</v>
      </c>
      <c r="P519" s="19" t="str">
        <v>High</v>
      </c>
    </row>
    <row r="520" spans="1:16" x14ac:dyDescent="0.3">
      <c r="A520" s="2" t="s">
        <v>1196</v>
      </c>
      <c r="B520" s="2" t="s">
        <v>746</v>
      </c>
      <c r="C520" s="19" t="s">
        <v>758</v>
      </c>
      <c r="D520" s="19" t="s">
        <v>30</v>
      </c>
      <c r="E520" s="19" t="s">
        <v>24</v>
      </c>
      <c r="F520" s="19" t="s">
        <v>32</v>
      </c>
      <c r="G520" s="19" t="s">
        <v>62</v>
      </c>
      <c r="H520" s="19" t="s">
        <v>75</v>
      </c>
      <c r="I520" s="19">
        <v>3</v>
      </c>
      <c r="J520" s="19">
        <v>2365</v>
      </c>
      <c r="K520" s="19">
        <v>30</v>
      </c>
      <c r="L520" s="19">
        <v>4966.5</v>
      </c>
      <c r="M520" s="19">
        <f t="shared" si="24"/>
        <v>1203921.6700000013</v>
      </c>
      <c r="N520" s="20">
        <f t="shared" si="25"/>
        <v>2497.7628008298784</v>
      </c>
      <c r="O520" s="19">
        <f t="shared" si="26"/>
        <v>1112</v>
      </c>
      <c r="P520" s="19" t="str">
        <v>High</v>
      </c>
    </row>
    <row r="521" spans="1:16" x14ac:dyDescent="0.3">
      <c r="A521" s="2" t="s">
        <v>143</v>
      </c>
      <c r="B521" s="2" t="s">
        <v>144</v>
      </c>
      <c r="C521" s="19" t="s">
        <v>145</v>
      </c>
      <c r="D521" s="19" t="s">
        <v>30</v>
      </c>
      <c r="E521" s="19" t="s">
        <v>79</v>
      </c>
      <c r="F521" s="19" t="s">
        <v>40</v>
      </c>
      <c r="G521" s="19" t="s">
        <v>26</v>
      </c>
      <c r="H521" s="19" t="s">
        <v>19</v>
      </c>
      <c r="I521" s="19">
        <v>2</v>
      </c>
      <c r="J521" s="19">
        <v>2773</v>
      </c>
      <c r="K521" s="19">
        <v>11</v>
      </c>
      <c r="L521" s="19">
        <v>4935.9399999999996</v>
      </c>
      <c r="M521" s="19">
        <f t="shared" si="24"/>
        <v>1198955.1700000013</v>
      </c>
      <c r="N521" s="20">
        <f t="shared" si="25"/>
        <v>2492.630291060294</v>
      </c>
      <c r="O521" s="19">
        <f t="shared" si="26"/>
        <v>1109</v>
      </c>
      <c r="P521" s="19" t="str">
        <v>High</v>
      </c>
    </row>
    <row r="522" spans="1:16" x14ac:dyDescent="0.3">
      <c r="A522" s="2" t="s">
        <v>539</v>
      </c>
      <c r="B522" s="2" t="s">
        <v>540</v>
      </c>
      <c r="C522" s="19" t="s">
        <v>468</v>
      </c>
      <c r="D522" s="19" t="s">
        <v>88</v>
      </c>
      <c r="E522" s="19" t="s">
        <v>68</v>
      </c>
      <c r="F522" s="19" t="s">
        <v>17</v>
      </c>
      <c r="G522" s="19" t="s">
        <v>40</v>
      </c>
      <c r="H522" s="19" t="s">
        <v>33</v>
      </c>
      <c r="I522" s="19">
        <v>4</v>
      </c>
      <c r="J522" s="19">
        <v>1602</v>
      </c>
      <c r="K522" s="19">
        <v>23</v>
      </c>
      <c r="L522" s="19">
        <v>4934.16</v>
      </c>
      <c r="M522" s="19">
        <f t="shared" si="24"/>
        <v>1194019.2300000009</v>
      </c>
      <c r="N522" s="20">
        <f t="shared" si="25"/>
        <v>2487.540062500002</v>
      </c>
      <c r="O522" s="19">
        <f t="shared" si="26"/>
        <v>1107</v>
      </c>
      <c r="P522" s="19" t="str">
        <v>High</v>
      </c>
    </row>
    <row r="523" spans="1:16" x14ac:dyDescent="0.3">
      <c r="A523" s="2" t="s">
        <v>770</v>
      </c>
      <c r="B523" s="2" t="s">
        <v>605</v>
      </c>
      <c r="C523" s="19" t="s">
        <v>771</v>
      </c>
      <c r="D523" s="19" t="s">
        <v>88</v>
      </c>
      <c r="E523" s="19" t="s">
        <v>24</v>
      </c>
      <c r="F523" s="19" t="s">
        <v>17</v>
      </c>
      <c r="G523" s="19" t="s">
        <v>40</v>
      </c>
      <c r="H523" s="19" t="s">
        <v>33</v>
      </c>
      <c r="I523" s="19">
        <v>2</v>
      </c>
      <c r="J523" s="19">
        <v>2772</v>
      </c>
      <c r="K523" s="19">
        <v>11</v>
      </c>
      <c r="L523" s="19">
        <v>4934.16</v>
      </c>
      <c r="M523" s="19">
        <f t="shared" si="24"/>
        <v>1189085.0700000008</v>
      </c>
      <c r="N523" s="20">
        <f t="shared" si="25"/>
        <v>2482.4322964509411</v>
      </c>
      <c r="O523" s="19">
        <f t="shared" si="26"/>
        <v>1103</v>
      </c>
      <c r="P523" s="19" t="str">
        <v>High</v>
      </c>
    </row>
    <row r="524" spans="1:16" x14ac:dyDescent="0.3">
      <c r="A524" s="2" t="s">
        <v>152</v>
      </c>
      <c r="B524" s="2" t="s">
        <v>153</v>
      </c>
      <c r="C524" s="19" t="s">
        <v>154</v>
      </c>
      <c r="D524" s="19" t="s">
        <v>23</v>
      </c>
      <c r="E524" s="19" t="s">
        <v>16</v>
      </c>
      <c r="F524" s="19" t="s">
        <v>49</v>
      </c>
      <c r="G524" s="19" t="s">
        <v>40</v>
      </c>
      <c r="H524" s="19" t="s">
        <v>19</v>
      </c>
      <c r="I524" s="19">
        <v>4</v>
      </c>
      <c r="J524" s="19">
        <v>1707</v>
      </c>
      <c r="K524" s="19">
        <v>28</v>
      </c>
      <c r="L524" s="19">
        <v>4916.16</v>
      </c>
      <c r="M524" s="19">
        <f t="shared" si="24"/>
        <v>1184150.9100000006</v>
      </c>
      <c r="N524" s="20">
        <f t="shared" si="25"/>
        <v>2477.3031589958173</v>
      </c>
      <c r="O524" s="19">
        <f t="shared" si="26"/>
        <v>1101</v>
      </c>
      <c r="P524" s="19" t="str">
        <v>High</v>
      </c>
    </row>
    <row r="525" spans="1:16" x14ac:dyDescent="0.3">
      <c r="A525" s="2" t="s">
        <v>766</v>
      </c>
      <c r="B525" s="2" t="s">
        <v>704</v>
      </c>
      <c r="C525" s="19" t="s">
        <v>211</v>
      </c>
      <c r="D525" s="19" t="s">
        <v>23</v>
      </c>
      <c r="E525" s="19" t="s">
        <v>31</v>
      </c>
      <c r="F525" s="19" t="s">
        <v>40</v>
      </c>
      <c r="G525" s="19" t="s">
        <v>18</v>
      </c>
      <c r="H525" s="19" t="s">
        <v>44</v>
      </c>
      <c r="I525" s="19">
        <v>3</v>
      </c>
      <c r="J525" s="19">
        <v>2084</v>
      </c>
      <c r="K525" s="19">
        <v>22</v>
      </c>
      <c r="L525" s="19">
        <v>4876.5600000000004</v>
      </c>
      <c r="M525" s="19">
        <f t="shared" si="24"/>
        <v>1179234.7500000005</v>
      </c>
      <c r="N525" s="20">
        <f t="shared" si="25"/>
        <v>2472.1902515723282</v>
      </c>
      <c r="O525" s="19">
        <f t="shared" si="26"/>
        <v>1097</v>
      </c>
      <c r="P525" s="19" t="str">
        <v>High</v>
      </c>
    </row>
    <row r="526" spans="1:16" x14ac:dyDescent="0.3">
      <c r="A526" s="2" t="s">
        <v>829</v>
      </c>
      <c r="B526" s="2" t="s">
        <v>830</v>
      </c>
      <c r="C526" s="19" t="s">
        <v>719</v>
      </c>
      <c r="D526" s="19" t="s">
        <v>88</v>
      </c>
      <c r="E526" s="19" t="s">
        <v>68</v>
      </c>
      <c r="F526" s="19" t="s">
        <v>40</v>
      </c>
      <c r="G526" s="19" t="s">
        <v>40</v>
      </c>
      <c r="H526" s="19" t="s">
        <v>19</v>
      </c>
      <c r="I526" s="19">
        <v>2</v>
      </c>
      <c r="J526" s="19">
        <v>2620</v>
      </c>
      <c r="K526" s="19">
        <v>7</v>
      </c>
      <c r="L526" s="19">
        <v>4873.2</v>
      </c>
      <c r="M526" s="19">
        <f t="shared" si="24"/>
        <v>1174358.1900000006</v>
      </c>
      <c r="N526" s="20">
        <f t="shared" si="25"/>
        <v>2467.1390546218499</v>
      </c>
      <c r="O526" s="19">
        <f t="shared" si="26"/>
        <v>1094</v>
      </c>
      <c r="P526" s="19" t="str">
        <v>High</v>
      </c>
    </row>
    <row r="527" spans="1:16" x14ac:dyDescent="0.3">
      <c r="A527" s="2" t="s">
        <v>1118</v>
      </c>
      <c r="B527" s="2" t="s">
        <v>509</v>
      </c>
      <c r="C527" s="19" t="s">
        <v>436</v>
      </c>
      <c r="D527" s="19" t="s">
        <v>53</v>
      </c>
      <c r="E527" s="19" t="s">
        <v>58</v>
      </c>
      <c r="F527" s="19" t="s">
        <v>32</v>
      </c>
      <c r="G527" s="19" t="s">
        <v>54</v>
      </c>
      <c r="H527" s="19" t="s">
        <v>19</v>
      </c>
      <c r="I527" s="19">
        <v>3</v>
      </c>
      <c r="J527" s="19">
        <v>2074</v>
      </c>
      <c r="K527" s="19">
        <v>22</v>
      </c>
      <c r="L527" s="19">
        <v>4853.16</v>
      </c>
      <c r="M527" s="19">
        <f t="shared" si="24"/>
        <v>1169484.9900000005</v>
      </c>
      <c r="N527" s="20">
        <f t="shared" si="25"/>
        <v>2462.0736631578957</v>
      </c>
      <c r="O527" s="19">
        <f t="shared" si="26"/>
        <v>1092</v>
      </c>
      <c r="P527" s="19" t="str">
        <v>High</v>
      </c>
    </row>
    <row r="528" spans="1:16" x14ac:dyDescent="0.3">
      <c r="A528" s="2" t="s">
        <v>1143</v>
      </c>
      <c r="B528" s="2" t="s">
        <v>1144</v>
      </c>
      <c r="C528" s="19" t="s">
        <v>1133</v>
      </c>
      <c r="D528" s="19" t="s">
        <v>15</v>
      </c>
      <c r="E528" s="19" t="s">
        <v>58</v>
      </c>
      <c r="F528" s="19" t="s">
        <v>49</v>
      </c>
      <c r="G528" s="19" t="s">
        <v>26</v>
      </c>
      <c r="H528" s="19" t="s">
        <v>19</v>
      </c>
      <c r="I528" s="19">
        <v>2</v>
      </c>
      <c r="J528" s="19">
        <v>2811</v>
      </c>
      <c r="K528" s="19">
        <v>14</v>
      </c>
      <c r="L528" s="19">
        <v>4834.92</v>
      </c>
      <c r="M528" s="19">
        <f t="shared" si="24"/>
        <v>1164631.8300000003</v>
      </c>
      <c r="N528" s="20">
        <f t="shared" si="25"/>
        <v>2457.0291772151904</v>
      </c>
      <c r="O528" s="19">
        <f t="shared" si="26"/>
        <v>1089</v>
      </c>
      <c r="P528" s="19" t="str">
        <v>High</v>
      </c>
    </row>
    <row r="529" spans="1:16" x14ac:dyDescent="0.3">
      <c r="A529" s="2" t="s">
        <v>1189</v>
      </c>
      <c r="B529" s="2" t="s">
        <v>592</v>
      </c>
      <c r="C529" s="19" t="s">
        <v>1190</v>
      </c>
      <c r="D529" s="19" t="s">
        <v>23</v>
      </c>
      <c r="E529" s="19" t="s">
        <v>24</v>
      </c>
      <c r="F529" s="19" t="s">
        <v>49</v>
      </c>
      <c r="G529" s="19" t="s">
        <v>40</v>
      </c>
      <c r="H529" s="19" t="s">
        <v>19</v>
      </c>
      <c r="I529" s="19">
        <v>3</v>
      </c>
      <c r="J529" s="19">
        <v>1894</v>
      </c>
      <c r="K529" s="19">
        <v>15</v>
      </c>
      <c r="L529" s="19">
        <v>4829.7</v>
      </c>
      <c r="M529" s="19">
        <f t="shared" si="24"/>
        <v>1159796.9100000004</v>
      </c>
      <c r="N529" s="20">
        <f t="shared" si="25"/>
        <v>2452.0019238900641</v>
      </c>
      <c r="O529" s="19">
        <f t="shared" si="26"/>
        <v>1087</v>
      </c>
      <c r="P529" s="19" t="str">
        <v>High</v>
      </c>
    </row>
    <row r="530" spans="1:16" x14ac:dyDescent="0.3">
      <c r="A530" s="2" t="s">
        <v>885</v>
      </c>
      <c r="B530" s="2" t="s">
        <v>369</v>
      </c>
      <c r="C530" s="19" t="s">
        <v>567</v>
      </c>
      <c r="D530" s="19" t="s">
        <v>30</v>
      </c>
      <c r="E530" s="19" t="s">
        <v>16</v>
      </c>
      <c r="F530" s="19" t="s">
        <v>40</v>
      </c>
      <c r="G530" s="19" t="s">
        <v>62</v>
      </c>
      <c r="H530" s="19" t="s">
        <v>19</v>
      </c>
      <c r="I530" s="19">
        <v>5</v>
      </c>
      <c r="J530" s="19">
        <v>1340</v>
      </c>
      <c r="K530" s="19">
        <v>28</v>
      </c>
      <c r="L530" s="19">
        <v>4824</v>
      </c>
      <c r="M530" s="19">
        <f t="shared" si="24"/>
        <v>1154967.2100000004</v>
      </c>
      <c r="N530" s="20">
        <f t="shared" si="25"/>
        <v>2446.9644279661024</v>
      </c>
      <c r="O530" s="19">
        <f t="shared" si="26"/>
        <v>1084</v>
      </c>
      <c r="P530" s="19" t="str">
        <v>High</v>
      </c>
    </row>
    <row r="531" spans="1:16" x14ac:dyDescent="0.3">
      <c r="A531" s="2" t="s">
        <v>676</v>
      </c>
      <c r="B531" s="2" t="s">
        <v>677</v>
      </c>
      <c r="C531" s="19" t="s">
        <v>678</v>
      </c>
      <c r="D531" s="19" t="s">
        <v>15</v>
      </c>
      <c r="E531" s="19" t="s">
        <v>68</v>
      </c>
      <c r="F531" s="19" t="s">
        <v>17</v>
      </c>
      <c r="G531" s="19" t="s">
        <v>40</v>
      </c>
      <c r="H531" s="19" t="s">
        <v>19</v>
      </c>
      <c r="I531" s="19">
        <v>3</v>
      </c>
      <c r="J531" s="19">
        <v>2222</v>
      </c>
      <c r="K531" s="19">
        <v>28</v>
      </c>
      <c r="L531" s="19">
        <v>4799.5200000000004</v>
      </c>
      <c r="M531" s="19">
        <f t="shared" si="24"/>
        <v>1150143.2100000004</v>
      </c>
      <c r="N531" s="20">
        <f t="shared" si="25"/>
        <v>2441.9176433121029</v>
      </c>
      <c r="O531" s="19">
        <f t="shared" si="26"/>
        <v>1079</v>
      </c>
      <c r="P531" s="19" t="str">
        <v>High</v>
      </c>
    </row>
    <row r="532" spans="1:16" x14ac:dyDescent="0.3">
      <c r="A532" s="2" t="s">
        <v>1121</v>
      </c>
      <c r="B532" s="2" t="s">
        <v>1122</v>
      </c>
      <c r="C532" s="19" t="s">
        <v>413</v>
      </c>
      <c r="D532" s="19" t="s">
        <v>23</v>
      </c>
      <c r="E532" s="19" t="s">
        <v>48</v>
      </c>
      <c r="F532" s="19" t="s">
        <v>17</v>
      </c>
      <c r="G532" s="19" t="s">
        <v>40</v>
      </c>
      <c r="H532" s="19" t="s">
        <v>75</v>
      </c>
      <c r="I532" s="19">
        <v>3</v>
      </c>
      <c r="J532" s="19">
        <v>2016</v>
      </c>
      <c r="K532" s="19">
        <v>21</v>
      </c>
      <c r="L532" s="19">
        <v>4777.92</v>
      </c>
      <c r="M532" s="19">
        <f t="shared" si="24"/>
        <v>1145343.6900000004</v>
      </c>
      <c r="N532" s="20">
        <f t="shared" si="25"/>
        <v>2436.9014680851074</v>
      </c>
      <c r="O532" s="19">
        <f t="shared" si="26"/>
        <v>1076</v>
      </c>
      <c r="P532" s="19" t="str">
        <v>High</v>
      </c>
    </row>
    <row r="533" spans="1:16" x14ac:dyDescent="0.3">
      <c r="A533" s="2" t="s">
        <v>1073</v>
      </c>
      <c r="B533" s="2" t="s">
        <v>797</v>
      </c>
      <c r="C533" s="19" t="s">
        <v>791</v>
      </c>
      <c r="D533" s="19" t="s">
        <v>15</v>
      </c>
      <c r="E533" s="19" t="s">
        <v>48</v>
      </c>
      <c r="F533" s="19" t="s">
        <v>25</v>
      </c>
      <c r="G533" s="19" t="s">
        <v>26</v>
      </c>
      <c r="H533" s="19" t="s">
        <v>33</v>
      </c>
      <c r="I533" s="19">
        <v>3</v>
      </c>
      <c r="J533" s="19">
        <v>1748</v>
      </c>
      <c r="K533" s="19">
        <v>9</v>
      </c>
      <c r="L533" s="19">
        <v>4772.04</v>
      </c>
      <c r="M533" s="19">
        <f t="shared" si="24"/>
        <v>1140565.7700000007</v>
      </c>
      <c r="N533" s="20">
        <f t="shared" si="25"/>
        <v>2431.9099573560784</v>
      </c>
      <c r="O533" s="19">
        <f t="shared" si="26"/>
        <v>1073</v>
      </c>
      <c r="P533" s="19" t="str">
        <v>High</v>
      </c>
    </row>
    <row r="534" spans="1:16" x14ac:dyDescent="0.3">
      <c r="A534" s="2" t="s">
        <v>805</v>
      </c>
      <c r="B534" s="2" t="s">
        <v>704</v>
      </c>
      <c r="C534" s="19" t="s">
        <v>416</v>
      </c>
      <c r="D534" s="19" t="s">
        <v>15</v>
      </c>
      <c r="E534" s="19" t="s">
        <v>68</v>
      </c>
      <c r="F534" s="19" t="s">
        <v>40</v>
      </c>
      <c r="G534" s="19" t="s">
        <v>26</v>
      </c>
      <c r="H534" s="19" t="s">
        <v>75</v>
      </c>
      <c r="I534" s="19">
        <v>1</v>
      </c>
      <c r="J534" s="19">
        <v>4803</v>
      </c>
      <c r="K534" s="19">
        <v>1</v>
      </c>
      <c r="L534" s="19">
        <v>4754.97</v>
      </c>
      <c r="M534" s="19">
        <f t="shared" si="24"/>
        <v>1135793.7300000002</v>
      </c>
      <c r="N534" s="20">
        <f t="shared" si="25"/>
        <v>2426.9096794871798</v>
      </c>
      <c r="O534" s="19">
        <f t="shared" si="26"/>
        <v>1070</v>
      </c>
      <c r="P534" s="19" t="str">
        <v>High</v>
      </c>
    </row>
    <row r="535" spans="1:16" x14ac:dyDescent="0.3">
      <c r="A535" s="2" t="s">
        <v>1288</v>
      </c>
      <c r="B535" s="2" t="s">
        <v>647</v>
      </c>
      <c r="C535" s="19" t="s">
        <v>977</v>
      </c>
      <c r="D535" s="19" t="s">
        <v>15</v>
      </c>
      <c r="E535" s="19" t="s">
        <v>68</v>
      </c>
      <c r="F535" s="19" t="s">
        <v>32</v>
      </c>
      <c r="G535" s="19" t="s">
        <v>26</v>
      </c>
      <c r="H535" s="19" t="s">
        <v>19</v>
      </c>
      <c r="I535" s="19">
        <v>3</v>
      </c>
      <c r="J535" s="19">
        <v>1879</v>
      </c>
      <c r="K535" s="19">
        <v>16</v>
      </c>
      <c r="L535" s="19">
        <v>4735.08</v>
      </c>
      <c r="M535" s="19">
        <f t="shared" si="24"/>
        <v>1131038.7600000005</v>
      </c>
      <c r="N535" s="20">
        <f t="shared" si="25"/>
        <v>2421.924539614562</v>
      </c>
      <c r="O535" s="19">
        <f t="shared" si="26"/>
        <v>1069</v>
      </c>
      <c r="P535" s="19" t="str">
        <v>High</v>
      </c>
    </row>
    <row r="536" spans="1:16" x14ac:dyDescent="0.3">
      <c r="A536" s="2" t="s">
        <v>1666</v>
      </c>
      <c r="B536" s="2" t="s">
        <v>300</v>
      </c>
      <c r="C536" s="19" t="s">
        <v>219</v>
      </c>
      <c r="D536" s="19" t="s">
        <v>15</v>
      </c>
      <c r="E536" s="19" t="s">
        <v>48</v>
      </c>
      <c r="F536" s="19" t="s">
        <v>25</v>
      </c>
      <c r="G536" s="19" t="s">
        <v>54</v>
      </c>
      <c r="H536" s="19" t="s">
        <v>44</v>
      </c>
      <c r="I536" s="19">
        <v>5</v>
      </c>
      <c r="J536" s="19">
        <v>983</v>
      </c>
      <c r="K536" s="19">
        <v>5</v>
      </c>
      <c r="L536" s="19">
        <v>4669.25</v>
      </c>
      <c r="M536" s="19">
        <f t="shared" si="24"/>
        <v>1126303.6800000006</v>
      </c>
      <c r="N536" s="20">
        <f t="shared" si="25"/>
        <v>2416.9606866952804</v>
      </c>
      <c r="O536" s="19">
        <f t="shared" si="26"/>
        <v>1066</v>
      </c>
      <c r="P536" s="19" t="str">
        <v>High</v>
      </c>
    </row>
    <row r="537" spans="1:16" x14ac:dyDescent="0.3">
      <c r="A537" s="2" t="s">
        <v>507</v>
      </c>
      <c r="B537" s="2" t="s">
        <v>227</v>
      </c>
      <c r="C537" s="19" t="s">
        <v>491</v>
      </c>
      <c r="D537" s="19" t="s">
        <v>53</v>
      </c>
      <c r="E537" s="19" t="s">
        <v>31</v>
      </c>
      <c r="F537" s="19" t="s">
        <v>25</v>
      </c>
      <c r="G537" s="19" t="s">
        <v>54</v>
      </c>
      <c r="H537" s="19" t="s">
        <v>33</v>
      </c>
      <c r="I537" s="19">
        <v>3</v>
      </c>
      <c r="J537" s="19">
        <v>1968</v>
      </c>
      <c r="K537" s="19">
        <v>21</v>
      </c>
      <c r="L537" s="19">
        <v>4664.16</v>
      </c>
      <c r="M537" s="19">
        <f t="shared" si="24"/>
        <v>1121634.4300000004</v>
      </c>
      <c r="N537" s="20">
        <f t="shared" si="25"/>
        <v>2412.1170537634416</v>
      </c>
      <c r="O537" s="19">
        <f t="shared" si="26"/>
        <v>1061</v>
      </c>
      <c r="P537" s="19" t="str">
        <v>High</v>
      </c>
    </row>
    <row r="538" spans="1:16" x14ac:dyDescent="0.3">
      <c r="A538" s="2" t="s">
        <v>134</v>
      </c>
      <c r="B538" s="2" t="s">
        <v>135</v>
      </c>
      <c r="C538" s="19" t="s">
        <v>136</v>
      </c>
      <c r="D538" s="19" t="s">
        <v>30</v>
      </c>
      <c r="E538" s="19" t="s">
        <v>16</v>
      </c>
      <c r="F538" s="19" t="s">
        <v>40</v>
      </c>
      <c r="G538" s="19" t="s">
        <v>18</v>
      </c>
      <c r="H538" s="19" t="s">
        <v>44</v>
      </c>
      <c r="I538" s="19">
        <v>3</v>
      </c>
      <c r="J538" s="19">
        <v>2012</v>
      </c>
      <c r="K538" s="19">
        <v>23</v>
      </c>
      <c r="L538" s="19">
        <v>4647.72</v>
      </c>
      <c r="M538" s="19">
        <f t="shared" si="24"/>
        <v>1116970.2700000003</v>
      </c>
      <c r="N538" s="20">
        <f t="shared" si="25"/>
        <v>2407.2635129310352</v>
      </c>
      <c r="O538" s="19">
        <f t="shared" si="26"/>
        <v>1058</v>
      </c>
      <c r="P538" s="19" t="str">
        <v>High</v>
      </c>
    </row>
    <row r="539" spans="1:16" x14ac:dyDescent="0.3">
      <c r="A539" s="2" t="s">
        <v>1433</v>
      </c>
      <c r="B539" s="2" t="s">
        <v>1211</v>
      </c>
      <c r="C539" s="19" t="s">
        <v>999</v>
      </c>
      <c r="D539" s="19" t="s">
        <v>53</v>
      </c>
      <c r="E539" s="19" t="s">
        <v>31</v>
      </c>
      <c r="F539" s="19" t="s">
        <v>17</v>
      </c>
      <c r="G539" s="19" t="s">
        <v>54</v>
      </c>
      <c r="H539" s="19" t="s">
        <v>75</v>
      </c>
      <c r="I539" s="19">
        <v>4</v>
      </c>
      <c r="J539" s="19">
        <v>1659</v>
      </c>
      <c r="K539" s="19">
        <v>30</v>
      </c>
      <c r="L539" s="19">
        <v>4645.2</v>
      </c>
      <c r="M539" s="19">
        <f t="shared" si="24"/>
        <v>1112322.55</v>
      </c>
      <c r="N539" s="20">
        <f t="shared" si="25"/>
        <v>2402.4245140388771</v>
      </c>
      <c r="O539" s="19">
        <f t="shared" si="26"/>
        <v>1055</v>
      </c>
      <c r="P539" s="19" t="str">
        <v>High</v>
      </c>
    </row>
    <row r="540" spans="1:16" x14ac:dyDescent="0.3">
      <c r="A540" s="2" t="s">
        <v>457</v>
      </c>
      <c r="B540" s="2" t="s">
        <v>458</v>
      </c>
      <c r="C540" s="19" t="s">
        <v>270</v>
      </c>
      <c r="D540" s="19" t="s">
        <v>88</v>
      </c>
      <c r="E540" s="19" t="s">
        <v>24</v>
      </c>
      <c r="F540" s="19" t="s">
        <v>40</v>
      </c>
      <c r="G540" s="19" t="s">
        <v>18</v>
      </c>
      <c r="H540" s="19" t="s">
        <v>75</v>
      </c>
      <c r="I540" s="19">
        <v>2</v>
      </c>
      <c r="J540" s="19">
        <v>2521</v>
      </c>
      <c r="K540" s="19">
        <v>8</v>
      </c>
      <c r="L540" s="19">
        <v>4638.6400000000003</v>
      </c>
      <c r="M540" s="19">
        <f t="shared" si="24"/>
        <v>1107677.3499999999</v>
      </c>
      <c r="N540" s="20">
        <f t="shared" si="25"/>
        <v>2397.5700216450214</v>
      </c>
      <c r="O540" s="19">
        <f t="shared" si="26"/>
        <v>1051</v>
      </c>
      <c r="P540" s="19" t="str">
        <v>High</v>
      </c>
    </row>
    <row r="541" spans="1:16" x14ac:dyDescent="0.3">
      <c r="A541" s="2" t="s">
        <v>1158</v>
      </c>
      <c r="B541" s="2" t="s">
        <v>395</v>
      </c>
      <c r="C541" s="19" t="s">
        <v>78</v>
      </c>
      <c r="D541" s="19" t="s">
        <v>30</v>
      </c>
      <c r="E541" s="19" t="s">
        <v>31</v>
      </c>
      <c r="F541" s="19" t="s">
        <v>17</v>
      </c>
      <c r="G541" s="19" t="s">
        <v>26</v>
      </c>
      <c r="H541" s="19" t="s">
        <v>75</v>
      </c>
      <c r="I541" s="19">
        <v>5</v>
      </c>
      <c r="J541" s="19">
        <v>1040</v>
      </c>
      <c r="K541" s="19">
        <v>11</v>
      </c>
      <c r="L541" s="19">
        <v>4628</v>
      </c>
      <c r="M541" s="19">
        <f t="shared" si="24"/>
        <v>1103038.71</v>
      </c>
      <c r="N541" s="20">
        <f t="shared" si="25"/>
        <v>2392.7086984815619</v>
      </c>
      <c r="O541" s="19">
        <f t="shared" si="26"/>
        <v>1049</v>
      </c>
      <c r="P541" s="19" t="str">
        <v>High</v>
      </c>
    </row>
    <row r="542" spans="1:16" x14ac:dyDescent="0.3">
      <c r="A542" s="2" t="s">
        <v>223</v>
      </c>
      <c r="B542" s="2" t="s">
        <v>224</v>
      </c>
      <c r="C542" s="19" t="s">
        <v>225</v>
      </c>
      <c r="D542" s="19" t="s">
        <v>23</v>
      </c>
      <c r="E542" s="19" t="s">
        <v>16</v>
      </c>
      <c r="F542" s="19" t="s">
        <v>49</v>
      </c>
      <c r="G542" s="19" t="s">
        <v>26</v>
      </c>
      <c r="H542" s="19" t="s">
        <v>19</v>
      </c>
      <c r="I542" s="19">
        <v>4</v>
      </c>
      <c r="J542" s="19">
        <v>1189</v>
      </c>
      <c r="K542" s="19">
        <v>3</v>
      </c>
      <c r="L542" s="19">
        <v>4613.32</v>
      </c>
      <c r="M542" s="19">
        <f t="shared" si="24"/>
        <v>1098410.7100000002</v>
      </c>
      <c r="N542" s="20">
        <f t="shared" si="25"/>
        <v>2387.8493695652178</v>
      </c>
      <c r="O542" s="19">
        <f t="shared" si="26"/>
        <v>1044</v>
      </c>
      <c r="P542" s="19" t="str">
        <v>High</v>
      </c>
    </row>
    <row r="543" spans="1:16" x14ac:dyDescent="0.3">
      <c r="A543" s="2" t="s">
        <v>1150</v>
      </c>
      <c r="B543" s="2" t="s">
        <v>1151</v>
      </c>
      <c r="C543" s="19" t="s">
        <v>780</v>
      </c>
      <c r="D543" s="19" t="s">
        <v>15</v>
      </c>
      <c r="E543" s="19" t="s">
        <v>48</v>
      </c>
      <c r="F543" s="19" t="s">
        <v>40</v>
      </c>
      <c r="G543" s="19" t="s">
        <v>18</v>
      </c>
      <c r="H543" s="19" t="s">
        <v>19</v>
      </c>
      <c r="I543" s="19">
        <v>4</v>
      </c>
      <c r="J543" s="19">
        <v>1558</v>
      </c>
      <c r="K543" s="19">
        <v>26</v>
      </c>
      <c r="L543" s="19">
        <v>4611.68</v>
      </c>
      <c r="M543" s="19">
        <f t="shared" si="24"/>
        <v>1093797.3900000004</v>
      </c>
      <c r="N543" s="20">
        <f t="shared" si="25"/>
        <v>2383.0008496732034</v>
      </c>
      <c r="O543" s="19">
        <f t="shared" si="26"/>
        <v>1040</v>
      </c>
      <c r="P543" s="19" t="str">
        <v>High</v>
      </c>
    </row>
    <row r="544" spans="1:16" x14ac:dyDescent="0.3">
      <c r="A544" s="2" t="s">
        <v>1262</v>
      </c>
      <c r="B544" s="2" t="s">
        <v>779</v>
      </c>
      <c r="C544" s="19" t="s">
        <v>692</v>
      </c>
      <c r="D544" s="19" t="s">
        <v>15</v>
      </c>
      <c r="E544" s="19" t="s">
        <v>31</v>
      </c>
      <c r="F544" s="19" t="s">
        <v>32</v>
      </c>
      <c r="G544" s="19" t="s">
        <v>40</v>
      </c>
      <c r="H544" s="19" t="s">
        <v>19</v>
      </c>
      <c r="I544" s="19">
        <v>2</v>
      </c>
      <c r="J544" s="19">
        <v>3188</v>
      </c>
      <c r="K544" s="19">
        <v>28</v>
      </c>
      <c r="L544" s="19">
        <v>4590.72</v>
      </c>
      <c r="M544" s="19">
        <f t="shared" si="24"/>
        <v>1089185.7100000002</v>
      </c>
      <c r="N544" s="20">
        <f t="shared" si="25"/>
        <v>2378.1347379912668</v>
      </c>
      <c r="O544" s="19">
        <f t="shared" si="26"/>
        <v>1036</v>
      </c>
      <c r="P544" s="19" t="str">
        <v>High</v>
      </c>
    </row>
    <row r="545" spans="1:16" x14ac:dyDescent="0.3">
      <c r="A545" s="2" t="s">
        <v>1306</v>
      </c>
      <c r="B545" s="2" t="s">
        <v>1307</v>
      </c>
      <c r="C545" s="19" t="s">
        <v>690</v>
      </c>
      <c r="D545" s="19" t="s">
        <v>88</v>
      </c>
      <c r="E545" s="19" t="s">
        <v>24</v>
      </c>
      <c r="F545" s="19" t="s">
        <v>40</v>
      </c>
      <c r="G545" s="19" t="s">
        <v>26</v>
      </c>
      <c r="H545" s="19" t="s">
        <v>44</v>
      </c>
      <c r="I545" s="19">
        <v>2</v>
      </c>
      <c r="J545" s="19">
        <v>2465</v>
      </c>
      <c r="K545" s="19">
        <v>7</v>
      </c>
      <c r="L545" s="19">
        <v>4584.8999999999996</v>
      </c>
      <c r="M545" s="19">
        <f t="shared" si="24"/>
        <v>1084594.99</v>
      </c>
      <c r="N545" s="20">
        <f t="shared" si="25"/>
        <v>2373.2931947483589</v>
      </c>
      <c r="O545" s="19">
        <f t="shared" si="26"/>
        <v>1034</v>
      </c>
      <c r="P545" s="19" t="str">
        <v>High</v>
      </c>
    </row>
    <row r="546" spans="1:16" x14ac:dyDescent="0.3">
      <c r="A546" s="2" t="s">
        <v>1095</v>
      </c>
      <c r="B546" s="2" t="s">
        <v>159</v>
      </c>
      <c r="C546" s="19" t="s">
        <v>945</v>
      </c>
      <c r="D546" s="19" t="s">
        <v>88</v>
      </c>
      <c r="E546" s="19" t="s">
        <v>68</v>
      </c>
      <c r="F546" s="19" t="s">
        <v>17</v>
      </c>
      <c r="G546" s="19" t="s">
        <v>54</v>
      </c>
      <c r="H546" s="19" t="s">
        <v>19</v>
      </c>
      <c r="I546" s="19">
        <v>4</v>
      </c>
      <c r="J546" s="19">
        <v>1156</v>
      </c>
      <c r="K546" s="19">
        <v>1</v>
      </c>
      <c r="L546" s="19">
        <v>4577.76</v>
      </c>
      <c r="M546" s="19">
        <f t="shared" si="24"/>
        <v>1080010.0899999996</v>
      </c>
      <c r="N546" s="20">
        <f t="shared" si="25"/>
        <v>2368.4431798245605</v>
      </c>
      <c r="O546" s="19">
        <f t="shared" si="26"/>
        <v>1032</v>
      </c>
      <c r="P546" s="19" t="str">
        <v>High</v>
      </c>
    </row>
    <row r="547" spans="1:16" x14ac:dyDescent="0.3">
      <c r="A547" s="2" t="s">
        <v>1170</v>
      </c>
      <c r="B547" s="2" t="s">
        <v>168</v>
      </c>
      <c r="C547" s="19" t="s">
        <v>197</v>
      </c>
      <c r="D547" s="19" t="s">
        <v>23</v>
      </c>
      <c r="E547" s="19" t="s">
        <v>68</v>
      </c>
      <c r="F547" s="19" t="s">
        <v>32</v>
      </c>
      <c r="G547" s="19" t="s">
        <v>54</v>
      </c>
      <c r="H547" s="19" t="s">
        <v>75</v>
      </c>
      <c r="I547" s="19">
        <v>2</v>
      </c>
      <c r="J547" s="19">
        <v>2957</v>
      </c>
      <c r="K547" s="19">
        <v>23</v>
      </c>
      <c r="L547" s="19">
        <v>4553.78</v>
      </c>
      <c r="M547" s="19">
        <f t="shared" si="24"/>
        <v>1075432.3299999996</v>
      </c>
      <c r="N547" s="20">
        <f t="shared" si="25"/>
        <v>2363.5875384615374</v>
      </c>
      <c r="O547" s="19">
        <f t="shared" si="26"/>
        <v>1028</v>
      </c>
      <c r="P547" s="19" t="str">
        <v>High</v>
      </c>
    </row>
    <row r="548" spans="1:16" x14ac:dyDescent="0.3">
      <c r="A548" s="2" t="s">
        <v>201</v>
      </c>
      <c r="B548" s="2" t="s">
        <v>202</v>
      </c>
      <c r="C548" s="19" t="s">
        <v>203</v>
      </c>
      <c r="D548" s="19" t="s">
        <v>88</v>
      </c>
      <c r="E548" s="19" t="s">
        <v>48</v>
      </c>
      <c r="F548" s="19" t="s">
        <v>49</v>
      </c>
      <c r="G548" s="19" t="s">
        <v>26</v>
      </c>
      <c r="H548" s="19" t="s">
        <v>75</v>
      </c>
      <c r="I548" s="19">
        <v>2</v>
      </c>
      <c r="J548" s="19">
        <v>2421</v>
      </c>
      <c r="K548" s="19">
        <v>6</v>
      </c>
      <c r="L548" s="19">
        <v>4551.4799999999996</v>
      </c>
      <c r="M548" s="19">
        <f t="shared" si="24"/>
        <v>1070878.5499999993</v>
      </c>
      <c r="N548" s="20">
        <f t="shared" si="25"/>
        <v>2358.7633259911881</v>
      </c>
      <c r="O548" s="19">
        <f t="shared" si="26"/>
        <v>1026</v>
      </c>
      <c r="P548" s="19" t="str">
        <v>High</v>
      </c>
    </row>
    <row r="549" spans="1:16" x14ac:dyDescent="0.3">
      <c r="A549" s="2" t="s">
        <v>1274</v>
      </c>
      <c r="B549" s="2" t="s">
        <v>300</v>
      </c>
      <c r="C549" s="19" t="s">
        <v>136</v>
      </c>
      <c r="D549" s="19" t="s">
        <v>53</v>
      </c>
      <c r="E549" s="19" t="s">
        <v>79</v>
      </c>
      <c r="F549" s="19" t="s">
        <v>17</v>
      </c>
      <c r="G549" s="19" t="s">
        <v>26</v>
      </c>
      <c r="H549" s="19" t="s">
        <v>75</v>
      </c>
      <c r="I549" s="19">
        <v>4</v>
      </c>
      <c r="J549" s="19">
        <v>1599</v>
      </c>
      <c r="K549" s="19">
        <v>29</v>
      </c>
      <c r="L549" s="19">
        <v>4541.16</v>
      </c>
      <c r="M549" s="19">
        <f t="shared" si="24"/>
        <v>1066327.0699999991</v>
      </c>
      <c r="N549" s="20">
        <f t="shared" si="25"/>
        <v>2353.9228918322278</v>
      </c>
      <c r="O549" s="19">
        <f t="shared" si="26"/>
        <v>1024</v>
      </c>
      <c r="P549" s="19" t="str">
        <v>High</v>
      </c>
    </row>
    <row r="550" spans="1:16" x14ac:dyDescent="0.3">
      <c r="A550" s="2" t="s">
        <v>1308</v>
      </c>
      <c r="B550" s="2" t="s">
        <v>1146</v>
      </c>
      <c r="C550" s="19" t="s">
        <v>675</v>
      </c>
      <c r="D550" s="19" t="s">
        <v>88</v>
      </c>
      <c r="E550" s="19" t="s">
        <v>58</v>
      </c>
      <c r="F550" s="19" t="s">
        <v>25</v>
      </c>
      <c r="G550" s="19" t="s">
        <v>54</v>
      </c>
      <c r="H550" s="19" t="s">
        <v>44</v>
      </c>
      <c r="I550" s="19">
        <v>1</v>
      </c>
      <c r="J550" s="19">
        <v>4716</v>
      </c>
      <c r="K550" s="19">
        <v>4</v>
      </c>
      <c r="L550" s="19">
        <v>4527.3599999999997</v>
      </c>
      <c r="M550" s="19">
        <f t="shared" si="24"/>
        <v>1061785.9099999992</v>
      </c>
      <c r="N550" s="20">
        <f t="shared" si="25"/>
        <v>2349.0838716814142</v>
      </c>
      <c r="O550" s="19">
        <f t="shared" si="26"/>
        <v>1020</v>
      </c>
      <c r="P550" s="19" t="str">
        <v>High</v>
      </c>
    </row>
    <row r="551" spans="1:16" x14ac:dyDescent="0.3">
      <c r="A551" s="2" t="s">
        <v>1302</v>
      </c>
      <c r="B551" s="2" t="s">
        <v>1303</v>
      </c>
      <c r="C551" s="19" t="s">
        <v>203</v>
      </c>
      <c r="D551" s="19" t="s">
        <v>30</v>
      </c>
      <c r="E551" s="19" t="s">
        <v>58</v>
      </c>
      <c r="F551" s="19" t="s">
        <v>25</v>
      </c>
      <c r="G551" s="19" t="s">
        <v>18</v>
      </c>
      <c r="H551" s="19" t="s">
        <v>19</v>
      </c>
      <c r="I551" s="19">
        <v>5</v>
      </c>
      <c r="J551" s="19">
        <v>1025</v>
      </c>
      <c r="K551" s="19">
        <v>12</v>
      </c>
      <c r="L551" s="19">
        <v>4510</v>
      </c>
      <c r="M551" s="19">
        <f t="shared" si="24"/>
        <v>1057258.5499999993</v>
      </c>
      <c r="N551" s="20">
        <f t="shared" si="25"/>
        <v>2344.253991130819</v>
      </c>
      <c r="O551" s="19">
        <f t="shared" si="26"/>
        <v>1019</v>
      </c>
      <c r="P551" s="19" t="str">
        <v>High</v>
      </c>
    </row>
    <row r="552" spans="1:16" x14ac:dyDescent="0.3">
      <c r="A552" s="2" t="s">
        <v>1537</v>
      </c>
      <c r="B552" s="2" t="s">
        <v>1144</v>
      </c>
      <c r="C552" s="19" t="s">
        <v>1538</v>
      </c>
      <c r="D552" s="19" t="s">
        <v>23</v>
      </c>
      <c r="E552" s="19" t="s">
        <v>31</v>
      </c>
      <c r="F552" s="19" t="s">
        <v>49</v>
      </c>
      <c r="G552" s="19" t="s">
        <v>40</v>
      </c>
      <c r="H552" s="19" t="s">
        <v>19</v>
      </c>
      <c r="I552" s="19">
        <v>5</v>
      </c>
      <c r="J552" s="19">
        <v>1085</v>
      </c>
      <c r="K552" s="19">
        <v>17</v>
      </c>
      <c r="L552" s="19">
        <v>4502.75</v>
      </c>
      <c r="M552" s="19">
        <f t="shared" si="24"/>
        <v>1052748.5499999996</v>
      </c>
      <c r="N552" s="20">
        <f t="shared" si="25"/>
        <v>2339.4412222222213</v>
      </c>
      <c r="O552" s="19">
        <f t="shared" si="26"/>
        <v>1014</v>
      </c>
      <c r="P552" s="19" t="str">
        <v>High</v>
      </c>
    </row>
    <row r="553" spans="1:16" x14ac:dyDescent="0.3">
      <c r="A553" s="2" t="s">
        <v>1379</v>
      </c>
      <c r="B553" s="2" t="s">
        <v>1214</v>
      </c>
      <c r="C553" s="19" t="s">
        <v>166</v>
      </c>
      <c r="D553" s="19" t="s">
        <v>53</v>
      </c>
      <c r="E553" s="19" t="s">
        <v>16</v>
      </c>
      <c r="F553" s="19" t="s">
        <v>49</v>
      </c>
      <c r="G553" s="19" t="s">
        <v>26</v>
      </c>
      <c r="H553" s="19" t="s">
        <v>33</v>
      </c>
      <c r="I553" s="19">
        <v>3</v>
      </c>
      <c r="J553" s="19">
        <v>2143</v>
      </c>
      <c r="K553" s="19">
        <v>30</v>
      </c>
      <c r="L553" s="19">
        <v>4500.3</v>
      </c>
      <c r="M553" s="19">
        <f t="shared" si="24"/>
        <v>1048245.8</v>
      </c>
      <c r="N553" s="20">
        <f t="shared" si="25"/>
        <v>2334.6231625835189</v>
      </c>
      <c r="O553" s="19">
        <f t="shared" si="26"/>
        <v>1009</v>
      </c>
      <c r="P553" s="19" t="str">
        <v>High</v>
      </c>
    </row>
    <row r="554" spans="1:16" x14ac:dyDescent="0.3">
      <c r="A554" s="2" t="s">
        <v>868</v>
      </c>
      <c r="B554" s="2" t="s">
        <v>540</v>
      </c>
      <c r="C554" s="19" t="s">
        <v>732</v>
      </c>
      <c r="D554" s="19" t="s">
        <v>23</v>
      </c>
      <c r="E554" s="19" t="s">
        <v>24</v>
      </c>
      <c r="F554" s="19" t="s">
        <v>40</v>
      </c>
      <c r="G554" s="19" t="s">
        <v>18</v>
      </c>
      <c r="H554" s="19" t="s">
        <v>33</v>
      </c>
      <c r="I554" s="19">
        <v>1</v>
      </c>
      <c r="J554" s="19">
        <v>4623</v>
      </c>
      <c r="K554" s="19">
        <v>3</v>
      </c>
      <c r="L554" s="19">
        <v>4484.3100000000004</v>
      </c>
      <c r="M554" s="19">
        <f t="shared" si="24"/>
        <v>1043745.5000000001</v>
      </c>
      <c r="N554" s="20">
        <f t="shared" si="25"/>
        <v>2329.7890625000005</v>
      </c>
      <c r="O554" s="19">
        <f t="shared" si="26"/>
        <v>1006</v>
      </c>
      <c r="P554" s="19" t="str">
        <v>High</v>
      </c>
    </row>
    <row r="555" spans="1:16" x14ac:dyDescent="0.3">
      <c r="A555" s="2" t="s">
        <v>785</v>
      </c>
      <c r="B555" s="2" t="s">
        <v>548</v>
      </c>
      <c r="C555" s="19" t="s">
        <v>663</v>
      </c>
      <c r="D555" s="19" t="s">
        <v>30</v>
      </c>
      <c r="E555" s="19" t="s">
        <v>16</v>
      </c>
      <c r="F555" s="19" t="s">
        <v>17</v>
      </c>
      <c r="G555" s="19" t="s">
        <v>40</v>
      </c>
      <c r="H555" s="19" t="s">
        <v>33</v>
      </c>
      <c r="I555" s="19">
        <v>2</v>
      </c>
      <c r="J555" s="19">
        <v>2430</v>
      </c>
      <c r="K555" s="19">
        <v>8</v>
      </c>
      <c r="L555" s="19">
        <v>4471.2</v>
      </c>
      <c r="M555" s="19">
        <f t="shared" si="24"/>
        <v>1039261.1900000002</v>
      </c>
      <c r="N555" s="20">
        <f t="shared" si="25"/>
        <v>2324.9691051454142</v>
      </c>
      <c r="O555" s="19">
        <f t="shared" si="26"/>
        <v>1005</v>
      </c>
      <c r="P555" s="19" t="str">
        <v>High</v>
      </c>
    </row>
    <row r="556" spans="1:16" x14ac:dyDescent="0.3">
      <c r="A556" s="2" t="s">
        <v>233</v>
      </c>
      <c r="B556" s="2" t="s">
        <v>234</v>
      </c>
      <c r="C556" s="19" t="s">
        <v>235</v>
      </c>
      <c r="D556" s="19" t="s">
        <v>88</v>
      </c>
      <c r="E556" s="19" t="s">
        <v>79</v>
      </c>
      <c r="F556" s="19" t="s">
        <v>32</v>
      </c>
      <c r="G556" s="19" t="s">
        <v>62</v>
      </c>
      <c r="H556" s="19" t="s">
        <v>19</v>
      </c>
      <c r="I556" s="19">
        <v>3</v>
      </c>
      <c r="J556" s="19">
        <v>1856</v>
      </c>
      <c r="K556" s="19">
        <v>20</v>
      </c>
      <c r="L556" s="19">
        <v>4454.3999999999996</v>
      </c>
      <c r="M556" s="19">
        <f t="shared" si="24"/>
        <v>1034789.9900000001</v>
      </c>
      <c r="N556" s="20">
        <f t="shared" si="25"/>
        <v>2320.1569282511214</v>
      </c>
      <c r="O556" s="19">
        <f t="shared" si="26"/>
        <v>1003</v>
      </c>
      <c r="P556" s="19" t="str">
        <v>High</v>
      </c>
    </row>
    <row r="557" spans="1:16" x14ac:dyDescent="0.3">
      <c r="A557" s="2" t="s">
        <v>1174</v>
      </c>
      <c r="B557" s="2" t="s">
        <v>696</v>
      </c>
      <c r="C557" s="19" t="s">
        <v>882</v>
      </c>
      <c r="D557" s="19" t="s">
        <v>53</v>
      </c>
      <c r="E557" s="19" t="s">
        <v>79</v>
      </c>
      <c r="F557" s="19" t="s">
        <v>17</v>
      </c>
      <c r="G557" s="19" t="s">
        <v>54</v>
      </c>
      <c r="H557" s="19" t="s">
        <v>44</v>
      </c>
      <c r="I557" s="19">
        <v>2</v>
      </c>
      <c r="J557" s="19">
        <v>2778</v>
      </c>
      <c r="K557" s="19">
        <v>20</v>
      </c>
      <c r="L557" s="19">
        <v>4444.8</v>
      </c>
      <c r="M557" s="19">
        <f t="shared" si="24"/>
        <v>1030335.59</v>
      </c>
      <c r="N557" s="20">
        <f t="shared" si="25"/>
        <v>2315.3608764044943</v>
      </c>
      <c r="O557" s="19">
        <f t="shared" si="26"/>
        <v>1000</v>
      </c>
      <c r="P557" s="19" t="str">
        <v>High</v>
      </c>
    </row>
    <row r="558" spans="1:16" x14ac:dyDescent="0.3">
      <c r="A558" s="2" t="s">
        <v>828</v>
      </c>
      <c r="B558" s="2" t="s">
        <v>739</v>
      </c>
      <c r="C558" s="19" t="s">
        <v>317</v>
      </c>
      <c r="D558" s="19" t="s">
        <v>30</v>
      </c>
      <c r="E558" s="19" t="s">
        <v>79</v>
      </c>
      <c r="F558" s="19" t="s">
        <v>25</v>
      </c>
      <c r="G558" s="19" t="s">
        <v>62</v>
      </c>
      <c r="H558" s="19" t="s">
        <v>33</v>
      </c>
      <c r="I558" s="19">
        <v>2</v>
      </c>
      <c r="J558" s="19">
        <v>2329</v>
      </c>
      <c r="K558" s="19">
        <v>5</v>
      </c>
      <c r="L558" s="19">
        <v>4425.1000000000004</v>
      </c>
      <c r="M558" s="19">
        <f t="shared" si="24"/>
        <v>1025890.7899999999</v>
      </c>
      <c r="N558" s="20">
        <f t="shared" si="25"/>
        <v>2310.5648423423422</v>
      </c>
      <c r="O558" s="19">
        <f t="shared" si="26"/>
        <v>998</v>
      </c>
      <c r="P558" s="19" t="str">
        <v>High</v>
      </c>
    </row>
    <row r="559" spans="1:16" x14ac:dyDescent="0.3">
      <c r="A559" s="2" t="s">
        <v>1589</v>
      </c>
      <c r="B559" s="2" t="s">
        <v>1163</v>
      </c>
      <c r="C559" s="19" t="s">
        <v>87</v>
      </c>
      <c r="D559" s="19" t="s">
        <v>88</v>
      </c>
      <c r="E559" s="19" t="s">
        <v>31</v>
      </c>
      <c r="F559" s="19" t="s">
        <v>17</v>
      </c>
      <c r="G559" s="19" t="s">
        <v>40</v>
      </c>
      <c r="H559" s="19" t="s">
        <v>75</v>
      </c>
      <c r="I559" s="19">
        <v>1</v>
      </c>
      <c r="J559" s="19">
        <v>4888</v>
      </c>
      <c r="K559" s="19">
        <v>10</v>
      </c>
      <c r="L559" s="19">
        <v>4399.2</v>
      </c>
      <c r="M559" s="19">
        <f t="shared" si="24"/>
        <v>1021465.69</v>
      </c>
      <c r="N559" s="20">
        <f t="shared" si="25"/>
        <v>2305.7916252821669</v>
      </c>
      <c r="O559" s="19">
        <f t="shared" si="26"/>
        <v>996</v>
      </c>
      <c r="P559" s="19" t="str">
        <v>High</v>
      </c>
    </row>
    <row r="560" spans="1:16" x14ac:dyDescent="0.3">
      <c r="A560" s="2" t="s">
        <v>756</v>
      </c>
      <c r="B560" s="2" t="s">
        <v>757</v>
      </c>
      <c r="C560" s="19" t="s">
        <v>758</v>
      </c>
      <c r="D560" s="19" t="s">
        <v>53</v>
      </c>
      <c r="E560" s="19" t="s">
        <v>58</v>
      </c>
      <c r="F560" s="19" t="s">
        <v>17</v>
      </c>
      <c r="G560" s="19" t="s">
        <v>18</v>
      </c>
      <c r="H560" s="19" t="s">
        <v>33</v>
      </c>
      <c r="I560" s="19">
        <v>5</v>
      </c>
      <c r="J560" s="19">
        <v>1057</v>
      </c>
      <c r="K560" s="19">
        <v>17</v>
      </c>
      <c r="L560" s="19">
        <v>4386.55</v>
      </c>
      <c r="M560" s="19">
        <f t="shared" si="24"/>
        <v>1017066.4899999999</v>
      </c>
      <c r="N560" s="20">
        <f t="shared" si="25"/>
        <v>2301.0554072398186</v>
      </c>
      <c r="O560" s="19">
        <f t="shared" si="26"/>
        <v>995</v>
      </c>
      <c r="P560" s="19" t="str">
        <v>High</v>
      </c>
    </row>
    <row r="561" spans="1:16" x14ac:dyDescent="0.3">
      <c r="A561" s="2" t="s">
        <v>173</v>
      </c>
      <c r="B561" s="2" t="s">
        <v>174</v>
      </c>
      <c r="C561" s="19" t="s">
        <v>175</v>
      </c>
      <c r="D561" s="19" t="s">
        <v>88</v>
      </c>
      <c r="E561" s="19" t="s">
        <v>24</v>
      </c>
      <c r="F561" s="19" t="s">
        <v>40</v>
      </c>
      <c r="G561" s="19" t="s">
        <v>54</v>
      </c>
      <c r="H561" s="19" t="s">
        <v>33</v>
      </c>
      <c r="I561" s="19">
        <v>3</v>
      </c>
      <c r="J561" s="19">
        <v>1535</v>
      </c>
      <c r="K561" s="19">
        <v>5</v>
      </c>
      <c r="L561" s="19">
        <v>4374.75</v>
      </c>
      <c r="M561" s="19">
        <f t="shared" si="24"/>
        <v>1012679.94</v>
      </c>
      <c r="N561" s="20">
        <f t="shared" si="25"/>
        <v>2296.3263945578228</v>
      </c>
      <c r="O561" s="19">
        <f t="shared" si="26"/>
        <v>990</v>
      </c>
      <c r="P561" s="19" t="str">
        <v>High</v>
      </c>
    </row>
    <row r="562" spans="1:16" x14ac:dyDescent="0.3">
      <c r="A562" s="2" t="s">
        <v>1300</v>
      </c>
      <c r="B562" s="2" t="s">
        <v>561</v>
      </c>
      <c r="C562" s="19" t="s">
        <v>1301</v>
      </c>
      <c r="D562" s="19" t="s">
        <v>53</v>
      </c>
      <c r="E562" s="19" t="s">
        <v>68</v>
      </c>
      <c r="F562" s="19" t="s">
        <v>25</v>
      </c>
      <c r="G562" s="19" t="s">
        <v>18</v>
      </c>
      <c r="H562" s="19" t="s">
        <v>33</v>
      </c>
      <c r="I562" s="19">
        <v>3</v>
      </c>
      <c r="J562" s="19">
        <v>1557</v>
      </c>
      <c r="K562" s="19">
        <v>7</v>
      </c>
      <c r="L562" s="19">
        <v>4344.03</v>
      </c>
      <c r="M562" s="19">
        <f t="shared" si="24"/>
        <v>1008305.19</v>
      </c>
      <c r="N562" s="20">
        <f t="shared" si="25"/>
        <v>2291.6027045454543</v>
      </c>
      <c r="O562" s="19">
        <f t="shared" si="26"/>
        <v>987</v>
      </c>
      <c r="P562" s="19" t="str">
        <v>High</v>
      </c>
    </row>
    <row r="563" spans="1:16" x14ac:dyDescent="0.3">
      <c r="A563" s="2" t="s">
        <v>195</v>
      </c>
      <c r="B563" s="2" t="s">
        <v>196</v>
      </c>
      <c r="C563" s="19" t="s">
        <v>197</v>
      </c>
      <c r="D563" s="19" t="s">
        <v>30</v>
      </c>
      <c r="E563" s="19" t="s">
        <v>48</v>
      </c>
      <c r="F563" s="19" t="s">
        <v>32</v>
      </c>
      <c r="G563" s="19" t="s">
        <v>54</v>
      </c>
      <c r="H563" s="19" t="s">
        <v>33</v>
      </c>
      <c r="I563" s="19">
        <v>4</v>
      </c>
      <c r="J563" s="19">
        <v>1463</v>
      </c>
      <c r="K563" s="19">
        <v>26</v>
      </c>
      <c r="L563" s="19">
        <v>4330.4799999999996</v>
      </c>
      <c r="M563" s="19">
        <f t="shared" si="24"/>
        <v>1003961.16</v>
      </c>
      <c r="N563" s="20">
        <f t="shared" si="25"/>
        <v>2286.9274715261959</v>
      </c>
      <c r="O563" s="19">
        <f t="shared" si="26"/>
        <v>984</v>
      </c>
      <c r="P563" s="19" t="str">
        <v>High</v>
      </c>
    </row>
    <row r="564" spans="1:16" x14ac:dyDescent="0.3">
      <c r="A564" s="2" t="s">
        <v>1117</v>
      </c>
      <c r="B564" s="2" t="s">
        <v>631</v>
      </c>
      <c r="C564" s="19" t="s">
        <v>111</v>
      </c>
      <c r="D564" s="19" t="s">
        <v>53</v>
      </c>
      <c r="E564" s="19" t="s">
        <v>79</v>
      </c>
      <c r="F564" s="19" t="s">
        <v>49</v>
      </c>
      <c r="G564" s="19" t="s">
        <v>40</v>
      </c>
      <c r="H564" s="19" t="s">
        <v>19</v>
      </c>
      <c r="I564" s="19">
        <v>3</v>
      </c>
      <c r="J564" s="19">
        <v>1441</v>
      </c>
      <c r="K564" s="19">
        <v>0</v>
      </c>
      <c r="L564" s="19">
        <v>4323</v>
      </c>
      <c r="M564" s="19">
        <f t="shared" si="24"/>
        <v>999630.67999999993</v>
      </c>
      <c r="N564" s="20">
        <f t="shared" si="25"/>
        <v>2282.261826484018</v>
      </c>
      <c r="O564" s="19">
        <f t="shared" si="26"/>
        <v>980</v>
      </c>
      <c r="P564" s="19" t="str">
        <v>High</v>
      </c>
    </row>
    <row r="565" spans="1:16" x14ac:dyDescent="0.3">
      <c r="A565" s="2" t="s">
        <v>149</v>
      </c>
      <c r="B565" s="2" t="s">
        <v>150</v>
      </c>
      <c r="C565" s="19" t="s">
        <v>151</v>
      </c>
      <c r="D565" s="19" t="s">
        <v>30</v>
      </c>
      <c r="E565" s="19" t="s">
        <v>58</v>
      </c>
      <c r="F565" s="19" t="s">
        <v>49</v>
      </c>
      <c r="G565" s="19" t="s">
        <v>18</v>
      </c>
      <c r="H565" s="19" t="s">
        <v>19</v>
      </c>
      <c r="I565" s="19">
        <v>5</v>
      </c>
      <c r="J565" s="19">
        <v>1213</v>
      </c>
      <c r="K565" s="19">
        <v>29</v>
      </c>
      <c r="L565" s="19">
        <v>4306.1499999999996</v>
      </c>
      <c r="M565" s="19">
        <f t="shared" si="24"/>
        <v>995307.67999999993</v>
      </c>
      <c r="N565" s="20">
        <f t="shared" si="25"/>
        <v>2277.5919450800916</v>
      </c>
      <c r="O565" s="19">
        <f t="shared" si="26"/>
        <v>977</v>
      </c>
      <c r="P565" s="19" t="str">
        <v>High</v>
      </c>
    </row>
    <row r="566" spans="1:16" x14ac:dyDescent="0.3">
      <c r="A566" s="2" t="s">
        <v>1454</v>
      </c>
      <c r="B566" s="2" t="s">
        <v>406</v>
      </c>
      <c r="C566" s="19" t="s">
        <v>562</v>
      </c>
      <c r="D566" s="19" t="s">
        <v>88</v>
      </c>
      <c r="E566" s="19" t="s">
        <v>16</v>
      </c>
      <c r="F566" s="19" t="s">
        <v>40</v>
      </c>
      <c r="G566" s="19" t="s">
        <v>54</v>
      </c>
      <c r="H566" s="19" t="s">
        <v>44</v>
      </c>
      <c r="I566" s="19">
        <v>3</v>
      </c>
      <c r="J566" s="19">
        <v>1860</v>
      </c>
      <c r="K566" s="19">
        <v>23</v>
      </c>
      <c r="L566" s="19">
        <v>4296.6000000000004</v>
      </c>
      <c r="M566" s="19">
        <f t="shared" si="24"/>
        <v>991001.53</v>
      </c>
      <c r="N566" s="20">
        <f t="shared" si="25"/>
        <v>2272.9392889908258</v>
      </c>
      <c r="O566" s="19">
        <f t="shared" si="26"/>
        <v>972</v>
      </c>
      <c r="P566" s="19" t="str">
        <v>High</v>
      </c>
    </row>
    <row r="567" spans="1:16" x14ac:dyDescent="0.3">
      <c r="A567" s="2" t="s">
        <v>1516</v>
      </c>
      <c r="B567" s="2" t="s">
        <v>174</v>
      </c>
      <c r="C567" s="19" t="s">
        <v>1124</v>
      </c>
      <c r="D567" s="19" t="s">
        <v>15</v>
      </c>
      <c r="E567" s="19" t="s">
        <v>58</v>
      </c>
      <c r="F567" s="19" t="s">
        <v>25</v>
      </c>
      <c r="G567" s="19" t="s">
        <v>54</v>
      </c>
      <c r="H567" s="19" t="s">
        <v>44</v>
      </c>
      <c r="I567" s="19">
        <v>4</v>
      </c>
      <c r="J567" s="19">
        <v>1426</v>
      </c>
      <c r="K567" s="19">
        <v>25</v>
      </c>
      <c r="L567" s="19">
        <v>4278</v>
      </c>
      <c r="M567" s="19">
        <f t="shared" si="24"/>
        <v>986704.93</v>
      </c>
      <c r="N567" s="20">
        <f t="shared" si="25"/>
        <v>2268.2871954022989</v>
      </c>
      <c r="O567" s="19">
        <f t="shared" si="26"/>
        <v>969</v>
      </c>
      <c r="P567" s="19" t="str">
        <v>High</v>
      </c>
    </row>
    <row r="568" spans="1:16" x14ac:dyDescent="0.3">
      <c r="A568" s="2" t="s">
        <v>1046</v>
      </c>
      <c r="B568" s="2" t="s">
        <v>257</v>
      </c>
      <c r="C568" s="19" t="s">
        <v>1047</v>
      </c>
      <c r="D568" s="19" t="s">
        <v>88</v>
      </c>
      <c r="E568" s="19" t="s">
        <v>31</v>
      </c>
      <c r="F568" s="19" t="s">
        <v>25</v>
      </c>
      <c r="G568" s="19" t="s">
        <v>62</v>
      </c>
      <c r="H568" s="19" t="s">
        <v>33</v>
      </c>
      <c r="I568" s="19">
        <v>1</v>
      </c>
      <c r="J568" s="19">
        <v>4268</v>
      </c>
      <c r="K568" s="19">
        <v>0</v>
      </c>
      <c r="L568" s="19">
        <v>4268</v>
      </c>
      <c r="M568" s="19">
        <f t="shared" si="24"/>
        <v>982426.93000000017</v>
      </c>
      <c r="N568" s="20">
        <f t="shared" si="25"/>
        <v>2263.6565207373274</v>
      </c>
      <c r="O568" s="19">
        <f t="shared" si="26"/>
        <v>965</v>
      </c>
      <c r="P568" s="19" t="str">
        <v>High</v>
      </c>
    </row>
    <row r="569" spans="1:16" x14ac:dyDescent="0.3">
      <c r="A569" s="2" t="s">
        <v>908</v>
      </c>
      <c r="B569" s="2" t="s">
        <v>185</v>
      </c>
      <c r="C569" s="19" t="s">
        <v>522</v>
      </c>
      <c r="D569" s="19" t="s">
        <v>88</v>
      </c>
      <c r="E569" s="19" t="s">
        <v>31</v>
      </c>
      <c r="F569" s="19" t="s">
        <v>25</v>
      </c>
      <c r="G569" s="19" t="s">
        <v>54</v>
      </c>
      <c r="H569" s="19" t="s">
        <v>19</v>
      </c>
      <c r="I569" s="19">
        <v>3</v>
      </c>
      <c r="J569" s="19">
        <v>1959</v>
      </c>
      <c r="K569" s="19">
        <v>28</v>
      </c>
      <c r="L569" s="19">
        <v>4231.4399999999996</v>
      </c>
      <c r="M569" s="19">
        <f t="shared" si="24"/>
        <v>978158.93000000017</v>
      </c>
      <c r="N569" s="20">
        <f t="shared" si="25"/>
        <v>2259.0275519630491</v>
      </c>
      <c r="O569" s="19">
        <f t="shared" si="26"/>
        <v>964</v>
      </c>
      <c r="P569" s="19" t="str">
        <v>High</v>
      </c>
    </row>
    <row r="570" spans="1:16" x14ac:dyDescent="0.3">
      <c r="A570" s="2" t="s">
        <v>1597</v>
      </c>
      <c r="B570" s="2" t="s">
        <v>731</v>
      </c>
      <c r="C570" s="19" t="s">
        <v>1598</v>
      </c>
      <c r="D570" s="19" t="s">
        <v>88</v>
      </c>
      <c r="E570" s="19" t="s">
        <v>68</v>
      </c>
      <c r="F570" s="19" t="s">
        <v>40</v>
      </c>
      <c r="G570" s="19" t="s">
        <v>40</v>
      </c>
      <c r="H570" s="19" t="s">
        <v>33</v>
      </c>
      <c r="I570" s="19">
        <v>1</v>
      </c>
      <c r="J570" s="19">
        <v>4951</v>
      </c>
      <c r="K570" s="19">
        <v>15</v>
      </c>
      <c r="L570" s="19">
        <v>4208.3500000000004</v>
      </c>
      <c r="M570" s="19">
        <f t="shared" si="24"/>
        <v>973927.49000000011</v>
      </c>
      <c r="N570" s="20">
        <f t="shared" si="25"/>
        <v>2254.4617824074076</v>
      </c>
      <c r="O570" s="19">
        <f t="shared" si="26"/>
        <v>961</v>
      </c>
      <c r="P570" s="19" t="str">
        <v>High</v>
      </c>
    </row>
    <row r="571" spans="1:16" x14ac:dyDescent="0.3">
      <c r="A571" s="2" t="s">
        <v>1127</v>
      </c>
      <c r="B571" s="2" t="s">
        <v>177</v>
      </c>
      <c r="C571" s="19" t="s">
        <v>133</v>
      </c>
      <c r="D571" s="19" t="s">
        <v>30</v>
      </c>
      <c r="E571" s="19" t="s">
        <v>58</v>
      </c>
      <c r="F571" s="19" t="s">
        <v>17</v>
      </c>
      <c r="G571" s="19" t="s">
        <v>54</v>
      </c>
      <c r="H571" s="19" t="s">
        <v>33</v>
      </c>
      <c r="I571" s="19">
        <v>5</v>
      </c>
      <c r="J571" s="19">
        <v>988</v>
      </c>
      <c r="K571" s="19">
        <v>15</v>
      </c>
      <c r="L571" s="19">
        <v>4199</v>
      </c>
      <c r="M571" s="19">
        <f t="shared" si="24"/>
        <v>969719.14000000013</v>
      </c>
      <c r="N571" s="20">
        <f t="shared" si="25"/>
        <v>2249.9283990719259</v>
      </c>
      <c r="O571" s="19">
        <f t="shared" si="26"/>
        <v>960</v>
      </c>
      <c r="P571" s="19" t="str">
        <v>High</v>
      </c>
    </row>
    <row r="572" spans="1:16" x14ac:dyDescent="0.3">
      <c r="A572" s="2" t="s">
        <v>1611</v>
      </c>
      <c r="B572" s="2" t="s">
        <v>398</v>
      </c>
      <c r="C572" s="19" t="s">
        <v>136</v>
      </c>
      <c r="D572" s="19" t="s">
        <v>30</v>
      </c>
      <c r="E572" s="19" t="s">
        <v>48</v>
      </c>
      <c r="F572" s="19" t="s">
        <v>17</v>
      </c>
      <c r="G572" s="19" t="s">
        <v>26</v>
      </c>
      <c r="H572" s="19" t="s">
        <v>19</v>
      </c>
      <c r="I572" s="19">
        <v>3</v>
      </c>
      <c r="J572" s="19">
        <v>1908</v>
      </c>
      <c r="K572" s="19">
        <v>27</v>
      </c>
      <c r="L572" s="19">
        <v>4178.5200000000004</v>
      </c>
      <c r="M572" s="19">
        <f t="shared" si="24"/>
        <v>965520.14000000013</v>
      </c>
      <c r="N572" s="20">
        <f t="shared" si="25"/>
        <v>2245.3956744186048</v>
      </c>
      <c r="O572" s="19">
        <f t="shared" si="26"/>
        <v>955</v>
      </c>
      <c r="P572" s="19" t="str">
        <v>High</v>
      </c>
    </row>
    <row r="573" spans="1:16" x14ac:dyDescent="0.3">
      <c r="A573" s="2" t="s">
        <v>1512</v>
      </c>
      <c r="B573" s="2" t="s">
        <v>634</v>
      </c>
      <c r="C573" s="19" t="s">
        <v>385</v>
      </c>
      <c r="D573" s="19" t="s">
        <v>15</v>
      </c>
      <c r="E573" s="19" t="s">
        <v>48</v>
      </c>
      <c r="F573" s="19" t="s">
        <v>17</v>
      </c>
      <c r="G573" s="19" t="s">
        <v>62</v>
      </c>
      <c r="H573" s="19" t="s">
        <v>19</v>
      </c>
      <c r="I573" s="19">
        <v>2</v>
      </c>
      <c r="J573" s="19">
        <v>2150</v>
      </c>
      <c r="K573" s="19">
        <v>3</v>
      </c>
      <c r="L573" s="19">
        <v>4171</v>
      </c>
      <c r="M573" s="19">
        <f t="shared" si="24"/>
        <v>961341.62</v>
      </c>
      <c r="N573" s="20">
        <f t="shared" si="25"/>
        <v>2240.8895571095572</v>
      </c>
      <c r="O573" s="19">
        <f t="shared" si="26"/>
        <v>952</v>
      </c>
      <c r="P573" s="19" t="str">
        <v>High</v>
      </c>
    </row>
    <row r="574" spans="1:16" x14ac:dyDescent="0.3">
      <c r="A574" s="2" t="s">
        <v>1546</v>
      </c>
      <c r="B574" s="2" t="s">
        <v>366</v>
      </c>
      <c r="C574" s="19" t="s">
        <v>342</v>
      </c>
      <c r="D574" s="19" t="s">
        <v>23</v>
      </c>
      <c r="E574" s="19" t="s">
        <v>68</v>
      </c>
      <c r="F574" s="19" t="s">
        <v>49</v>
      </c>
      <c r="G574" s="19" t="s">
        <v>18</v>
      </c>
      <c r="H574" s="19" t="s">
        <v>44</v>
      </c>
      <c r="I574" s="19">
        <v>2</v>
      </c>
      <c r="J574" s="19">
        <v>2600</v>
      </c>
      <c r="K574" s="19">
        <v>20</v>
      </c>
      <c r="L574" s="19">
        <v>4160</v>
      </c>
      <c r="M574" s="19">
        <f t="shared" si="24"/>
        <v>957170.62</v>
      </c>
      <c r="N574" s="20">
        <f t="shared" si="25"/>
        <v>2236.3799532710282</v>
      </c>
      <c r="O574" s="19">
        <f t="shared" si="26"/>
        <v>950</v>
      </c>
      <c r="P574" s="19" t="str">
        <v>High</v>
      </c>
    </row>
    <row r="575" spans="1:16" x14ac:dyDescent="0.3">
      <c r="A575" s="2" t="s">
        <v>1398</v>
      </c>
      <c r="B575" s="2" t="s">
        <v>358</v>
      </c>
      <c r="C575" s="19" t="s">
        <v>363</v>
      </c>
      <c r="D575" s="19" t="s">
        <v>30</v>
      </c>
      <c r="E575" s="19" t="s">
        <v>48</v>
      </c>
      <c r="F575" s="19" t="s">
        <v>40</v>
      </c>
      <c r="G575" s="19" t="s">
        <v>40</v>
      </c>
      <c r="H575" s="19" t="s">
        <v>75</v>
      </c>
      <c r="I575" s="19">
        <v>2</v>
      </c>
      <c r="J575" s="19">
        <v>2386</v>
      </c>
      <c r="K575" s="19">
        <v>13</v>
      </c>
      <c r="L575" s="19">
        <v>4151.6400000000003</v>
      </c>
      <c r="M575" s="19">
        <f t="shared" si="24"/>
        <v>953010.62000000011</v>
      </c>
      <c r="N575" s="20">
        <f t="shared" si="25"/>
        <v>2231.8749882903985</v>
      </c>
      <c r="O575" s="19">
        <f t="shared" si="26"/>
        <v>948</v>
      </c>
      <c r="P575" s="19" t="str">
        <v>High</v>
      </c>
    </row>
    <row r="576" spans="1:16" x14ac:dyDescent="0.3">
      <c r="A576" s="2" t="s">
        <v>376</v>
      </c>
      <c r="B576" s="2" t="s">
        <v>377</v>
      </c>
      <c r="C576" s="19" t="s">
        <v>206</v>
      </c>
      <c r="D576" s="19" t="s">
        <v>88</v>
      </c>
      <c r="E576" s="19" t="s">
        <v>48</v>
      </c>
      <c r="F576" s="19" t="s">
        <v>32</v>
      </c>
      <c r="G576" s="19" t="s">
        <v>26</v>
      </c>
      <c r="H576" s="19" t="s">
        <v>44</v>
      </c>
      <c r="I576" s="19">
        <v>3</v>
      </c>
      <c r="J576" s="19">
        <v>1529</v>
      </c>
      <c r="K576" s="19">
        <v>10</v>
      </c>
      <c r="L576" s="19">
        <v>4128.3</v>
      </c>
      <c r="M576" s="19">
        <f t="shared" si="24"/>
        <v>948858.98</v>
      </c>
      <c r="N576" s="20">
        <f t="shared" si="25"/>
        <v>2227.3684976525819</v>
      </c>
      <c r="O576" s="19">
        <f t="shared" si="26"/>
        <v>946</v>
      </c>
      <c r="P576" s="19" t="str">
        <v>High</v>
      </c>
    </row>
    <row r="577" spans="1:16" x14ac:dyDescent="0.3">
      <c r="A577" s="2" t="s">
        <v>1387</v>
      </c>
      <c r="B577" s="2" t="s">
        <v>1072</v>
      </c>
      <c r="C577" s="19" t="s">
        <v>194</v>
      </c>
      <c r="D577" s="19" t="s">
        <v>88</v>
      </c>
      <c r="E577" s="19" t="s">
        <v>58</v>
      </c>
      <c r="F577" s="19" t="s">
        <v>17</v>
      </c>
      <c r="G577" s="19" t="s">
        <v>54</v>
      </c>
      <c r="H577" s="19" t="s">
        <v>19</v>
      </c>
      <c r="I577" s="19">
        <v>4</v>
      </c>
      <c r="J577" s="19">
        <v>1154</v>
      </c>
      <c r="K577" s="19">
        <v>11</v>
      </c>
      <c r="L577" s="19">
        <v>4108.24</v>
      </c>
      <c r="M577" s="19">
        <f t="shared" si="24"/>
        <v>944730.68</v>
      </c>
      <c r="N577" s="20">
        <f t="shared" si="25"/>
        <v>2222.895717647059</v>
      </c>
      <c r="O577" s="19">
        <f t="shared" si="26"/>
        <v>943</v>
      </c>
      <c r="P577" s="19" t="str">
        <v>High</v>
      </c>
    </row>
    <row r="578" spans="1:16" x14ac:dyDescent="0.3">
      <c r="A578" s="2" t="s">
        <v>1523</v>
      </c>
      <c r="B578" s="2" t="s">
        <v>290</v>
      </c>
      <c r="C578" s="19" t="s">
        <v>94</v>
      </c>
      <c r="D578" s="19" t="s">
        <v>30</v>
      </c>
      <c r="E578" s="19" t="s">
        <v>31</v>
      </c>
      <c r="F578" s="19" t="s">
        <v>49</v>
      </c>
      <c r="G578" s="19" t="s">
        <v>62</v>
      </c>
      <c r="H578" s="19" t="s">
        <v>44</v>
      </c>
      <c r="I578" s="19">
        <v>1</v>
      </c>
      <c r="J578" s="19">
        <v>4775</v>
      </c>
      <c r="K578" s="19">
        <v>14</v>
      </c>
      <c r="L578" s="19">
        <v>4106.5</v>
      </c>
      <c r="M578" s="19">
        <f t="shared" ref="M578:M641" si="27">SUM(L578:L1577)</f>
        <v>940622.44000000006</v>
      </c>
      <c r="N578" s="20">
        <f t="shared" ref="N578:N641" si="28">AVERAGE(L578:L1577)</f>
        <v>2218.4491509433965</v>
      </c>
      <c r="O578" s="19">
        <f t="shared" ref="O578:O641" si="29">SUM(I578:I1577)</f>
        <v>939</v>
      </c>
      <c r="P578" s="19" t="str">
        <v>High</v>
      </c>
    </row>
    <row r="579" spans="1:16" x14ac:dyDescent="0.3">
      <c r="A579" s="2" t="s">
        <v>910</v>
      </c>
      <c r="B579" s="2" t="s">
        <v>854</v>
      </c>
      <c r="C579" s="19" t="s">
        <v>142</v>
      </c>
      <c r="D579" s="19" t="s">
        <v>23</v>
      </c>
      <c r="E579" s="19" t="s">
        <v>79</v>
      </c>
      <c r="F579" s="19" t="s">
        <v>32</v>
      </c>
      <c r="G579" s="19" t="s">
        <v>54</v>
      </c>
      <c r="H579" s="19" t="s">
        <v>19</v>
      </c>
      <c r="I579" s="19">
        <v>2</v>
      </c>
      <c r="J579" s="19">
        <v>2414</v>
      </c>
      <c r="K579" s="19">
        <v>15</v>
      </c>
      <c r="L579" s="19">
        <v>4103.8</v>
      </c>
      <c r="M579" s="19">
        <f t="shared" si="27"/>
        <v>936515.94</v>
      </c>
      <c r="N579" s="20">
        <f t="shared" si="28"/>
        <v>2213.9856737588652</v>
      </c>
      <c r="O579" s="19">
        <f t="shared" si="29"/>
        <v>938</v>
      </c>
      <c r="P579" s="19" t="str">
        <v>High</v>
      </c>
    </row>
    <row r="580" spans="1:16" x14ac:dyDescent="0.3">
      <c r="A580" s="2" t="s">
        <v>277</v>
      </c>
      <c r="B580" s="2" t="s">
        <v>278</v>
      </c>
      <c r="C580" s="19" t="s">
        <v>36</v>
      </c>
      <c r="D580" s="19" t="s">
        <v>88</v>
      </c>
      <c r="E580" s="19" t="s">
        <v>48</v>
      </c>
      <c r="F580" s="19" t="s">
        <v>40</v>
      </c>
      <c r="G580" s="19" t="s">
        <v>26</v>
      </c>
      <c r="H580" s="19" t="s">
        <v>75</v>
      </c>
      <c r="I580" s="19">
        <v>1</v>
      </c>
      <c r="J580" s="19">
        <v>4500</v>
      </c>
      <c r="K580" s="19">
        <v>9</v>
      </c>
      <c r="L580" s="19">
        <v>4095</v>
      </c>
      <c r="M580" s="19">
        <f t="shared" si="27"/>
        <v>932412.14</v>
      </c>
      <c r="N580" s="20">
        <f t="shared" si="28"/>
        <v>2209.5074407582938</v>
      </c>
      <c r="O580" s="19">
        <f t="shared" si="29"/>
        <v>936</v>
      </c>
      <c r="P580" s="19" t="str">
        <v>High</v>
      </c>
    </row>
    <row r="581" spans="1:16" x14ac:dyDescent="0.3">
      <c r="A581" s="2" t="s">
        <v>1584</v>
      </c>
      <c r="B581" s="2" t="s">
        <v>871</v>
      </c>
      <c r="C581" s="19" t="s">
        <v>1227</v>
      </c>
      <c r="D581" s="19" t="s">
        <v>23</v>
      </c>
      <c r="E581" s="19" t="s">
        <v>68</v>
      </c>
      <c r="F581" s="19" t="s">
        <v>49</v>
      </c>
      <c r="G581" s="19" t="s">
        <v>26</v>
      </c>
      <c r="H581" s="19" t="s">
        <v>19</v>
      </c>
      <c r="I581" s="19">
        <v>2</v>
      </c>
      <c r="J581" s="19">
        <v>2045</v>
      </c>
      <c r="K581" s="19">
        <v>0</v>
      </c>
      <c r="L581" s="19">
        <v>4090</v>
      </c>
      <c r="M581" s="19">
        <f t="shared" si="27"/>
        <v>928317.14</v>
      </c>
      <c r="N581" s="20">
        <f t="shared" si="28"/>
        <v>2205.0288361045132</v>
      </c>
      <c r="O581" s="19">
        <f t="shared" si="29"/>
        <v>935</v>
      </c>
      <c r="P581" s="19" t="str">
        <v>High</v>
      </c>
    </row>
    <row r="582" spans="1:16" x14ac:dyDescent="0.3">
      <c r="A582" s="2" t="s">
        <v>312</v>
      </c>
      <c r="B582" s="2" t="s">
        <v>313</v>
      </c>
      <c r="C582" s="19" t="s">
        <v>186</v>
      </c>
      <c r="D582" s="19" t="s">
        <v>88</v>
      </c>
      <c r="E582" s="19" t="s">
        <v>48</v>
      </c>
      <c r="F582" s="19" t="s">
        <v>32</v>
      </c>
      <c r="G582" s="19" t="s">
        <v>26</v>
      </c>
      <c r="H582" s="19" t="s">
        <v>75</v>
      </c>
      <c r="I582" s="19">
        <v>3</v>
      </c>
      <c r="J582" s="19">
        <v>1547</v>
      </c>
      <c r="K582" s="19">
        <v>12</v>
      </c>
      <c r="L582" s="19">
        <v>4084.08</v>
      </c>
      <c r="M582" s="19">
        <f t="shared" si="27"/>
        <v>924227.14</v>
      </c>
      <c r="N582" s="20">
        <f t="shared" si="28"/>
        <v>2200.5408095238095</v>
      </c>
      <c r="O582" s="19">
        <f t="shared" si="29"/>
        <v>933</v>
      </c>
      <c r="P582" s="19" t="str">
        <v>High</v>
      </c>
    </row>
    <row r="583" spans="1:16" x14ac:dyDescent="0.3">
      <c r="A583" s="2" t="s">
        <v>1108</v>
      </c>
      <c r="B583" s="2" t="s">
        <v>1109</v>
      </c>
      <c r="C583" s="19" t="s">
        <v>206</v>
      </c>
      <c r="D583" s="19" t="s">
        <v>88</v>
      </c>
      <c r="E583" s="19" t="s">
        <v>48</v>
      </c>
      <c r="F583" s="19" t="s">
        <v>40</v>
      </c>
      <c r="G583" s="19" t="s">
        <v>54</v>
      </c>
      <c r="H583" s="19" t="s">
        <v>33</v>
      </c>
      <c r="I583" s="19">
        <v>5</v>
      </c>
      <c r="J583" s="19">
        <v>995</v>
      </c>
      <c r="K583" s="19">
        <v>18</v>
      </c>
      <c r="L583" s="19">
        <v>4079.5</v>
      </c>
      <c r="M583" s="19">
        <f t="shared" si="27"/>
        <v>920143.06</v>
      </c>
      <c r="N583" s="20">
        <f t="shared" si="28"/>
        <v>2196.0454892601433</v>
      </c>
      <c r="O583" s="19">
        <f t="shared" si="29"/>
        <v>930</v>
      </c>
      <c r="P583" s="19" t="str">
        <v>High</v>
      </c>
    </row>
    <row r="584" spans="1:16" x14ac:dyDescent="0.3">
      <c r="A584" s="2" t="s">
        <v>971</v>
      </c>
      <c r="B584" s="2" t="s">
        <v>227</v>
      </c>
      <c r="C584" s="19" t="s">
        <v>127</v>
      </c>
      <c r="D584" s="19" t="s">
        <v>15</v>
      </c>
      <c r="E584" s="19" t="s">
        <v>58</v>
      </c>
      <c r="F584" s="19" t="s">
        <v>49</v>
      </c>
      <c r="G584" s="19" t="s">
        <v>18</v>
      </c>
      <c r="H584" s="19" t="s">
        <v>33</v>
      </c>
      <c r="I584" s="19">
        <v>5</v>
      </c>
      <c r="J584" s="19">
        <v>1019</v>
      </c>
      <c r="K584" s="19">
        <v>20</v>
      </c>
      <c r="L584" s="19">
        <v>4076</v>
      </c>
      <c r="M584" s="19">
        <f t="shared" si="27"/>
        <v>916063.56000000017</v>
      </c>
      <c r="N584" s="20">
        <f t="shared" si="28"/>
        <v>2191.5396172248807</v>
      </c>
      <c r="O584" s="19">
        <f t="shared" si="29"/>
        <v>925</v>
      </c>
      <c r="P584" s="19" t="str">
        <v>High</v>
      </c>
    </row>
    <row r="585" spans="1:16" x14ac:dyDescent="0.3">
      <c r="A585" s="2" t="s">
        <v>727</v>
      </c>
      <c r="B585" s="2" t="s">
        <v>728</v>
      </c>
      <c r="C585" s="19" t="s">
        <v>729</v>
      </c>
      <c r="D585" s="19" t="s">
        <v>23</v>
      </c>
      <c r="E585" s="19" t="s">
        <v>48</v>
      </c>
      <c r="F585" s="19" t="s">
        <v>25</v>
      </c>
      <c r="G585" s="19" t="s">
        <v>62</v>
      </c>
      <c r="H585" s="19" t="s">
        <v>19</v>
      </c>
      <c r="I585" s="19">
        <v>1</v>
      </c>
      <c r="J585" s="19">
        <v>4334</v>
      </c>
      <c r="K585" s="19">
        <v>6</v>
      </c>
      <c r="L585" s="19">
        <v>4073.96</v>
      </c>
      <c r="M585" s="19">
        <f t="shared" si="27"/>
        <v>911987.56</v>
      </c>
      <c r="N585" s="20">
        <f t="shared" si="28"/>
        <v>2187.0205275779376</v>
      </c>
      <c r="O585" s="19">
        <f t="shared" si="29"/>
        <v>920</v>
      </c>
      <c r="P585" s="19" t="str">
        <v>High</v>
      </c>
    </row>
    <row r="586" spans="1:16" x14ac:dyDescent="0.3">
      <c r="A586" s="2" t="s">
        <v>1380</v>
      </c>
      <c r="B586" s="2" t="s">
        <v>1176</v>
      </c>
      <c r="C586" s="19" t="s">
        <v>755</v>
      </c>
      <c r="D586" s="19" t="s">
        <v>53</v>
      </c>
      <c r="E586" s="19" t="s">
        <v>48</v>
      </c>
      <c r="F586" s="19" t="s">
        <v>49</v>
      </c>
      <c r="G586" s="19" t="s">
        <v>26</v>
      </c>
      <c r="H586" s="19" t="s">
        <v>44</v>
      </c>
      <c r="I586" s="19">
        <v>1</v>
      </c>
      <c r="J586" s="19">
        <v>4523</v>
      </c>
      <c r="K586" s="19">
        <v>10</v>
      </c>
      <c r="L586" s="19">
        <v>4070.7</v>
      </c>
      <c r="M586" s="19">
        <f t="shared" si="27"/>
        <v>907913.60000000009</v>
      </c>
      <c r="N586" s="20">
        <f t="shared" si="28"/>
        <v>2182.4846153846156</v>
      </c>
      <c r="O586" s="19">
        <f t="shared" si="29"/>
        <v>919</v>
      </c>
      <c r="P586" s="19" t="str">
        <v>High</v>
      </c>
    </row>
    <row r="587" spans="1:16" x14ac:dyDescent="0.3">
      <c r="A587" s="2" t="s">
        <v>1193</v>
      </c>
      <c r="B587" s="2" t="s">
        <v>1194</v>
      </c>
      <c r="C587" s="19" t="s">
        <v>983</v>
      </c>
      <c r="D587" s="19" t="s">
        <v>88</v>
      </c>
      <c r="E587" s="19" t="s">
        <v>31</v>
      </c>
      <c r="F587" s="19" t="s">
        <v>25</v>
      </c>
      <c r="G587" s="19" t="s">
        <v>40</v>
      </c>
      <c r="H587" s="19" t="s">
        <v>75</v>
      </c>
      <c r="I587" s="19">
        <v>2</v>
      </c>
      <c r="J587" s="19">
        <v>2233</v>
      </c>
      <c r="K587" s="19">
        <v>9</v>
      </c>
      <c r="L587" s="19">
        <v>4064.06</v>
      </c>
      <c r="M587" s="19">
        <f t="shared" si="27"/>
        <v>903842.90000000014</v>
      </c>
      <c r="N587" s="20">
        <f t="shared" si="28"/>
        <v>2177.9346987951812</v>
      </c>
      <c r="O587" s="19">
        <f t="shared" si="29"/>
        <v>918</v>
      </c>
      <c r="P587" s="19" t="str">
        <v>High</v>
      </c>
    </row>
    <row r="588" spans="1:16" x14ac:dyDescent="0.3">
      <c r="A588" s="2" t="s">
        <v>883</v>
      </c>
      <c r="B588" s="2" t="s">
        <v>425</v>
      </c>
      <c r="C588" s="19" t="s">
        <v>493</v>
      </c>
      <c r="D588" s="19" t="s">
        <v>23</v>
      </c>
      <c r="E588" s="19" t="s">
        <v>31</v>
      </c>
      <c r="F588" s="19" t="s">
        <v>32</v>
      </c>
      <c r="G588" s="19" t="s">
        <v>26</v>
      </c>
      <c r="H588" s="19" t="s">
        <v>44</v>
      </c>
      <c r="I588" s="19">
        <v>2</v>
      </c>
      <c r="J588" s="19">
        <v>2304</v>
      </c>
      <c r="K588" s="19">
        <v>12</v>
      </c>
      <c r="L588" s="19">
        <v>4055.04</v>
      </c>
      <c r="M588" s="19">
        <f t="shared" si="27"/>
        <v>899778.8400000002</v>
      </c>
      <c r="N588" s="20">
        <f t="shared" si="28"/>
        <v>2173.3788405797104</v>
      </c>
      <c r="O588" s="19">
        <f t="shared" si="29"/>
        <v>916</v>
      </c>
      <c r="P588" s="19" t="str">
        <v>High</v>
      </c>
    </row>
    <row r="589" spans="1:16" x14ac:dyDescent="0.3">
      <c r="A589" s="2" t="s">
        <v>610</v>
      </c>
      <c r="B589" s="2" t="s">
        <v>440</v>
      </c>
      <c r="C589" s="19" t="s">
        <v>288</v>
      </c>
      <c r="D589" s="19" t="s">
        <v>15</v>
      </c>
      <c r="E589" s="19" t="s">
        <v>68</v>
      </c>
      <c r="F589" s="19" t="s">
        <v>49</v>
      </c>
      <c r="G589" s="19" t="s">
        <v>26</v>
      </c>
      <c r="H589" s="19" t="s">
        <v>75</v>
      </c>
      <c r="I589" s="19">
        <v>1</v>
      </c>
      <c r="J589" s="19">
        <v>4752</v>
      </c>
      <c r="K589" s="19">
        <v>15</v>
      </c>
      <c r="L589" s="19">
        <v>4039.2</v>
      </c>
      <c r="M589" s="19">
        <f t="shared" si="27"/>
        <v>895723.80000000016</v>
      </c>
      <c r="N589" s="20">
        <f t="shared" si="28"/>
        <v>2168.8227602905572</v>
      </c>
      <c r="O589" s="19">
        <f t="shared" si="29"/>
        <v>914</v>
      </c>
      <c r="P589" s="19" t="str">
        <v>High</v>
      </c>
    </row>
    <row r="590" spans="1:16" x14ac:dyDescent="0.3">
      <c r="A590" s="2" t="s">
        <v>659</v>
      </c>
      <c r="B590" s="2" t="s">
        <v>605</v>
      </c>
      <c r="C590" s="19" t="s">
        <v>660</v>
      </c>
      <c r="D590" s="19" t="s">
        <v>15</v>
      </c>
      <c r="E590" s="19" t="s">
        <v>24</v>
      </c>
      <c r="F590" s="19" t="s">
        <v>32</v>
      </c>
      <c r="G590" s="19" t="s">
        <v>18</v>
      </c>
      <c r="H590" s="19" t="s">
        <v>44</v>
      </c>
      <c r="I590" s="19">
        <v>1</v>
      </c>
      <c r="J590" s="19">
        <v>4338</v>
      </c>
      <c r="K590" s="19">
        <v>7</v>
      </c>
      <c r="L590" s="19">
        <v>4034.34</v>
      </c>
      <c r="M590" s="19">
        <f t="shared" si="27"/>
        <v>891684.60000000021</v>
      </c>
      <c r="N590" s="20">
        <f t="shared" si="28"/>
        <v>2164.2830097087385</v>
      </c>
      <c r="O590" s="19">
        <f t="shared" si="29"/>
        <v>913</v>
      </c>
      <c r="P590" s="19" t="str">
        <v>High</v>
      </c>
    </row>
    <row r="591" spans="1:16" x14ac:dyDescent="0.3">
      <c r="A591" s="2" t="s">
        <v>953</v>
      </c>
      <c r="B591" s="2" t="s">
        <v>375</v>
      </c>
      <c r="C591" s="19" t="s">
        <v>91</v>
      </c>
      <c r="D591" s="19" t="s">
        <v>88</v>
      </c>
      <c r="E591" s="19" t="s">
        <v>31</v>
      </c>
      <c r="F591" s="19" t="s">
        <v>25</v>
      </c>
      <c r="G591" s="19" t="s">
        <v>18</v>
      </c>
      <c r="H591" s="19" t="s">
        <v>33</v>
      </c>
      <c r="I591" s="19">
        <v>1</v>
      </c>
      <c r="J591" s="19">
        <v>4033</v>
      </c>
      <c r="K591" s="19">
        <v>0</v>
      </c>
      <c r="L591" s="19">
        <v>4033</v>
      </c>
      <c r="M591" s="19">
        <f t="shared" si="27"/>
        <v>887650.26000000024</v>
      </c>
      <c r="N591" s="20">
        <f t="shared" si="28"/>
        <v>2159.7329927007304</v>
      </c>
      <c r="O591" s="19">
        <f t="shared" si="29"/>
        <v>912</v>
      </c>
      <c r="P591" s="19" t="str">
        <v>High</v>
      </c>
    </row>
    <row r="592" spans="1:16" x14ac:dyDescent="0.3">
      <c r="A592" s="2" t="s">
        <v>1485</v>
      </c>
      <c r="B592" s="2" t="s">
        <v>35</v>
      </c>
      <c r="C592" s="19" t="s">
        <v>882</v>
      </c>
      <c r="D592" s="19" t="s">
        <v>15</v>
      </c>
      <c r="E592" s="19" t="s">
        <v>58</v>
      </c>
      <c r="F592" s="19" t="s">
        <v>49</v>
      </c>
      <c r="G592" s="19" t="s">
        <v>18</v>
      </c>
      <c r="H592" s="19" t="s">
        <v>19</v>
      </c>
      <c r="I592" s="19">
        <v>1</v>
      </c>
      <c r="J592" s="19">
        <v>4722</v>
      </c>
      <c r="K592" s="19">
        <v>15</v>
      </c>
      <c r="L592" s="19">
        <v>4013.7</v>
      </c>
      <c r="M592" s="19">
        <f t="shared" si="27"/>
        <v>883617.26000000024</v>
      </c>
      <c r="N592" s="20">
        <f t="shared" si="28"/>
        <v>2155.1640487804884</v>
      </c>
      <c r="O592" s="19">
        <f t="shared" si="29"/>
        <v>911</v>
      </c>
      <c r="P592" s="19" t="str">
        <v>High</v>
      </c>
    </row>
    <row r="593" spans="1:16" x14ac:dyDescent="0.3">
      <c r="A593" s="2" t="s">
        <v>1576</v>
      </c>
      <c r="B593" s="2" t="s">
        <v>1577</v>
      </c>
      <c r="C593" s="19" t="s">
        <v>235</v>
      </c>
      <c r="D593" s="19" t="s">
        <v>23</v>
      </c>
      <c r="E593" s="19" t="s">
        <v>68</v>
      </c>
      <c r="F593" s="19" t="s">
        <v>32</v>
      </c>
      <c r="G593" s="19" t="s">
        <v>26</v>
      </c>
      <c r="H593" s="19" t="s">
        <v>19</v>
      </c>
      <c r="I593" s="19">
        <v>2</v>
      </c>
      <c r="J593" s="19">
        <v>2059</v>
      </c>
      <c r="K593" s="19">
        <v>3</v>
      </c>
      <c r="L593" s="19">
        <v>3994.46</v>
      </c>
      <c r="M593" s="19">
        <f t="shared" si="27"/>
        <v>879603.56000000017</v>
      </c>
      <c r="N593" s="20">
        <f t="shared" si="28"/>
        <v>2150.6199511002451</v>
      </c>
      <c r="O593" s="19">
        <f t="shared" si="29"/>
        <v>910</v>
      </c>
      <c r="P593" s="19" t="str">
        <v>High</v>
      </c>
    </row>
    <row r="594" spans="1:16" x14ac:dyDescent="0.3">
      <c r="A594" s="2" t="s">
        <v>1182</v>
      </c>
      <c r="B594" s="2" t="s">
        <v>1183</v>
      </c>
      <c r="C594" s="19" t="s">
        <v>826</v>
      </c>
      <c r="D594" s="19" t="s">
        <v>23</v>
      </c>
      <c r="E594" s="19" t="s">
        <v>24</v>
      </c>
      <c r="F594" s="19" t="s">
        <v>49</v>
      </c>
      <c r="G594" s="19" t="s">
        <v>54</v>
      </c>
      <c r="H594" s="19" t="s">
        <v>19</v>
      </c>
      <c r="I594" s="19">
        <v>4</v>
      </c>
      <c r="J594" s="19">
        <v>1104</v>
      </c>
      <c r="K594" s="19">
        <v>11</v>
      </c>
      <c r="L594" s="19">
        <v>3930.24</v>
      </c>
      <c r="M594" s="19">
        <f t="shared" si="27"/>
        <v>875609.10000000021</v>
      </c>
      <c r="N594" s="20">
        <f t="shared" si="28"/>
        <v>2146.1007352941183</v>
      </c>
      <c r="O594" s="19">
        <f t="shared" si="29"/>
        <v>908</v>
      </c>
      <c r="P594" s="19" t="str">
        <v>High</v>
      </c>
    </row>
    <row r="595" spans="1:16" x14ac:dyDescent="0.3">
      <c r="A595" s="2" t="s">
        <v>1428</v>
      </c>
      <c r="B595" s="2" t="s">
        <v>1402</v>
      </c>
      <c r="C595" s="19" t="s">
        <v>247</v>
      </c>
      <c r="D595" s="19" t="s">
        <v>23</v>
      </c>
      <c r="E595" s="19" t="s">
        <v>79</v>
      </c>
      <c r="F595" s="19" t="s">
        <v>25</v>
      </c>
      <c r="G595" s="19" t="s">
        <v>26</v>
      </c>
      <c r="H595" s="19" t="s">
        <v>44</v>
      </c>
      <c r="I595" s="19">
        <v>5</v>
      </c>
      <c r="J595" s="19">
        <v>1028</v>
      </c>
      <c r="K595" s="19">
        <v>24</v>
      </c>
      <c r="L595" s="19">
        <v>3906.4</v>
      </c>
      <c r="M595" s="19">
        <f t="shared" si="27"/>
        <v>871678.86000000034</v>
      </c>
      <c r="N595" s="20">
        <f t="shared" si="28"/>
        <v>2141.7171007371016</v>
      </c>
      <c r="O595" s="19">
        <f t="shared" si="29"/>
        <v>904</v>
      </c>
      <c r="P595" s="19" t="str">
        <v>High</v>
      </c>
    </row>
    <row r="596" spans="1:16" x14ac:dyDescent="0.3">
      <c r="A596" s="2" t="s">
        <v>1422</v>
      </c>
      <c r="B596" s="2" t="s">
        <v>119</v>
      </c>
      <c r="C596" s="19" t="s">
        <v>230</v>
      </c>
      <c r="D596" s="19" t="s">
        <v>88</v>
      </c>
      <c r="E596" s="19" t="s">
        <v>79</v>
      </c>
      <c r="F596" s="19" t="s">
        <v>25</v>
      </c>
      <c r="G596" s="19" t="s">
        <v>62</v>
      </c>
      <c r="H596" s="19" t="s">
        <v>44</v>
      </c>
      <c r="I596" s="19">
        <v>1</v>
      </c>
      <c r="J596" s="19">
        <v>4153</v>
      </c>
      <c r="K596" s="19">
        <v>6</v>
      </c>
      <c r="L596" s="19">
        <v>3903.82</v>
      </c>
      <c r="M596" s="19">
        <f t="shared" si="27"/>
        <v>867772.46000000031</v>
      </c>
      <c r="N596" s="20">
        <f t="shared" si="28"/>
        <v>2137.3705911330057</v>
      </c>
      <c r="O596" s="19">
        <f t="shared" si="29"/>
        <v>899</v>
      </c>
      <c r="P596" s="19" t="str">
        <v>High</v>
      </c>
    </row>
    <row r="597" spans="1:16" x14ac:dyDescent="0.3">
      <c r="A597" s="2" t="s">
        <v>1035</v>
      </c>
      <c r="B597" s="2" t="s">
        <v>487</v>
      </c>
      <c r="C597" s="19" t="s">
        <v>91</v>
      </c>
      <c r="D597" s="19" t="s">
        <v>23</v>
      </c>
      <c r="E597" s="19" t="s">
        <v>48</v>
      </c>
      <c r="F597" s="19" t="s">
        <v>40</v>
      </c>
      <c r="G597" s="19" t="s">
        <v>54</v>
      </c>
      <c r="H597" s="19" t="s">
        <v>33</v>
      </c>
      <c r="I597" s="19">
        <v>3</v>
      </c>
      <c r="J597" s="19">
        <v>1754</v>
      </c>
      <c r="K597" s="19">
        <v>26</v>
      </c>
      <c r="L597" s="19">
        <v>3893.88</v>
      </c>
      <c r="M597" s="19">
        <f t="shared" si="27"/>
        <v>863868.64000000036</v>
      </c>
      <c r="N597" s="20">
        <f t="shared" si="28"/>
        <v>2133.008987654322</v>
      </c>
      <c r="O597" s="19">
        <f t="shared" si="29"/>
        <v>898</v>
      </c>
      <c r="P597" s="19" t="str">
        <v>High</v>
      </c>
    </row>
    <row r="598" spans="1:16" x14ac:dyDescent="0.3">
      <c r="A598" s="2" t="s">
        <v>835</v>
      </c>
      <c r="B598" s="2" t="s">
        <v>528</v>
      </c>
      <c r="C598" s="19" t="s">
        <v>836</v>
      </c>
      <c r="D598" s="19" t="s">
        <v>15</v>
      </c>
      <c r="E598" s="19" t="s">
        <v>48</v>
      </c>
      <c r="F598" s="19" t="s">
        <v>49</v>
      </c>
      <c r="G598" s="19" t="s">
        <v>18</v>
      </c>
      <c r="H598" s="19" t="s">
        <v>33</v>
      </c>
      <c r="I598" s="19">
        <v>1</v>
      </c>
      <c r="J598" s="19">
        <v>4123</v>
      </c>
      <c r="K598" s="19">
        <v>6</v>
      </c>
      <c r="L598" s="19">
        <v>3875.62</v>
      </c>
      <c r="M598" s="19">
        <f t="shared" si="27"/>
        <v>859974.76000000036</v>
      </c>
      <c r="N598" s="20">
        <f t="shared" si="28"/>
        <v>2128.6503960396049</v>
      </c>
      <c r="O598" s="19">
        <f t="shared" si="29"/>
        <v>895</v>
      </c>
      <c r="P598" s="19" t="str">
        <v>High</v>
      </c>
    </row>
    <row r="599" spans="1:16" x14ac:dyDescent="0.3">
      <c r="A599" s="2" t="s">
        <v>1434</v>
      </c>
      <c r="B599" s="2" t="s">
        <v>1435</v>
      </c>
      <c r="C599" s="19" t="s">
        <v>1243</v>
      </c>
      <c r="D599" s="19" t="s">
        <v>23</v>
      </c>
      <c r="E599" s="19" t="s">
        <v>31</v>
      </c>
      <c r="F599" s="19" t="s">
        <v>49</v>
      </c>
      <c r="G599" s="19" t="s">
        <v>26</v>
      </c>
      <c r="H599" s="19" t="s">
        <v>33</v>
      </c>
      <c r="I599" s="19">
        <v>5</v>
      </c>
      <c r="J599" s="19">
        <v>1072</v>
      </c>
      <c r="K599" s="19">
        <v>28</v>
      </c>
      <c r="L599" s="19">
        <v>3859.2</v>
      </c>
      <c r="M599" s="19">
        <f t="shared" si="27"/>
        <v>856099.14000000036</v>
      </c>
      <c r="N599" s="20">
        <f t="shared" si="28"/>
        <v>2124.3154838709688</v>
      </c>
      <c r="O599" s="19">
        <f t="shared" si="29"/>
        <v>894</v>
      </c>
      <c r="P599" s="19" t="str">
        <v>High</v>
      </c>
    </row>
    <row r="600" spans="1:16" x14ac:dyDescent="0.3">
      <c r="A600" s="2" t="s">
        <v>1667</v>
      </c>
      <c r="B600" s="2" t="s">
        <v>56</v>
      </c>
      <c r="C600" s="19" t="s">
        <v>160</v>
      </c>
      <c r="D600" s="19" t="s">
        <v>23</v>
      </c>
      <c r="E600" s="19" t="s">
        <v>24</v>
      </c>
      <c r="F600" s="19" t="s">
        <v>49</v>
      </c>
      <c r="G600" s="19" t="s">
        <v>40</v>
      </c>
      <c r="H600" s="19" t="s">
        <v>33</v>
      </c>
      <c r="I600" s="19">
        <v>4</v>
      </c>
      <c r="J600" s="19">
        <v>1378</v>
      </c>
      <c r="K600" s="19">
        <v>30</v>
      </c>
      <c r="L600" s="19">
        <v>3858.4</v>
      </c>
      <c r="M600" s="19">
        <f t="shared" si="27"/>
        <v>852239.94000000029</v>
      </c>
      <c r="N600" s="20">
        <f t="shared" si="28"/>
        <v>2119.9998507462692</v>
      </c>
      <c r="O600" s="19">
        <f t="shared" si="29"/>
        <v>889</v>
      </c>
      <c r="P600" s="19" t="str">
        <v>High</v>
      </c>
    </row>
    <row r="601" spans="1:16" x14ac:dyDescent="0.3">
      <c r="A601" s="2" t="s">
        <v>947</v>
      </c>
      <c r="B601" s="2" t="s">
        <v>295</v>
      </c>
      <c r="C601" s="19" t="s">
        <v>291</v>
      </c>
      <c r="D601" s="19" t="s">
        <v>15</v>
      </c>
      <c r="E601" s="19" t="s">
        <v>48</v>
      </c>
      <c r="F601" s="19" t="s">
        <v>25</v>
      </c>
      <c r="G601" s="19" t="s">
        <v>18</v>
      </c>
      <c r="H601" s="19" t="s">
        <v>75</v>
      </c>
      <c r="I601" s="19">
        <v>5</v>
      </c>
      <c r="J601" s="19">
        <v>777</v>
      </c>
      <c r="K601" s="19">
        <v>1</v>
      </c>
      <c r="L601" s="19">
        <v>3846.15</v>
      </c>
      <c r="M601" s="19">
        <f t="shared" si="27"/>
        <v>848381.54000000039</v>
      </c>
      <c r="N601" s="20">
        <f t="shared" si="28"/>
        <v>2115.6646882793029</v>
      </c>
      <c r="O601" s="19">
        <f t="shared" si="29"/>
        <v>885</v>
      </c>
      <c r="P601" s="19" t="str">
        <v>High</v>
      </c>
    </row>
    <row r="602" spans="1:16" x14ac:dyDescent="0.3">
      <c r="A602" s="2" t="s">
        <v>1186</v>
      </c>
      <c r="B602" s="2" t="s">
        <v>760</v>
      </c>
      <c r="C602" s="19" t="s">
        <v>305</v>
      </c>
      <c r="D602" s="19" t="s">
        <v>88</v>
      </c>
      <c r="E602" s="19" t="s">
        <v>58</v>
      </c>
      <c r="F602" s="19" t="s">
        <v>17</v>
      </c>
      <c r="G602" s="19" t="s">
        <v>62</v>
      </c>
      <c r="H602" s="19" t="s">
        <v>44</v>
      </c>
      <c r="I602" s="19">
        <v>1</v>
      </c>
      <c r="J602" s="19">
        <v>4208</v>
      </c>
      <c r="K602" s="19">
        <v>9</v>
      </c>
      <c r="L602" s="19">
        <v>3829.28</v>
      </c>
      <c r="M602" s="19">
        <f t="shared" si="27"/>
        <v>844535.39000000036</v>
      </c>
      <c r="N602" s="20">
        <f t="shared" si="28"/>
        <v>2111.3384750000009</v>
      </c>
      <c r="O602" s="19">
        <f t="shared" si="29"/>
        <v>880</v>
      </c>
      <c r="P602" s="19" t="str">
        <v>High</v>
      </c>
    </row>
    <row r="603" spans="1:16" x14ac:dyDescent="0.3">
      <c r="A603" s="2" t="s">
        <v>1480</v>
      </c>
      <c r="B603" s="2" t="s">
        <v>1087</v>
      </c>
      <c r="C603" s="19" t="s">
        <v>142</v>
      </c>
      <c r="D603" s="19" t="s">
        <v>23</v>
      </c>
      <c r="E603" s="19" t="s">
        <v>31</v>
      </c>
      <c r="F603" s="19" t="s">
        <v>32</v>
      </c>
      <c r="G603" s="19" t="s">
        <v>54</v>
      </c>
      <c r="H603" s="19" t="s">
        <v>75</v>
      </c>
      <c r="I603" s="19">
        <v>1</v>
      </c>
      <c r="J603" s="19">
        <v>4969</v>
      </c>
      <c r="K603" s="19">
        <v>23</v>
      </c>
      <c r="L603" s="19">
        <v>3826.13</v>
      </c>
      <c r="M603" s="19">
        <f t="shared" si="27"/>
        <v>840706.11000000034</v>
      </c>
      <c r="N603" s="20">
        <f t="shared" si="28"/>
        <v>2107.0328571428581</v>
      </c>
      <c r="O603" s="19">
        <f t="shared" si="29"/>
        <v>879</v>
      </c>
      <c r="P603" s="19" t="str">
        <v>High</v>
      </c>
    </row>
    <row r="604" spans="1:16" x14ac:dyDescent="0.3">
      <c r="A604" s="2" t="s">
        <v>1202</v>
      </c>
      <c r="B604" s="2" t="s">
        <v>1068</v>
      </c>
      <c r="C604" s="19" t="s">
        <v>1203</v>
      </c>
      <c r="D604" s="19" t="s">
        <v>88</v>
      </c>
      <c r="E604" s="19" t="s">
        <v>24</v>
      </c>
      <c r="F604" s="19" t="s">
        <v>40</v>
      </c>
      <c r="G604" s="19" t="s">
        <v>62</v>
      </c>
      <c r="H604" s="19" t="s">
        <v>19</v>
      </c>
      <c r="I604" s="19">
        <v>1</v>
      </c>
      <c r="J604" s="19">
        <v>4023</v>
      </c>
      <c r="K604" s="19">
        <v>5</v>
      </c>
      <c r="L604" s="19">
        <v>3821.85</v>
      </c>
      <c r="M604" s="19">
        <f t="shared" si="27"/>
        <v>836879.98000000045</v>
      </c>
      <c r="N604" s="20">
        <f t="shared" si="28"/>
        <v>2102.7135175879407</v>
      </c>
      <c r="O604" s="19">
        <f t="shared" si="29"/>
        <v>878</v>
      </c>
      <c r="P604" s="19" t="str">
        <v>High</v>
      </c>
    </row>
    <row r="605" spans="1:16" x14ac:dyDescent="0.3">
      <c r="A605" s="2" t="s">
        <v>981</v>
      </c>
      <c r="B605" s="2" t="s">
        <v>904</v>
      </c>
      <c r="C605" s="19" t="s">
        <v>102</v>
      </c>
      <c r="D605" s="19" t="s">
        <v>15</v>
      </c>
      <c r="E605" s="19" t="s">
        <v>24</v>
      </c>
      <c r="F605" s="19" t="s">
        <v>17</v>
      </c>
      <c r="G605" s="19" t="s">
        <v>18</v>
      </c>
      <c r="H605" s="19" t="s">
        <v>75</v>
      </c>
      <c r="I605" s="19">
        <v>1</v>
      </c>
      <c r="J605" s="19">
        <v>4775</v>
      </c>
      <c r="K605" s="19">
        <v>20</v>
      </c>
      <c r="L605" s="19">
        <v>3820</v>
      </c>
      <c r="M605" s="19">
        <f t="shared" si="27"/>
        <v>833058.13000000035</v>
      </c>
      <c r="N605" s="20">
        <f t="shared" si="28"/>
        <v>2098.3831989924442</v>
      </c>
      <c r="O605" s="19">
        <f t="shared" si="29"/>
        <v>877</v>
      </c>
      <c r="P605" s="19" t="str">
        <v>High</v>
      </c>
    </row>
    <row r="606" spans="1:16" x14ac:dyDescent="0.3">
      <c r="A606" s="2" t="s">
        <v>1212</v>
      </c>
      <c r="B606" s="2" t="s">
        <v>202</v>
      </c>
      <c r="C606" s="19" t="s">
        <v>175</v>
      </c>
      <c r="D606" s="19" t="s">
        <v>53</v>
      </c>
      <c r="E606" s="19" t="s">
        <v>24</v>
      </c>
      <c r="F606" s="19" t="s">
        <v>40</v>
      </c>
      <c r="G606" s="19" t="s">
        <v>18</v>
      </c>
      <c r="H606" s="19" t="s">
        <v>33</v>
      </c>
      <c r="I606" s="19">
        <v>3</v>
      </c>
      <c r="J606" s="19">
        <v>1308</v>
      </c>
      <c r="K606" s="19">
        <v>3</v>
      </c>
      <c r="L606" s="19">
        <v>3806.28</v>
      </c>
      <c r="M606" s="19">
        <f t="shared" si="27"/>
        <v>829238.13000000024</v>
      </c>
      <c r="N606" s="20">
        <f t="shared" si="28"/>
        <v>2094.0356818181826</v>
      </c>
      <c r="O606" s="19">
        <f t="shared" si="29"/>
        <v>876</v>
      </c>
      <c r="P606" s="19" t="str">
        <v>High</v>
      </c>
    </row>
    <row r="607" spans="1:16" x14ac:dyDescent="0.3">
      <c r="A607" s="2" t="s">
        <v>571</v>
      </c>
      <c r="B607" s="2" t="s">
        <v>572</v>
      </c>
      <c r="C607" s="19" t="s">
        <v>573</v>
      </c>
      <c r="D607" s="19" t="s">
        <v>30</v>
      </c>
      <c r="E607" s="19" t="s">
        <v>31</v>
      </c>
      <c r="F607" s="19" t="s">
        <v>49</v>
      </c>
      <c r="G607" s="19" t="s">
        <v>40</v>
      </c>
      <c r="H607" s="19" t="s">
        <v>33</v>
      </c>
      <c r="I607" s="19">
        <v>2</v>
      </c>
      <c r="J607" s="19">
        <v>2536</v>
      </c>
      <c r="K607" s="19">
        <v>25</v>
      </c>
      <c r="L607" s="19">
        <v>3804</v>
      </c>
      <c r="M607" s="19">
        <f t="shared" si="27"/>
        <v>825431.85000000033</v>
      </c>
      <c r="N607" s="20">
        <f t="shared" si="28"/>
        <v>2089.7008860759502</v>
      </c>
      <c r="O607" s="19">
        <f t="shared" si="29"/>
        <v>873</v>
      </c>
      <c r="P607" s="19" t="str">
        <v>High</v>
      </c>
    </row>
    <row r="608" spans="1:16" x14ac:dyDescent="0.3">
      <c r="A608" s="2" t="s">
        <v>959</v>
      </c>
      <c r="B608" s="2" t="s">
        <v>243</v>
      </c>
      <c r="C608" s="19" t="s">
        <v>960</v>
      </c>
      <c r="D608" s="19" t="s">
        <v>23</v>
      </c>
      <c r="E608" s="19" t="s">
        <v>16</v>
      </c>
      <c r="F608" s="19" t="s">
        <v>17</v>
      </c>
      <c r="G608" s="19" t="s">
        <v>26</v>
      </c>
      <c r="H608" s="19" t="s">
        <v>19</v>
      </c>
      <c r="I608" s="19">
        <v>2</v>
      </c>
      <c r="J608" s="19">
        <v>2568</v>
      </c>
      <c r="K608" s="19">
        <v>26</v>
      </c>
      <c r="L608" s="19">
        <v>3800.64</v>
      </c>
      <c r="M608" s="19">
        <f t="shared" si="27"/>
        <v>821627.85000000033</v>
      </c>
      <c r="N608" s="20">
        <f t="shared" si="28"/>
        <v>2085.3498730964475</v>
      </c>
      <c r="O608" s="19">
        <f t="shared" si="29"/>
        <v>871</v>
      </c>
      <c r="P608" s="19" t="str">
        <v>High</v>
      </c>
    </row>
    <row r="609" spans="1:16" x14ac:dyDescent="0.3">
      <c r="A609" s="2" t="s">
        <v>1417</v>
      </c>
      <c r="B609" s="2" t="s">
        <v>1324</v>
      </c>
      <c r="C609" s="19" t="s">
        <v>353</v>
      </c>
      <c r="D609" s="19" t="s">
        <v>23</v>
      </c>
      <c r="E609" s="19" t="s">
        <v>16</v>
      </c>
      <c r="F609" s="19" t="s">
        <v>17</v>
      </c>
      <c r="G609" s="19" t="s">
        <v>26</v>
      </c>
      <c r="H609" s="19" t="s">
        <v>44</v>
      </c>
      <c r="I609" s="19">
        <v>2</v>
      </c>
      <c r="J609" s="19">
        <v>2462</v>
      </c>
      <c r="K609" s="19">
        <v>23</v>
      </c>
      <c r="L609" s="19">
        <v>3791.48</v>
      </c>
      <c r="M609" s="19">
        <f t="shared" si="27"/>
        <v>817827.21000000031</v>
      </c>
      <c r="N609" s="20">
        <f t="shared" si="28"/>
        <v>2080.9852671755734</v>
      </c>
      <c r="O609" s="19">
        <f t="shared" si="29"/>
        <v>869</v>
      </c>
      <c r="P609" s="19" t="str">
        <v>High</v>
      </c>
    </row>
    <row r="610" spans="1:16" x14ac:dyDescent="0.3">
      <c r="A610" s="2" t="s">
        <v>1529</v>
      </c>
      <c r="B610" s="2" t="s">
        <v>1079</v>
      </c>
      <c r="C610" s="19" t="s">
        <v>700</v>
      </c>
      <c r="D610" s="19" t="s">
        <v>53</v>
      </c>
      <c r="E610" s="19" t="s">
        <v>79</v>
      </c>
      <c r="F610" s="19" t="s">
        <v>49</v>
      </c>
      <c r="G610" s="19" t="s">
        <v>54</v>
      </c>
      <c r="H610" s="19" t="s">
        <v>33</v>
      </c>
      <c r="I610" s="19">
        <v>2</v>
      </c>
      <c r="J610" s="19">
        <v>1888</v>
      </c>
      <c r="K610" s="19">
        <v>0</v>
      </c>
      <c r="L610" s="19">
        <v>3776</v>
      </c>
      <c r="M610" s="19">
        <f t="shared" si="27"/>
        <v>814035.73000000021</v>
      </c>
      <c r="N610" s="20">
        <f t="shared" si="28"/>
        <v>2076.621760204082</v>
      </c>
      <c r="O610" s="19">
        <f t="shared" si="29"/>
        <v>867</v>
      </c>
      <c r="P610" s="19" t="str">
        <v>High</v>
      </c>
    </row>
    <row r="611" spans="1:16" x14ac:dyDescent="0.3">
      <c r="A611" s="2" t="s">
        <v>870</v>
      </c>
      <c r="B611" s="2" t="s">
        <v>871</v>
      </c>
      <c r="C611" s="19" t="s">
        <v>872</v>
      </c>
      <c r="D611" s="19" t="s">
        <v>15</v>
      </c>
      <c r="E611" s="19" t="s">
        <v>48</v>
      </c>
      <c r="F611" s="19" t="s">
        <v>17</v>
      </c>
      <c r="G611" s="19" t="s">
        <v>62</v>
      </c>
      <c r="H611" s="19" t="s">
        <v>19</v>
      </c>
      <c r="I611" s="19">
        <v>5</v>
      </c>
      <c r="J611" s="19">
        <v>1031</v>
      </c>
      <c r="K611" s="19">
        <v>27</v>
      </c>
      <c r="L611" s="19">
        <v>3763.15</v>
      </c>
      <c r="M611" s="19">
        <f t="shared" si="27"/>
        <v>810259.73000000033</v>
      </c>
      <c r="N611" s="20">
        <f t="shared" si="28"/>
        <v>2072.2755242966759</v>
      </c>
      <c r="O611" s="19">
        <f t="shared" si="29"/>
        <v>865</v>
      </c>
      <c r="P611" s="19" t="str">
        <v>High</v>
      </c>
    </row>
    <row r="612" spans="1:16" x14ac:dyDescent="0.3">
      <c r="A612" s="2" t="s">
        <v>1357</v>
      </c>
      <c r="B612" s="2" t="s">
        <v>672</v>
      </c>
      <c r="C612" s="19" t="s">
        <v>845</v>
      </c>
      <c r="D612" s="19" t="s">
        <v>23</v>
      </c>
      <c r="E612" s="19" t="s">
        <v>48</v>
      </c>
      <c r="F612" s="19" t="s">
        <v>25</v>
      </c>
      <c r="G612" s="19" t="s">
        <v>18</v>
      </c>
      <c r="H612" s="19" t="s">
        <v>33</v>
      </c>
      <c r="I612" s="19">
        <v>2</v>
      </c>
      <c r="J612" s="19">
        <v>2613</v>
      </c>
      <c r="K612" s="19">
        <v>28</v>
      </c>
      <c r="L612" s="19">
        <v>3762.72</v>
      </c>
      <c r="M612" s="19">
        <f t="shared" si="27"/>
        <v>806496.58000000019</v>
      </c>
      <c r="N612" s="20">
        <f t="shared" si="28"/>
        <v>2067.9399487179494</v>
      </c>
      <c r="O612" s="19">
        <f t="shared" si="29"/>
        <v>860</v>
      </c>
      <c r="P612" s="19" t="str">
        <v>High</v>
      </c>
    </row>
    <row r="613" spans="1:16" x14ac:dyDescent="0.3">
      <c r="A613" s="2" t="s">
        <v>591</v>
      </c>
      <c r="B613" s="2" t="s">
        <v>592</v>
      </c>
      <c r="C613" s="19" t="s">
        <v>505</v>
      </c>
      <c r="D613" s="19" t="s">
        <v>88</v>
      </c>
      <c r="E613" s="19" t="s">
        <v>79</v>
      </c>
      <c r="F613" s="19" t="s">
        <v>25</v>
      </c>
      <c r="G613" s="19" t="s">
        <v>26</v>
      </c>
      <c r="H613" s="19" t="s">
        <v>75</v>
      </c>
      <c r="I613" s="19">
        <v>1</v>
      </c>
      <c r="J613" s="19">
        <v>4477</v>
      </c>
      <c r="K613" s="19">
        <v>16</v>
      </c>
      <c r="L613" s="19">
        <v>3760.68</v>
      </c>
      <c r="M613" s="19">
        <f t="shared" si="27"/>
        <v>802733.86000000022</v>
      </c>
      <c r="N613" s="20">
        <f t="shared" si="28"/>
        <v>2063.583187660669</v>
      </c>
      <c r="O613" s="19">
        <f t="shared" si="29"/>
        <v>858</v>
      </c>
      <c r="P613" s="19" t="str">
        <v>High</v>
      </c>
    </row>
    <row r="614" spans="1:16" x14ac:dyDescent="0.3">
      <c r="A614" s="2" t="s">
        <v>784</v>
      </c>
      <c r="B614" s="2" t="s">
        <v>304</v>
      </c>
      <c r="C614" s="19" t="s">
        <v>719</v>
      </c>
      <c r="D614" s="19" t="s">
        <v>15</v>
      </c>
      <c r="E614" s="19" t="s">
        <v>16</v>
      </c>
      <c r="F614" s="19" t="s">
        <v>49</v>
      </c>
      <c r="G614" s="19" t="s">
        <v>54</v>
      </c>
      <c r="H614" s="19" t="s">
        <v>75</v>
      </c>
      <c r="I614" s="19">
        <v>2</v>
      </c>
      <c r="J614" s="19">
        <v>1856</v>
      </c>
      <c r="K614" s="19">
        <v>0</v>
      </c>
      <c r="L614" s="19">
        <v>3712</v>
      </c>
      <c r="M614" s="19">
        <f t="shared" si="27"/>
        <v>798973.18000000017</v>
      </c>
      <c r="N614" s="20">
        <f t="shared" si="28"/>
        <v>2059.2092268041242</v>
      </c>
      <c r="O614" s="19">
        <f t="shared" si="29"/>
        <v>857</v>
      </c>
      <c r="P614" s="19" t="str">
        <v>High</v>
      </c>
    </row>
    <row r="615" spans="1:16" x14ac:dyDescent="0.3">
      <c r="A615" s="2" t="s">
        <v>239</v>
      </c>
      <c r="B615" s="2" t="s">
        <v>240</v>
      </c>
      <c r="C615" s="19" t="s">
        <v>241</v>
      </c>
      <c r="D615" s="19" t="s">
        <v>53</v>
      </c>
      <c r="E615" s="19" t="s">
        <v>16</v>
      </c>
      <c r="F615" s="19" t="s">
        <v>17</v>
      </c>
      <c r="G615" s="19" t="s">
        <v>54</v>
      </c>
      <c r="H615" s="19" t="s">
        <v>75</v>
      </c>
      <c r="I615" s="19">
        <v>1</v>
      </c>
      <c r="J615" s="19">
        <v>4330</v>
      </c>
      <c r="K615" s="19">
        <v>15</v>
      </c>
      <c r="L615" s="19">
        <v>3680.5</v>
      </c>
      <c r="M615" s="19">
        <f t="shared" si="27"/>
        <v>795261.18000000017</v>
      </c>
      <c r="N615" s="20">
        <f t="shared" si="28"/>
        <v>2054.9384496124035</v>
      </c>
      <c r="O615" s="19">
        <f t="shared" si="29"/>
        <v>855</v>
      </c>
      <c r="P615" s="19" t="str">
        <v>High</v>
      </c>
    </row>
    <row r="616" spans="1:16" x14ac:dyDescent="0.3">
      <c r="A616" s="2" t="s">
        <v>1625</v>
      </c>
      <c r="B616" s="2" t="s">
        <v>904</v>
      </c>
      <c r="C616" s="19" t="s">
        <v>423</v>
      </c>
      <c r="D616" s="19" t="s">
        <v>30</v>
      </c>
      <c r="E616" s="19" t="s">
        <v>24</v>
      </c>
      <c r="F616" s="19" t="s">
        <v>17</v>
      </c>
      <c r="G616" s="19" t="s">
        <v>26</v>
      </c>
      <c r="H616" s="19" t="s">
        <v>19</v>
      </c>
      <c r="I616" s="19">
        <v>5</v>
      </c>
      <c r="J616" s="19">
        <v>968</v>
      </c>
      <c r="K616" s="19">
        <v>24</v>
      </c>
      <c r="L616" s="19">
        <v>3678.4</v>
      </c>
      <c r="M616" s="19">
        <f t="shared" si="27"/>
        <v>791580.68000000017</v>
      </c>
      <c r="N616" s="20">
        <f t="shared" si="28"/>
        <v>2050.7271502590679</v>
      </c>
      <c r="O616" s="19">
        <f t="shared" si="29"/>
        <v>854</v>
      </c>
      <c r="P616" s="19" t="str">
        <v>High</v>
      </c>
    </row>
    <row r="617" spans="1:16" x14ac:dyDescent="0.3">
      <c r="A617" s="2" t="s">
        <v>1571</v>
      </c>
      <c r="B617" s="2" t="s">
        <v>443</v>
      </c>
      <c r="C617" s="19" t="s">
        <v>860</v>
      </c>
      <c r="D617" s="19" t="s">
        <v>15</v>
      </c>
      <c r="E617" s="19" t="s">
        <v>31</v>
      </c>
      <c r="F617" s="19" t="s">
        <v>32</v>
      </c>
      <c r="G617" s="19" t="s">
        <v>62</v>
      </c>
      <c r="H617" s="19" t="s">
        <v>44</v>
      </c>
      <c r="I617" s="19">
        <v>5</v>
      </c>
      <c r="J617" s="19">
        <v>885</v>
      </c>
      <c r="K617" s="19">
        <v>17</v>
      </c>
      <c r="L617" s="19">
        <v>3672.75</v>
      </c>
      <c r="M617" s="19">
        <f t="shared" si="27"/>
        <v>787902.28000000014</v>
      </c>
      <c r="N617" s="20">
        <f t="shared" si="28"/>
        <v>2046.499428571429</v>
      </c>
      <c r="O617" s="19">
        <f t="shared" si="29"/>
        <v>849</v>
      </c>
      <c r="P617" s="19" t="str">
        <v>High</v>
      </c>
    </row>
    <row r="618" spans="1:16" x14ac:dyDescent="0.3">
      <c r="A618" s="2" t="s">
        <v>426</v>
      </c>
      <c r="B618" s="2" t="s">
        <v>427</v>
      </c>
      <c r="C618" s="19" t="s">
        <v>428</v>
      </c>
      <c r="D618" s="19" t="s">
        <v>15</v>
      </c>
      <c r="E618" s="19" t="s">
        <v>24</v>
      </c>
      <c r="F618" s="19" t="s">
        <v>32</v>
      </c>
      <c r="G618" s="19" t="s">
        <v>26</v>
      </c>
      <c r="H618" s="19" t="s">
        <v>19</v>
      </c>
      <c r="I618" s="19">
        <v>2</v>
      </c>
      <c r="J618" s="19">
        <v>2433</v>
      </c>
      <c r="K618" s="19">
        <v>25</v>
      </c>
      <c r="L618" s="19">
        <v>3649.5</v>
      </c>
      <c r="M618" s="19">
        <f t="shared" si="27"/>
        <v>784229.53000000014</v>
      </c>
      <c r="N618" s="20">
        <f t="shared" si="28"/>
        <v>2042.264401041667</v>
      </c>
      <c r="O618" s="19">
        <f t="shared" si="29"/>
        <v>844</v>
      </c>
      <c r="P618" s="19" t="str">
        <v>High</v>
      </c>
    </row>
    <row r="619" spans="1:16" x14ac:dyDescent="0.3">
      <c r="A619" s="2" t="s">
        <v>1640</v>
      </c>
      <c r="B619" s="2" t="s">
        <v>940</v>
      </c>
      <c r="C619" s="19" t="s">
        <v>858</v>
      </c>
      <c r="D619" s="19" t="s">
        <v>15</v>
      </c>
      <c r="E619" s="19" t="s">
        <v>79</v>
      </c>
      <c r="F619" s="19" t="s">
        <v>49</v>
      </c>
      <c r="G619" s="19" t="s">
        <v>62</v>
      </c>
      <c r="H619" s="19" t="s">
        <v>19</v>
      </c>
      <c r="I619" s="19">
        <v>4</v>
      </c>
      <c r="J619" s="19">
        <v>1084</v>
      </c>
      <c r="K619" s="19">
        <v>16</v>
      </c>
      <c r="L619" s="19">
        <v>3642.24</v>
      </c>
      <c r="M619" s="19">
        <f t="shared" si="27"/>
        <v>780580.03000000014</v>
      </c>
      <c r="N619" s="20">
        <f t="shared" si="28"/>
        <v>2038.0679634464755</v>
      </c>
      <c r="O619" s="19">
        <f t="shared" si="29"/>
        <v>842</v>
      </c>
      <c r="P619" s="19" t="str">
        <v>High</v>
      </c>
    </row>
    <row r="620" spans="1:16" x14ac:dyDescent="0.3">
      <c r="A620" s="2" t="s">
        <v>863</v>
      </c>
      <c r="B620" s="2" t="s">
        <v>764</v>
      </c>
      <c r="C620" s="19" t="s">
        <v>438</v>
      </c>
      <c r="D620" s="19" t="s">
        <v>15</v>
      </c>
      <c r="E620" s="19" t="s">
        <v>16</v>
      </c>
      <c r="F620" s="19" t="s">
        <v>49</v>
      </c>
      <c r="G620" s="19" t="s">
        <v>26</v>
      </c>
      <c r="H620" s="19" t="s">
        <v>75</v>
      </c>
      <c r="I620" s="19">
        <v>2</v>
      </c>
      <c r="J620" s="19">
        <v>1937</v>
      </c>
      <c r="K620" s="19">
        <v>6</v>
      </c>
      <c r="L620" s="19">
        <v>3641.56</v>
      </c>
      <c r="M620" s="19">
        <f t="shared" si="27"/>
        <v>776937.79000000015</v>
      </c>
      <c r="N620" s="20">
        <f t="shared" si="28"/>
        <v>2033.8685602094245</v>
      </c>
      <c r="O620" s="19">
        <f t="shared" si="29"/>
        <v>838</v>
      </c>
      <c r="P620" s="19" t="str">
        <v>High</v>
      </c>
    </row>
    <row r="621" spans="1:16" x14ac:dyDescent="0.3">
      <c r="A621" s="2" t="s">
        <v>589</v>
      </c>
      <c r="B621" s="2" t="s">
        <v>485</v>
      </c>
      <c r="C621" s="19" t="s">
        <v>590</v>
      </c>
      <c r="D621" s="19" t="s">
        <v>53</v>
      </c>
      <c r="E621" s="19" t="s">
        <v>24</v>
      </c>
      <c r="F621" s="19" t="s">
        <v>17</v>
      </c>
      <c r="G621" s="19" t="s">
        <v>26</v>
      </c>
      <c r="H621" s="19" t="s">
        <v>44</v>
      </c>
      <c r="I621" s="19">
        <v>1</v>
      </c>
      <c r="J621" s="19">
        <v>4604</v>
      </c>
      <c r="K621" s="19">
        <v>21</v>
      </c>
      <c r="L621" s="19">
        <v>3637.16</v>
      </c>
      <c r="M621" s="19">
        <f t="shared" si="27"/>
        <v>773296.23000000021</v>
      </c>
      <c r="N621" s="20">
        <f t="shared" si="28"/>
        <v>2029.6488976377959</v>
      </c>
      <c r="O621" s="19">
        <f t="shared" si="29"/>
        <v>836</v>
      </c>
      <c r="P621" s="19" t="str">
        <v>High</v>
      </c>
    </row>
    <row r="622" spans="1:16" x14ac:dyDescent="0.3">
      <c r="A622" s="2" t="s">
        <v>1215</v>
      </c>
      <c r="B622" s="2" t="s">
        <v>876</v>
      </c>
      <c r="C622" s="19" t="s">
        <v>491</v>
      </c>
      <c r="D622" s="19" t="s">
        <v>53</v>
      </c>
      <c r="E622" s="19" t="s">
        <v>16</v>
      </c>
      <c r="F622" s="19" t="s">
        <v>49</v>
      </c>
      <c r="G622" s="19" t="s">
        <v>26</v>
      </c>
      <c r="H622" s="19" t="s">
        <v>33</v>
      </c>
      <c r="I622" s="19">
        <v>2</v>
      </c>
      <c r="J622" s="19">
        <v>1855</v>
      </c>
      <c r="K622" s="19">
        <v>2</v>
      </c>
      <c r="L622" s="19">
        <v>3635.8</v>
      </c>
      <c r="M622" s="19">
        <f t="shared" si="27"/>
        <v>769659.07000000007</v>
      </c>
      <c r="N622" s="20">
        <f t="shared" si="28"/>
        <v>2025.418605263158</v>
      </c>
      <c r="O622" s="19">
        <f t="shared" si="29"/>
        <v>835</v>
      </c>
      <c r="P622" s="19" t="str">
        <v>High</v>
      </c>
    </row>
    <row r="623" spans="1:16" x14ac:dyDescent="0.3">
      <c r="A623" s="2" t="s">
        <v>431</v>
      </c>
      <c r="B623" s="2" t="s">
        <v>432</v>
      </c>
      <c r="C623" s="19" t="s">
        <v>360</v>
      </c>
      <c r="D623" s="19" t="s">
        <v>88</v>
      </c>
      <c r="E623" s="19" t="s">
        <v>58</v>
      </c>
      <c r="F623" s="19" t="s">
        <v>40</v>
      </c>
      <c r="G623" s="19" t="s">
        <v>40</v>
      </c>
      <c r="H623" s="19" t="s">
        <v>19</v>
      </c>
      <c r="I623" s="19">
        <v>3</v>
      </c>
      <c r="J623" s="19">
        <v>1391</v>
      </c>
      <c r="K623" s="19">
        <v>13</v>
      </c>
      <c r="L623" s="19">
        <v>3630.51</v>
      </c>
      <c r="M623" s="19">
        <f t="shared" si="27"/>
        <v>766023.27000000014</v>
      </c>
      <c r="N623" s="20">
        <f t="shared" si="28"/>
        <v>2021.1695778364119</v>
      </c>
      <c r="O623" s="19">
        <f t="shared" si="29"/>
        <v>833</v>
      </c>
      <c r="P623" s="19" t="str">
        <v>High</v>
      </c>
    </row>
    <row r="624" spans="1:16" x14ac:dyDescent="0.3">
      <c r="A624" s="2" t="s">
        <v>807</v>
      </c>
      <c r="B624" s="2" t="s">
        <v>808</v>
      </c>
      <c r="C624" s="19" t="s">
        <v>258</v>
      </c>
      <c r="D624" s="19" t="s">
        <v>53</v>
      </c>
      <c r="E624" s="19" t="s">
        <v>68</v>
      </c>
      <c r="F624" s="19" t="s">
        <v>17</v>
      </c>
      <c r="G624" s="19" t="s">
        <v>40</v>
      </c>
      <c r="H624" s="19" t="s">
        <v>44</v>
      </c>
      <c r="I624" s="19">
        <v>2</v>
      </c>
      <c r="J624" s="19">
        <v>2481</v>
      </c>
      <c r="K624" s="19">
        <v>27</v>
      </c>
      <c r="L624" s="19">
        <v>3622.26</v>
      </c>
      <c r="M624" s="19">
        <f t="shared" si="27"/>
        <v>762392.76000000013</v>
      </c>
      <c r="N624" s="20">
        <f t="shared" si="28"/>
        <v>2016.9120634920639</v>
      </c>
      <c r="O624" s="19">
        <f t="shared" si="29"/>
        <v>830</v>
      </c>
      <c r="P624" s="19" t="str">
        <v>High</v>
      </c>
    </row>
    <row r="625" spans="1:16" x14ac:dyDescent="0.3">
      <c r="A625" s="2" t="s">
        <v>978</v>
      </c>
      <c r="B625" s="2" t="s">
        <v>205</v>
      </c>
      <c r="C625" s="19" t="s">
        <v>325</v>
      </c>
      <c r="D625" s="19" t="s">
        <v>53</v>
      </c>
      <c r="E625" s="19" t="s">
        <v>48</v>
      </c>
      <c r="F625" s="19" t="s">
        <v>32</v>
      </c>
      <c r="G625" s="19" t="s">
        <v>62</v>
      </c>
      <c r="H625" s="19" t="s">
        <v>33</v>
      </c>
      <c r="I625" s="19">
        <v>2</v>
      </c>
      <c r="J625" s="19">
        <v>1984</v>
      </c>
      <c r="K625" s="19">
        <v>9</v>
      </c>
      <c r="L625" s="19">
        <v>3610.88</v>
      </c>
      <c r="M625" s="19">
        <f t="shared" si="27"/>
        <v>758770.5</v>
      </c>
      <c r="N625" s="20">
        <f t="shared" si="28"/>
        <v>2012.6538461538462</v>
      </c>
      <c r="O625" s="19">
        <f t="shared" si="29"/>
        <v>828</v>
      </c>
      <c r="P625" s="19" t="str">
        <v>High</v>
      </c>
    </row>
    <row r="626" spans="1:16" x14ac:dyDescent="0.3">
      <c r="A626" s="2" t="s">
        <v>1617</v>
      </c>
      <c r="B626" s="2" t="s">
        <v>592</v>
      </c>
      <c r="C626" s="19" t="s">
        <v>1618</v>
      </c>
      <c r="D626" s="19" t="s">
        <v>30</v>
      </c>
      <c r="E626" s="19" t="s">
        <v>68</v>
      </c>
      <c r="F626" s="19" t="s">
        <v>25</v>
      </c>
      <c r="G626" s="19" t="s">
        <v>62</v>
      </c>
      <c r="H626" s="19" t="s">
        <v>19</v>
      </c>
      <c r="I626" s="19">
        <v>1</v>
      </c>
      <c r="J626" s="19">
        <v>4444</v>
      </c>
      <c r="K626" s="19">
        <v>19</v>
      </c>
      <c r="L626" s="19">
        <v>3599.64</v>
      </c>
      <c r="M626" s="19">
        <f t="shared" si="27"/>
        <v>755159.61999999988</v>
      </c>
      <c r="N626" s="20">
        <f t="shared" si="28"/>
        <v>2008.4032446808508</v>
      </c>
      <c r="O626" s="19">
        <f t="shared" si="29"/>
        <v>826</v>
      </c>
      <c r="P626" s="19" t="str">
        <v>High</v>
      </c>
    </row>
    <row r="627" spans="1:16" x14ac:dyDescent="0.3">
      <c r="A627" s="2" t="s">
        <v>176</v>
      </c>
      <c r="B627" s="2" t="s">
        <v>177</v>
      </c>
      <c r="C627" s="19" t="s">
        <v>22</v>
      </c>
      <c r="D627" s="19" t="s">
        <v>88</v>
      </c>
      <c r="E627" s="19" t="s">
        <v>68</v>
      </c>
      <c r="F627" s="19" t="s">
        <v>17</v>
      </c>
      <c r="G627" s="19" t="s">
        <v>18</v>
      </c>
      <c r="H627" s="19" t="s">
        <v>19</v>
      </c>
      <c r="I627" s="19">
        <v>3</v>
      </c>
      <c r="J627" s="19">
        <v>1462</v>
      </c>
      <c r="K627" s="19">
        <v>18</v>
      </c>
      <c r="L627" s="19">
        <v>3596.52</v>
      </c>
      <c r="M627" s="19">
        <f t="shared" si="27"/>
        <v>751559.97999999986</v>
      </c>
      <c r="N627" s="20">
        <f t="shared" si="28"/>
        <v>2004.1599466666662</v>
      </c>
      <c r="O627" s="19">
        <f t="shared" si="29"/>
        <v>825</v>
      </c>
      <c r="P627" s="19" t="str">
        <v>High</v>
      </c>
    </row>
    <row r="628" spans="1:16" x14ac:dyDescent="0.3">
      <c r="A628" s="2" t="s">
        <v>550</v>
      </c>
      <c r="B628" s="2" t="s">
        <v>551</v>
      </c>
      <c r="C628" s="19" t="s">
        <v>552</v>
      </c>
      <c r="D628" s="19" t="s">
        <v>53</v>
      </c>
      <c r="E628" s="19" t="s">
        <v>68</v>
      </c>
      <c r="F628" s="19" t="s">
        <v>32</v>
      </c>
      <c r="G628" s="19" t="s">
        <v>26</v>
      </c>
      <c r="H628" s="19" t="s">
        <v>75</v>
      </c>
      <c r="I628" s="19">
        <v>4</v>
      </c>
      <c r="J628" s="19">
        <v>914</v>
      </c>
      <c r="K628" s="19">
        <v>2</v>
      </c>
      <c r="L628" s="19">
        <v>3582.88</v>
      </c>
      <c r="M628" s="19">
        <f t="shared" si="27"/>
        <v>747963.45999999985</v>
      </c>
      <c r="N628" s="20">
        <f t="shared" si="28"/>
        <v>1999.9022994652403</v>
      </c>
      <c r="O628" s="19">
        <f t="shared" si="29"/>
        <v>822</v>
      </c>
      <c r="P628" s="19" t="str">
        <v>High</v>
      </c>
    </row>
    <row r="629" spans="1:16" x14ac:dyDescent="0.3">
      <c r="A629" s="2" t="s">
        <v>1626</v>
      </c>
      <c r="B629" s="2" t="s">
        <v>190</v>
      </c>
      <c r="C629" s="19" t="s">
        <v>1342</v>
      </c>
      <c r="D629" s="19" t="s">
        <v>30</v>
      </c>
      <c r="E629" s="19" t="s">
        <v>24</v>
      </c>
      <c r="F629" s="19" t="s">
        <v>25</v>
      </c>
      <c r="G629" s="19" t="s">
        <v>54</v>
      </c>
      <c r="H629" s="19" t="s">
        <v>33</v>
      </c>
      <c r="I629" s="19">
        <v>2</v>
      </c>
      <c r="J629" s="19">
        <v>2262</v>
      </c>
      <c r="K629" s="19">
        <v>21</v>
      </c>
      <c r="L629" s="19">
        <v>3573.96</v>
      </c>
      <c r="M629" s="19">
        <f t="shared" si="27"/>
        <v>744380.58</v>
      </c>
      <c r="N629" s="20">
        <f t="shared" si="28"/>
        <v>1995.6583914209114</v>
      </c>
      <c r="O629" s="19">
        <f t="shared" si="29"/>
        <v>818</v>
      </c>
      <c r="P629" s="19" t="str">
        <v>High</v>
      </c>
    </row>
    <row r="630" spans="1:16" x14ac:dyDescent="0.3">
      <c r="A630" s="2" t="s">
        <v>1178</v>
      </c>
      <c r="B630" s="2" t="s">
        <v>440</v>
      </c>
      <c r="C630" s="19" t="s">
        <v>1179</v>
      </c>
      <c r="D630" s="19" t="s">
        <v>23</v>
      </c>
      <c r="E630" s="19" t="s">
        <v>48</v>
      </c>
      <c r="F630" s="19" t="s">
        <v>49</v>
      </c>
      <c r="G630" s="19" t="s">
        <v>18</v>
      </c>
      <c r="H630" s="19" t="s">
        <v>44</v>
      </c>
      <c r="I630" s="19">
        <v>3</v>
      </c>
      <c r="J630" s="19">
        <v>1487</v>
      </c>
      <c r="K630" s="19">
        <v>20</v>
      </c>
      <c r="L630" s="19">
        <v>3568.8</v>
      </c>
      <c r="M630" s="19">
        <f t="shared" si="27"/>
        <v>740806.62</v>
      </c>
      <c r="N630" s="20">
        <f t="shared" si="28"/>
        <v>1991.4156451612903</v>
      </c>
      <c r="O630" s="19">
        <f t="shared" si="29"/>
        <v>816</v>
      </c>
      <c r="P630" s="19" t="str">
        <v>High</v>
      </c>
    </row>
    <row r="631" spans="1:16" x14ac:dyDescent="0.3">
      <c r="A631" s="2" t="s">
        <v>1101</v>
      </c>
      <c r="B631" s="2" t="s">
        <v>987</v>
      </c>
      <c r="C631" s="19" t="s">
        <v>924</v>
      </c>
      <c r="D631" s="19" t="s">
        <v>88</v>
      </c>
      <c r="E631" s="19" t="s">
        <v>48</v>
      </c>
      <c r="F631" s="19" t="s">
        <v>40</v>
      </c>
      <c r="G631" s="19" t="s">
        <v>54</v>
      </c>
      <c r="H631" s="19" t="s">
        <v>75</v>
      </c>
      <c r="I631" s="19">
        <v>2</v>
      </c>
      <c r="J631" s="19">
        <v>2315</v>
      </c>
      <c r="K631" s="19">
        <v>23</v>
      </c>
      <c r="L631" s="19">
        <v>3565.1</v>
      </c>
      <c r="M631" s="19">
        <f t="shared" si="27"/>
        <v>737237.82</v>
      </c>
      <c r="N631" s="20">
        <f t="shared" si="28"/>
        <v>1987.1639353099729</v>
      </c>
      <c r="O631" s="19">
        <f t="shared" si="29"/>
        <v>813</v>
      </c>
      <c r="P631" s="19" t="str">
        <v>High</v>
      </c>
    </row>
    <row r="632" spans="1:16" x14ac:dyDescent="0.3">
      <c r="A632" s="2" t="s">
        <v>1187</v>
      </c>
      <c r="B632" s="2" t="s">
        <v>582</v>
      </c>
      <c r="C632" s="19" t="s">
        <v>97</v>
      </c>
      <c r="D632" s="19" t="s">
        <v>88</v>
      </c>
      <c r="E632" s="19" t="s">
        <v>68</v>
      </c>
      <c r="F632" s="19" t="s">
        <v>25</v>
      </c>
      <c r="G632" s="19" t="s">
        <v>62</v>
      </c>
      <c r="H632" s="19" t="s">
        <v>44</v>
      </c>
      <c r="I632" s="19">
        <v>5</v>
      </c>
      <c r="J632" s="19">
        <v>848</v>
      </c>
      <c r="K632" s="19">
        <v>16</v>
      </c>
      <c r="L632" s="19">
        <v>3561.6</v>
      </c>
      <c r="M632" s="19">
        <f t="shared" si="27"/>
        <v>733672.71999999986</v>
      </c>
      <c r="N632" s="20">
        <f t="shared" si="28"/>
        <v>1982.8992432432428</v>
      </c>
      <c r="O632" s="19">
        <f t="shared" si="29"/>
        <v>811</v>
      </c>
      <c r="P632" s="19" t="str">
        <v>High</v>
      </c>
    </row>
    <row r="633" spans="1:16" x14ac:dyDescent="0.3">
      <c r="A633" s="2" t="s">
        <v>445</v>
      </c>
      <c r="B633" s="2" t="s">
        <v>446</v>
      </c>
      <c r="C633" s="19" t="s">
        <v>447</v>
      </c>
      <c r="D633" s="19" t="s">
        <v>15</v>
      </c>
      <c r="E633" s="19" t="s">
        <v>31</v>
      </c>
      <c r="F633" s="19" t="s">
        <v>49</v>
      </c>
      <c r="G633" s="19" t="s">
        <v>54</v>
      </c>
      <c r="H633" s="19" t="s">
        <v>44</v>
      </c>
      <c r="I633" s="19">
        <v>5</v>
      </c>
      <c r="J633" s="19">
        <v>866</v>
      </c>
      <c r="K633" s="19">
        <v>18</v>
      </c>
      <c r="L633" s="19">
        <v>3550.6</v>
      </c>
      <c r="M633" s="19">
        <f t="shared" si="27"/>
        <v>730111.11999999988</v>
      </c>
      <c r="N633" s="20">
        <f t="shared" si="28"/>
        <v>1978.6209214092137</v>
      </c>
      <c r="O633" s="19">
        <f t="shared" si="29"/>
        <v>806</v>
      </c>
      <c r="P633" s="19" t="str">
        <v>High</v>
      </c>
    </row>
    <row r="634" spans="1:16" x14ac:dyDescent="0.3">
      <c r="A634" s="2" t="s">
        <v>1411</v>
      </c>
      <c r="B634" s="2" t="s">
        <v>808</v>
      </c>
      <c r="C634" s="19" t="s">
        <v>160</v>
      </c>
      <c r="D634" s="19" t="s">
        <v>30</v>
      </c>
      <c r="E634" s="19" t="s">
        <v>24</v>
      </c>
      <c r="F634" s="19" t="s">
        <v>25</v>
      </c>
      <c r="G634" s="19" t="s">
        <v>54</v>
      </c>
      <c r="H634" s="19" t="s">
        <v>75</v>
      </c>
      <c r="I634" s="19">
        <v>3</v>
      </c>
      <c r="J634" s="19">
        <v>1438</v>
      </c>
      <c r="K634" s="19">
        <v>18</v>
      </c>
      <c r="L634" s="19">
        <v>3537.48</v>
      </c>
      <c r="M634" s="19">
        <f t="shared" si="27"/>
        <v>726560.5199999999</v>
      </c>
      <c r="N634" s="20">
        <f t="shared" si="28"/>
        <v>1974.3492391304346</v>
      </c>
      <c r="O634" s="19">
        <f t="shared" si="29"/>
        <v>801</v>
      </c>
      <c r="P634" s="19" t="str">
        <v>High</v>
      </c>
    </row>
    <row r="635" spans="1:16" x14ac:dyDescent="0.3">
      <c r="A635" s="2" t="s">
        <v>815</v>
      </c>
      <c r="B635" s="2" t="s">
        <v>816</v>
      </c>
      <c r="C635" s="19" t="s">
        <v>413</v>
      </c>
      <c r="D635" s="19" t="s">
        <v>30</v>
      </c>
      <c r="E635" s="19" t="s">
        <v>58</v>
      </c>
      <c r="F635" s="19" t="s">
        <v>17</v>
      </c>
      <c r="G635" s="19" t="s">
        <v>62</v>
      </c>
      <c r="H635" s="19" t="s">
        <v>33</v>
      </c>
      <c r="I635" s="19">
        <v>1</v>
      </c>
      <c r="J635" s="19">
        <v>3571</v>
      </c>
      <c r="K635" s="19">
        <v>1</v>
      </c>
      <c r="L635" s="19">
        <v>3535.29</v>
      </c>
      <c r="M635" s="19">
        <f t="shared" si="27"/>
        <v>723023.03999999992</v>
      </c>
      <c r="N635" s="20">
        <f t="shared" si="28"/>
        <v>1970.0900272479562</v>
      </c>
      <c r="O635" s="19">
        <f t="shared" si="29"/>
        <v>798</v>
      </c>
      <c r="P635" s="19" t="str">
        <v>High</v>
      </c>
    </row>
    <row r="636" spans="1:16" x14ac:dyDescent="0.3">
      <c r="A636" s="2" t="s">
        <v>1375</v>
      </c>
      <c r="B636" s="2" t="s">
        <v>185</v>
      </c>
      <c r="C636" s="19" t="s">
        <v>709</v>
      </c>
      <c r="D636" s="19" t="s">
        <v>88</v>
      </c>
      <c r="E636" s="19" t="s">
        <v>68</v>
      </c>
      <c r="F636" s="19" t="s">
        <v>25</v>
      </c>
      <c r="G636" s="19" t="s">
        <v>54</v>
      </c>
      <c r="H636" s="19" t="s">
        <v>33</v>
      </c>
      <c r="I636" s="19">
        <v>2</v>
      </c>
      <c r="J636" s="19">
        <v>1767</v>
      </c>
      <c r="K636" s="19">
        <v>0</v>
      </c>
      <c r="L636" s="19">
        <v>3534</v>
      </c>
      <c r="M636" s="19">
        <f t="shared" si="27"/>
        <v>719487.74999999988</v>
      </c>
      <c r="N636" s="20">
        <f t="shared" si="28"/>
        <v>1965.8135245901635</v>
      </c>
      <c r="O636" s="19">
        <f t="shared" si="29"/>
        <v>797</v>
      </c>
      <c r="P636" s="19" t="str">
        <v>High</v>
      </c>
    </row>
    <row r="637" spans="1:16" x14ac:dyDescent="0.3">
      <c r="A637" s="2" t="s">
        <v>1066</v>
      </c>
      <c r="B637" s="2" t="s">
        <v>66</v>
      </c>
      <c r="C637" s="19" t="s">
        <v>172</v>
      </c>
      <c r="D637" s="19" t="s">
        <v>88</v>
      </c>
      <c r="E637" s="19" t="s">
        <v>24</v>
      </c>
      <c r="F637" s="19" t="s">
        <v>32</v>
      </c>
      <c r="G637" s="19" t="s">
        <v>62</v>
      </c>
      <c r="H637" s="19" t="s">
        <v>75</v>
      </c>
      <c r="I637" s="19">
        <v>5</v>
      </c>
      <c r="J637" s="19">
        <v>892</v>
      </c>
      <c r="K637" s="19">
        <v>21</v>
      </c>
      <c r="L637" s="19">
        <v>3523.4</v>
      </c>
      <c r="M637" s="19">
        <f t="shared" si="27"/>
        <v>715953.74999999977</v>
      </c>
      <c r="N637" s="20">
        <f t="shared" si="28"/>
        <v>1961.5171232876705</v>
      </c>
      <c r="O637" s="19">
        <f t="shared" si="29"/>
        <v>795</v>
      </c>
      <c r="P637" s="19" t="str">
        <v>High</v>
      </c>
    </row>
    <row r="638" spans="1:16" x14ac:dyDescent="0.3">
      <c r="A638" s="2" t="s">
        <v>736</v>
      </c>
      <c r="B638" s="2" t="s">
        <v>737</v>
      </c>
      <c r="C638" s="19" t="s">
        <v>225</v>
      </c>
      <c r="D638" s="19" t="s">
        <v>15</v>
      </c>
      <c r="E638" s="19" t="s">
        <v>68</v>
      </c>
      <c r="F638" s="19" t="s">
        <v>49</v>
      </c>
      <c r="G638" s="19" t="s">
        <v>18</v>
      </c>
      <c r="H638" s="19" t="s">
        <v>19</v>
      </c>
      <c r="I638" s="19">
        <v>4</v>
      </c>
      <c r="J638" s="19">
        <v>917</v>
      </c>
      <c r="K638" s="19">
        <v>4</v>
      </c>
      <c r="L638" s="19">
        <v>3521.28</v>
      </c>
      <c r="M638" s="19">
        <f t="shared" si="27"/>
        <v>712430.34999999974</v>
      </c>
      <c r="N638" s="20">
        <f t="shared" si="28"/>
        <v>1957.2262362637355</v>
      </c>
      <c r="O638" s="19">
        <f t="shared" si="29"/>
        <v>790</v>
      </c>
      <c r="P638" s="19" t="str">
        <v>High</v>
      </c>
    </row>
    <row r="639" spans="1:16" x14ac:dyDescent="0.3">
      <c r="A639" s="2" t="s">
        <v>1583</v>
      </c>
      <c r="B639" s="2" t="s">
        <v>366</v>
      </c>
      <c r="C639" s="19" t="s">
        <v>711</v>
      </c>
      <c r="D639" s="19" t="s">
        <v>30</v>
      </c>
      <c r="E639" s="19" t="s">
        <v>16</v>
      </c>
      <c r="F639" s="19" t="s">
        <v>40</v>
      </c>
      <c r="G639" s="19" t="s">
        <v>54</v>
      </c>
      <c r="H639" s="19" t="s">
        <v>19</v>
      </c>
      <c r="I639" s="19">
        <v>3</v>
      </c>
      <c r="J639" s="19">
        <v>1290</v>
      </c>
      <c r="K639" s="19">
        <v>10</v>
      </c>
      <c r="L639" s="19">
        <v>3483</v>
      </c>
      <c r="M639" s="19">
        <f t="shared" si="27"/>
        <v>708909.06999999972</v>
      </c>
      <c r="N639" s="20">
        <f t="shared" si="28"/>
        <v>1952.9175482093656</v>
      </c>
      <c r="O639" s="19">
        <f t="shared" si="29"/>
        <v>786</v>
      </c>
      <c r="P639" s="19" t="str">
        <v>High</v>
      </c>
    </row>
    <row r="640" spans="1:16" x14ac:dyDescent="0.3">
      <c r="A640" s="2" t="s">
        <v>823</v>
      </c>
      <c r="B640" s="2" t="s">
        <v>141</v>
      </c>
      <c r="C640" s="19" t="s">
        <v>526</v>
      </c>
      <c r="D640" s="19" t="s">
        <v>15</v>
      </c>
      <c r="E640" s="19" t="s">
        <v>24</v>
      </c>
      <c r="F640" s="19" t="s">
        <v>17</v>
      </c>
      <c r="G640" s="19" t="s">
        <v>62</v>
      </c>
      <c r="H640" s="19" t="s">
        <v>75</v>
      </c>
      <c r="I640" s="19">
        <v>3</v>
      </c>
      <c r="J640" s="19">
        <v>1206</v>
      </c>
      <c r="K640" s="19">
        <v>4</v>
      </c>
      <c r="L640" s="19">
        <v>3473.28</v>
      </c>
      <c r="M640" s="19">
        <f t="shared" si="27"/>
        <v>705426.0699999996</v>
      </c>
      <c r="N640" s="20">
        <f t="shared" si="28"/>
        <v>1948.6908011049713</v>
      </c>
      <c r="O640" s="19">
        <f t="shared" si="29"/>
        <v>783</v>
      </c>
      <c r="P640" s="19" t="str">
        <v>High</v>
      </c>
    </row>
    <row r="641" spans="1:16" x14ac:dyDescent="0.3">
      <c r="A641" s="2" t="s">
        <v>1065</v>
      </c>
      <c r="B641" s="2" t="s">
        <v>324</v>
      </c>
      <c r="C641" s="19" t="s">
        <v>526</v>
      </c>
      <c r="D641" s="19" t="s">
        <v>23</v>
      </c>
      <c r="E641" s="19" t="s">
        <v>58</v>
      </c>
      <c r="F641" s="19" t="s">
        <v>49</v>
      </c>
      <c r="G641" s="19" t="s">
        <v>40</v>
      </c>
      <c r="H641" s="19" t="s">
        <v>75</v>
      </c>
      <c r="I641" s="19">
        <v>5</v>
      </c>
      <c r="J641" s="19">
        <v>898</v>
      </c>
      <c r="K641" s="19">
        <v>23</v>
      </c>
      <c r="L641" s="19">
        <v>3457.3</v>
      </c>
      <c r="M641" s="19">
        <f t="shared" si="27"/>
        <v>701952.78999999969</v>
      </c>
      <c r="N641" s="20">
        <f t="shared" si="28"/>
        <v>1944.467562326869</v>
      </c>
      <c r="O641" s="19">
        <f t="shared" si="29"/>
        <v>780</v>
      </c>
      <c r="P641" s="19" t="str">
        <v>High</v>
      </c>
    </row>
    <row r="642" spans="1:16" x14ac:dyDescent="0.3">
      <c r="A642" s="2" t="s">
        <v>347</v>
      </c>
      <c r="B642" s="2" t="s">
        <v>315</v>
      </c>
      <c r="C642" s="19" t="s">
        <v>338</v>
      </c>
      <c r="D642" s="19" t="s">
        <v>88</v>
      </c>
      <c r="E642" s="19" t="s">
        <v>58</v>
      </c>
      <c r="F642" s="19" t="s">
        <v>32</v>
      </c>
      <c r="G642" s="19" t="s">
        <v>26</v>
      </c>
      <c r="H642" s="19" t="s">
        <v>44</v>
      </c>
      <c r="I642" s="19">
        <v>3</v>
      </c>
      <c r="J642" s="19">
        <v>1618</v>
      </c>
      <c r="K642" s="19">
        <v>29</v>
      </c>
      <c r="L642" s="19">
        <v>3446.34</v>
      </c>
      <c r="M642" s="19">
        <f t="shared" ref="M642:M705" si="30">SUM(L642:L1641)</f>
        <v>698495.48999999976</v>
      </c>
      <c r="N642" s="20">
        <f t="shared" ref="N642:N705" si="31">AVERAGE(L642:L1641)</f>
        <v>1940.2652499999992</v>
      </c>
      <c r="O642" s="19">
        <f t="shared" ref="O642:O705" si="32">SUM(I642:I1641)</f>
        <v>775</v>
      </c>
      <c r="P642" s="19" t="str">
        <v>High</v>
      </c>
    </row>
    <row r="643" spans="1:16" x14ac:dyDescent="0.3">
      <c r="A643" s="2" t="s">
        <v>1525</v>
      </c>
      <c r="B643" s="2" t="s">
        <v>906</v>
      </c>
      <c r="C643" s="19" t="s">
        <v>670</v>
      </c>
      <c r="D643" s="19" t="s">
        <v>23</v>
      </c>
      <c r="E643" s="19" t="s">
        <v>24</v>
      </c>
      <c r="F643" s="19" t="s">
        <v>25</v>
      </c>
      <c r="G643" s="19" t="s">
        <v>62</v>
      </c>
      <c r="H643" s="19" t="s">
        <v>33</v>
      </c>
      <c r="I643" s="19">
        <v>2</v>
      </c>
      <c r="J643" s="19">
        <v>2266</v>
      </c>
      <c r="K643" s="19">
        <v>24</v>
      </c>
      <c r="L643" s="19">
        <v>3444.32</v>
      </c>
      <c r="M643" s="19">
        <f t="shared" si="30"/>
        <v>695049.14999999967</v>
      </c>
      <c r="N643" s="20">
        <f t="shared" si="31"/>
        <v>1936.0700557103055</v>
      </c>
      <c r="O643" s="19">
        <f t="shared" si="32"/>
        <v>772</v>
      </c>
      <c r="P643" s="19" t="str">
        <v>High</v>
      </c>
    </row>
    <row r="644" spans="1:16" x14ac:dyDescent="0.3">
      <c r="A644" s="2" t="s">
        <v>1084</v>
      </c>
      <c r="B644" s="2" t="s">
        <v>411</v>
      </c>
      <c r="C644" s="19" t="s">
        <v>87</v>
      </c>
      <c r="D644" s="19" t="s">
        <v>23</v>
      </c>
      <c r="E644" s="19" t="s">
        <v>24</v>
      </c>
      <c r="F644" s="19" t="s">
        <v>25</v>
      </c>
      <c r="G644" s="19" t="s">
        <v>26</v>
      </c>
      <c r="H644" s="19" t="s">
        <v>33</v>
      </c>
      <c r="I644" s="19">
        <v>4</v>
      </c>
      <c r="J644" s="19">
        <v>1148</v>
      </c>
      <c r="K644" s="19">
        <v>25</v>
      </c>
      <c r="L644" s="19">
        <v>3444</v>
      </c>
      <c r="M644" s="19">
        <f t="shared" si="30"/>
        <v>691604.82999999961</v>
      </c>
      <c r="N644" s="20">
        <f t="shared" si="31"/>
        <v>1931.857067039105</v>
      </c>
      <c r="O644" s="19">
        <f t="shared" si="32"/>
        <v>770</v>
      </c>
      <c r="P644" s="19" t="str">
        <v>High</v>
      </c>
    </row>
    <row r="645" spans="1:16" x14ac:dyDescent="0.3">
      <c r="A645" s="2" t="s">
        <v>374</v>
      </c>
      <c r="B645" s="2" t="s">
        <v>375</v>
      </c>
      <c r="C645" s="19" t="s">
        <v>244</v>
      </c>
      <c r="D645" s="19" t="s">
        <v>30</v>
      </c>
      <c r="E645" s="19" t="s">
        <v>16</v>
      </c>
      <c r="F645" s="19" t="s">
        <v>32</v>
      </c>
      <c r="G645" s="19" t="s">
        <v>54</v>
      </c>
      <c r="H645" s="19" t="s">
        <v>33</v>
      </c>
      <c r="I645" s="19">
        <v>5</v>
      </c>
      <c r="J645" s="19">
        <v>871</v>
      </c>
      <c r="K645" s="19">
        <v>21</v>
      </c>
      <c r="L645" s="19">
        <v>3440.45</v>
      </c>
      <c r="M645" s="19">
        <f t="shared" si="30"/>
        <v>688160.82999999961</v>
      </c>
      <c r="N645" s="20">
        <f t="shared" si="31"/>
        <v>1927.6213725490186</v>
      </c>
      <c r="O645" s="19">
        <f t="shared" si="32"/>
        <v>766</v>
      </c>
      <c r="P645" s="19" t="str">
        <v>High</v>
      </c>
    </row>
    <row r="646" spans="1:16" x14ac:dyDescent="0.3">
      <c r="A646" s="2" t="s">
        <v>1100</v>
      </c>
      <c r="B646" s="2" t="s">
        <v>240</v>
      </c>
      <c r="C646" s="19" t="s">
        <v>370</v>
      </c>
      <c r="D646" s="19" t="s">
        <v>15</v>
      </c>
      <c r="E646" s="19" t="s">
        <v>58</v>
      </c>
      <c r="F646" s="19" t="s">
        <v>40</v>
      </c>
      <c r="G646" s="19" t="s">
        <v>40</v>
      </c>
      <c r="H646" s="19" t="s">
        <v>19</v>
      </c>
      <c r="I646" s="19">
        <v>2</v>
      </c>
      <c r="J646" s="19">
        <v>1716</v>
      </c>
      <c r="K646" s="19">
        <v>0</v>
      </c>
      <c r="L646" s="19">
        <v>3432</v>
      </c>
      <c r="M646" s="19">
        <f t="shared" si="30"/>
        <v>684720.37999999954</v>
      </c>
      <c r="N646" s="20">
        <f t="shared" si="31"/>
        <v>1923.371853932583</v>
      </c>
      <c r="O646" s="19">
        <f t="shared" si="32"/>
        <v>761</v>
      </c>
      <c r="P646" s="19" t="str">
        <v>High</v>
      </c>
    </row>
    <row r="647" spans="1:16" x14ac:dyDescent="0.3">
      <c r="A647" s="2" t="s">
        <v>1654</v>
      </c>
      <c r="B647" s="2" t="s">
        <v>369</v>
      </c>
      <c r="C647" s="19" t="s">
        <v>1655</v>
      </c>
      <c r="D647" s="19" t="s">
        <v>88</v>
      </c>
      <c r="E647" s="19" t="s">
        <v>79</v>
      </c>
      <c r="F647" s="19" t="s">
        <v>49</v>
      </c>
      <c r="G647" s="19" t="s">
        <v>18</v>
      </c>
      <c r="H647" s="19" t="s">
        <v>75</v>
      </c>
      <c r="I647" s="19">
        <v>2</v>
      </c>
      <c r="J647" s="19">
        <v>2448</v>
      </c>
      <c r="K647" s="19">
        <v>30</v>
      </c>
      <c r="L647" s="19">
        <v>3427.2</v>
      </c>
      <c r="M647" s="19">
        <f t="shared" si="30"/>
        <v>681288.37999999966</v>
      </c>
      <c r="N647" s="20">
        <f t="shared" si="31"/>
        <v>1919.1221971830976</v>
      </c>
      <c r="O647" s="19">
        <f t="shared" si="32"/>
        <v>759</v>
      </c>
      <c r="P647" s="19" t="str">
        <v>High</v>
      </c>
    </row>
    <row r="648" spans="1:16" x14ac:dyDescent="0.3">
      <c r="A648" s="2" t="s">
        <v>1023</v>
      </c>
      <c r="B648" s="2" t="s">
        <v>637</v>
      </c>
      <c r="C648" s="19" t="s">
        <v>124</v>
      </c>
      <c r="D648" s="19" t="s">
        <v>88</v>
      </c>
      <c r="E648" s="19" t="s">
        <v>79</v>
      </c>
      <c r="F648" s="19" t="s">
        <v>17</v>
      </c>
      <c r="G648" s="19" t="s">
        <v>26</v>
      </c>
      <c r="H648" s="19" t="s">
        <v>75</v>
      </c>
      <c r="I648" s="19">
        <v>5</v>
      </c>
      <c r="J648" s="19">
        <v>936</v>
      </c>
      <c r="K648" s="19">
        <v>27</v>
      </c>
      <c r="L648" s="19">
        <v>3416.4</v>
      </c>
      <c r="M648" s="19">
        <f t="shared" si="30"/>
        <v>677861.17999999959</v>
      </c>
      <c r="N648" s="20">
        <f t="shared" si="31"/>
        <v>1914.8620903954791</v>
      </c>
      <c r="O648" s="19">
        <f t="shared" si="32"/>
        <v>757</v>
      </c>
      <c r="P648" s="19" t="str">
        <v>High</v>
      </c>
    </row>
    <row r="649" spans="1:16" x14ac:dyDescent="0.3">
      <c r="A649" s="2" t="s">
        <v>1320</v>
      </c>
      <c r="B649" s="2" t="s">
        <v>418</v>
      </c>
      <c r="C649" s="19" t="s">
        <v>755</v>
      </c>
      <c r="D649" s="19" t="s">
        <v>88</v>
      </c>
      <c r="E649" s="19" t="s">
        <v>24</v>
      </c>
      <c r="F649" s="19" t="s">
        <v>49</v>
      </c>
      <c r="G649" s="19" t="s">
        <v>18</v>
      </c>
      <c r="H649" s="19" t="s">
        <v>44</v>
      </c>
      <c r="I649" s="19">
        <v>2</v>
      </c>
      <c r="J649" s="19">
        <v>1743</v>
      </c>
      <c r="K649" s="19">
        <v>2</v>
      </c>
      <c r="L649" s="19">
        <v>3416.28</v>
      </c>
      <c r="M649" s="19">
        <f t="shared" si="30"/>
        <v>674444.7799999998</v>
      </c>
      <c r="N649" s="20">
        <f t="shared" si="31"/>
        <v>1910.608441926345</v>
      </c>
      <c r="O649" s="19">
        <f t="shared" si="32"/>
        <v>752</v>
      </c>
      <c r="P649" s="19" t="str">
        <v>High</v>
      </c>
    </row>
    <row r="650" spans="1:16" x14ac:dyDescent="0.3">
      <c r="A650" s="2" t="s">
        <v>702</v>
      </c>
      <c r="B650" s="2" t="s">
        <v>66</v>
      </c>
      <c r="C650" s="19" t="s">
        <v>253</v>
      </c>
      <c r="D650" s="19" t="s">
        <v>23</v>
      </c>
      <c r="E650" s="19" t="s">
        <v>79</v>
      </c>
      <c r="F650" s="19" t="s">
        <v>17</v>
      </c>
      <c r="G650" s="19" t="s">
        <v>18</v>
      </c>
      <c r="H650" s="19" t="s">
        <v>33</v>
      </c>
      <c r="I650" s="19">
        <v>1</v>
      </c>
      <c r="J650" s="19">
        <v>3826</v>
      </c>
      <c r="K650" s="19">
        <v>11</v>
      </c>
      <c r="L650" s="19">
        <v>3405.14</v>
      </c>
      <c r="M650" s="19">
        <f t="shared" si="30"/>
        <v>671028.49999999977</v>
      </c>
      <c r="N650" s="20">
        <f t="shared" si="31"/>
        <v>1906.3309659090903</v>
      </c>
      <c r="O650" s="19">
        <f t="shared" si="32"/>
        <v>750</v>
      </c>
      <c r="P650" s="19" t="str">
        <v>High</v>
      </c>
    </row>
    <row r="651" spans="1:16" x14ac:dyDescent="0.3">
      <c r="A651" s="2" t="s">
        <v>1204</v>
      </c>
      <c r="B651" s="2" t="s">
        <v>287</v>
      </c>
      <c r="C651" s="19" t="s">
        <v>423</v>
      </c>
      <c r="D651" s="19" t="s">
        <v>30</v>
      </c>
      <c r="E651" s="19" t="s">
        <v>48</v>
      </c>
      <c r="F651" s="19" t="s">
        <v>40</v>
      </c>
      <c r="G651" s="19" t="s">
        <v>40</v>
      </c>
      <c r="H651" s="19" t="s">
        <v>44</v>
      </c>
      <c r="I651" s="19">
        <v>2</v>
      </c>
      <c r="J651" s="19">
        <v>1830</v>
      </c>
      <c r="K651" s="19">
        <v>7</v>
      </c>
      <c r="L651" s="19">
        <v>3403.8</v>
      </c>
      <c r="M651" s="19">
        <f t="shared" si="30"/>
        <v>667623.35999999975</v>
      </c>
      <c r="N651" s="20">
        <f t="shared" si="31"/>
        <v>1902.060854700854</v>
      </c>
      <c r="O651" s="19">
        <f t="shared" si="32"/>
        <v>749</v>
      </c>
      <c r="P651" s="19" t="str">
        <v>High</v>
      </c>
    </row>
    <row r="652" spans="1:16" x14ac:dyDescent="0.3">
      <c r="A652" s="2" t="s">
        <v>603</v>
      </c>
      <c r="B652" s="2" t="s">
        <v>162</v>
      </c>
      <c r="C652" s="19" t="s">
        <v>562</v>
      </c>
      <c r="D652" s="19" t="s">
        <v>88</v>
      </c>
      <c r="E652" s="19" t="s">
        <v>79</v>
      </c>
      <c r="F652" s="19" t="s">
        <v>40</v>
      </c>
      <c r="G652" s="19" t="s">
        <v>62</v>
      </c>
      <c r="H652" s="19" t="s">
        <v>33</v>
      </c>
      <c r="I652" s="19">
        <v>1</v>
      </c>
      <c r="J652" s="19">
        <v>3473</v>
      </c>
      <c r="K652" s="19">
        <v>2</v>
      </c>
      <c r="L652" s="19">
        <v>3403.54</v>
      </c>
      <c r="M652" s="19">
        <f t="shared" si="30"/>
        <v>664219.55999999982</v>
      </c>
      <c r="N652" s="20">
        <f t="shared" si="31"/>
        <v>1897.7701714285708</v>
      </c>
      <c r="O652" s="19">
        <f t="shared" si="32"/>
        <v>747</v>
      </c>
      <c r="P652" s="19" t="str">
        <v>High</v>
      </c>
    </row>
    <row r="653" spans="1:16" x14ac:dyDescent="0.3">
      <c r="A653" s="2" t="s">
        <v>1462</v>
      </c>
      <c r="B653" s="2" t="s">
        <v>1410</v>
      </c>
      <c r="C653" s="19" t="s">
        <v>350</v>
      </c>
      <c r="D653" s="19" t="s">
        <v>30</v>
      </c>
      <c r="E653" s="19" t="s">
        <v>68</v>
      </c>
      <c r="F653" s="19" t="s">
        <v>25</v>
      </c>
      <c r="G653" s="19" t="s">
        <v>18</v>
      </c>
      <c r="H653" s="19" t="s">
        <v>75</v>
      </c>
      <c r="I653" s="19">
        <v>2</v>
      </c>
      <c r="J653" s="19">
        <v>2154</v>
      </c>
      <c r="K653" s="19">
        <v>21</v>
      </c>
      <c r="L653" s="19">
        <v>3403.32</v>
      </c>
      <c r="M653" s="19">
        <f t="shared" si="30"/>
        <v>660816.0199999999</v>
      </c>
      <c r="N653" s="20">
        <f t="shared" si="31"/>
        <v>1893.4556446991401</v>
      </c>
      <c r="O653" s="19">
        <f t="shared" si="32"/>
        <v>746</v>
      </c>
      <c r="P653" s="19" t="str">
        <v>High</v>
      </c>
    </row>
    <row r="654" spans="1:16" x14ac:dyDescent="0.3">
      <c r="A654" s="2" t="s">
        <v>1156</v>
      </c>
      <c r="B654" s="2" t="s">
        <v>116</v>
      </c>
      <c r="C654" s="19" t="s">
        <v>247</v>
      </c>
      <c r="D654" s="19" t="s">
        <v>53</v>
      </c>
      <c r="E654" s="19" t="s">
        <v>31</v>
      </c>
      <c r="F654" s="19" t="s">
        <v>25</v>
      </c>
      <c r="G654" s="19" t="s">
        <v>62</v>
      </c>
      <c r="H654" s="19" t="s">
        <v>44</v>
      </c>
      <c r="I654" s="19">
        <v>2</v>
      </c>
      <c r="J654" s="19">
        <v>1932</v>
      </c>
      <c r="K654" s="19">
        <v>12</v>
      </c>
      <c r="L654" s="19">
        <v>3400.32</v>
      </c>
      <c r="M654" s="19">
        <f t="shared" si="30"/>
        <v>657412.70000000007</v>
      </c>
      <c r="N654" s="20">
        <f t="shared" si="31"/>
        <v>1889.1169540229887</v>
      </c>
      <c r="O654" s="19">
        <f t="shared" si="32"/>
        <v>744</v>
      </c>
      <c r="P654" s="19" t="str">
        <v>High</v>
      </c>
    </row>
    <row r="655" spans="1:16" x14ac:dyDescent="0.3">
      <c r="A655" s="2" t="s">
        <v>1263</v>
      </c>
      <c r="B655" s="2" t="s">
        <v>734</v>
      </c>
      <c r="C655" s="19" t="s">
        <v>148</v>
      </c>
      <c r="D655" s="19" t="s">
        <v>30</v>
      </c>
      <c r="E655" s="19" t="s">
        <v>24</v>
      </c>
      <c r="F655" s="19" t="s">
        <v>32</v>
      </c>
      <c r="G655" s="19" t="s">
        <v>40</v>
      </c>
      <c r="H655" s="19" t="s">
        <v>19</v>
      </c>
      <c r="I655" s="19">
        <v>2</v>
      </c>
      <c r="J655" s="19">
        <v>2073</v>
      </c>
      <c r="K655" s="19">
        <v>18</v>
      </c>
      <c r="L655" s="19">
        <v>3399.72</v>
      </c>
      <c r="M655" s="19">
        <f t="shared" si="30"/>
        <v>654012.38</v>
      </c>
      <c r="N655" s="20">
        <f t="shared" si="31"/>
        <v>1884.761902017291</v>
      </c>
      <c r="O655" s="19">
        <f t="shared" si="32"/>
        <v>742</v>
      </c>
      <c r="P655" s="19" t="str">
        <v>High</v>
      </c>
    </row>
    <row r="656" spans="1:16" x14ac:dyDescent="0.3">
      <c r="A656" s="2" t="s">
        <v>827</v>
      </c>
      <c r="B656" s="2" t="s">
        <v>249</v>
      </c>
      <c r="C656" s="19" t="s">
        <v>241</v>
      </c>
      <c r="D656" s="19" t="s">
        <v>30</v>
      </c>
      <c r="E656" s="19" t="s">
        <v>68</v>
      </c>
      <c r="F656" s="19" t="s">
        <v>25</v>
      </c>
      <c r="G656" s="19" t="s">
        <v>54</v>
      </c>
      <c r="H656" s="19" t="s">
        <v>33</v>
      </c>
      <c r="I656" s="19">
        <v>4</v>
      </c>
      <c r="J656" s="19">
        <v>845</v>
      </c>
      <c r="K656" s="19">
        <v>0</v>
      </c>
      <c r="L656" s="19">
        <v>3380</v>
      </c>
      <c r="M656" s="19">
        <f t="shared" si="30"/>
        <v>650612.66</v>
      </c>
      <c r="N656" s="20">
        <f t="shared" si="31"/>
        <v>1880.3834104046243</v>
      </c>
      <c r="O656" s="19">
        <f t="shared" si="32"/>
        <v>740</v>
      </c>
      <c r="P656" s="19" t="str">
        <v>High</v>
      </c>
    </row>
    <row r="657" spans="1:16" x14ac:dyDescent="0.3">
      <c r="A657" s="2" t="s">
        <v>1557</v>
      </c>
      <c r="B657" s="2" t="s">
        <v>1265</v>
      </c>
      <c r="C657" s="19" t="s">
        <v>858</v>
      </c>
      <c r="D657" s="19" t="s">
        <v>88</v>
      </c>
      <c r="E657" s="19" t="s">
        <v>68</v>
      </c>
      <c r="F657" s="19" t="s">
        <v>17</v>
      </c>
      <c r="G657" s="19" t="s">
        <v>40</v>
      </c>
      <c r="H657" s="19" t="s">
        <v>19</v>
      </c>
      <c r="I657" s="19">
        <v>1</v>
      </c>
      <c r="J657" s="19">
        <v>4502</v>
      </c>
      <c r="K657" s="19">
        <v>25</v>
      </c>
      <c r="L657" s="19">
        <v>3376.5</v>
      </c>
      <c r="M657" s="19">
        <f t="shared" si="30"/>
        <v>647232.66</v>
      </c>
      <c r="N657" s="20">
        <f t="shared" si="31"/>
        <v>1876.0366956521741</v>
      </c>
      <c r="O657" s="19">
        <f t="shared" si="32"/>
        <v>736</v>
      </c>
      <c r="P657" s="19" t="str">
        <v>High</v>
      </c>
    </row>
    <row r="658" spans="1:16" x14ac:dyDescent="0.3">
      <c r="A658" s="2" t="s">
        <v>1185</v>
      </c>
      <c r="B658" s="2" t="s">
        <v>330</v>
      </c>
      <c r="C658" s="19" t="s">
        <v>39</v>
      </c>
      <c r="D658" s="19" t="s">
        <v>15</v>
      </c>
      <c r="E658" s="19" t="s">
        <v>79</v>
      </c>
      <c r="F658" s="19" t="s">
        <v>32</v>
      </c>
      <c r="G658" s="19" t="s">
        <v>18</v>
      </c>
      <c r="H658" s="19" t="s">
        <v>75</v>
      </c>
      <c r="I658" s="19">
        <v>2</v>
      </c>
      <c r="J658" s="19">
        <v>2034</v>
      </c>
      <c r="K658" s="19">
        <v>17</v>
      </c>
      <c r="L658" s="19">
        <v>3376.44</v>
      </c>
      <c r="M658" s="19">
        <f t="shared" si="30"/>
        <v>643856.16</v>
      </c>
      <c r="N658" s="20">
        <f t="shared" si="31"/>
        <v>1871.6748837209304</v>
      </c>
      <c r="O658" s="19">
        <f t="shared" si="32"/>
        <v>735</v>
      </c>
      <c r="P658" s="19" t="str">
        <v>High</v>
      </c>
    </row>
    <row r="659" spans="1:16" x14ac:dyDescent="0.3">
      <c r="A659" s="2" t="s">
        <v>207</v>
      </c>
      <c r="B659" s="2" t="s">
        <v>208</v>
      </c>
      <c r="C659" s="19" t="s">
        <v>157</v>
      </c>
      <c r="D659" s="19" t="s">
        <v>30</v>
      </c>
      <c r="E659" s="19" t="s">
        <v>24</v>
      </c>
      <c r="F659" s="19" t="s">
        <v>32</v>
      </c>
      <c r="G659" s="19" t="s">
        <v>18</v>
      </c>
      <c r="H659" s="19" t="s">
        <v>75</v>
      </c>
      <c r="I659" s="19">
        <v>1</v>
      </c>
      <c r="J659" s="19">
        <v>4242</v>
      </c>
      <c r="K659" s="19">
        <v>21</v>
      </c>
      <c r="L659" s="19">
        <v>3351.18</v>
      </c>
      <c r="M659" s="19">
        <f t="shared" si="30"/>
        <v>640479.72</v>
      </c>
      <c r="N659" s="20">
        <f t="shared" si="31"/>
        <v>1867.2878134110786</v>
      </c>
      <c r="O659" s="19">
        <f t="shared" si="32"/>
        <v>733</v>
      </c>
      <c r="P659" s="19" t="str">
        <v>High</v>
      </c>
    </row>
    <row r="660" spans="1:16" x14ac:dyDescent="0.3">
      <c r="A660" s="2" t="s">
        <v>1514</v>
      </c>
      <c r="B660" s="2" t="s">
        <v>218</v>
      </c>
      <c r="C660" s="19" t="s">
        <v>385</v>
      </c>
      <c r="D660" s="19" t="s">
        <v>88</v>
      </c>
      <c r="E660" s="19" t="s">
        <v>16</v>
      </c>
      <c r="F660" s="19" t="s">
        <v>49</v>
      </c>
      <c r="G660" s="19" t="s">
        <v>26</v>
      </c>
      <c r="H660" s="19" t="s">
        <v>44</v>
      </c>
      <c r="I660" s="19">
        <v>1</v>
      </c>
      <c r="J660" s="19">
        <v>3932</v>
      </c>
      <c r="K660" s="19">
        <v>15</v>
      </c>
      <c r="L660" s="19">
        <v>3342.2</v>
      </c>
      <c r="M660" s="19">
        <f t="shared" si="30"/>
        <v>637128.54</v>
      </c>
      <c r="N660" s="20">
        <f t="shared" si="31"/>
        <v>1862.9489473684212</v>
      </c>
      <c r="O660" s="19">
        <f t="shared" si="32"/>
        <v>732</v>
      </c>
      <c r="P660" s="19" t="str">
        <v>High</v>
      </c>
    </row>
    <row r="661" spans="1:16" x14ac:dyDescent="0.3">
      <c r="A661" s="2" t="s">
        <v>469</v>
      </c>
      <c r="B661" s="2" t="s">
        <v>162</v>
      </c>
      <c r="C661" s="19" t="s">
        <v>470</v>
      </c>
      <c r="D661" s="19" t="s">
        <v>23</v>
      </c>
      <c r="E661" s="19" t="s">
        <v>58</v>
      </c>
      <c r="F661" s="19" t="s">
        <v>25</v>
      </c>
      <c r="G661" s="19" t="s">
        <v>18</v>
      </c>
      <c r="H661" s="19" t="s">
        <v>33</v>
      </c>
      <c r="I661" s="19">
        <v>1</v>
      </c>
      <c r="J661" s="19">
        <v>3396</v>
      </c>
      <c r="K661" s="19">
        <v>2</v>
      </c>
      <c r="L661" s="19">
        <v>3328.08</v>
      </c>
      <c r="M661" s="19">
        <f t="shared" si="30"/>
        <v>633786.34</v>
      </c>
      <c r="N661" s="20">
        <f t="shared" si="31"/>
        <v>1858.6109677419354</v>
      </c>
      <c r="O661" s="19">
        <f t="shared" si="32"/>
        <v>731</v>
      </c>
      <c r="P661" s="19" t="str">
        <v>High</v>
      </c>
    </row>
    <row r="662" spans="1:16" x14ac:dyDescent="0.3">
      <c r="A662" s="2" t="s">
        <v>450</v>
      </c>
      <c r="B662" s="2" t="s">
        <v>96</v>
      </c>
      <c r="C662" s="19" t="s">
        <v>451</v>
      </c>
      <c r="D662" s="19" t="s">
        <v>88</v>
      </c>
      <c r="E662" s="19" t="s">
        <v>16</v>
      </c>
      <c r="F662" s="19" t="s">
        <v>25</v>
      </c>
      <c r="G662" s="19" t="s">
        <v>26</v>
      </c>
      <c r="H662" s="19" t="s">
        <v>33</v>
      </c>
      <c r="I662" s="19">
        <v>2</v>
      </c>
      <c r="J662" s="19">
        <v>1926</v>
      </c>
      <c r="K662" s="19">
        <v>14</v>
      </c>
      <c r="L662" s="19">
        <v>3312.72</v>
      </c>
      <c r="M662" s="19">
        <f t="shared" si="30"/>
        <v>630458.26</v>
      </c>
      <c r="N662" s="20">
        <f t="shared" si="31"/>
        <v>1854.289</v>
      </c>
      <c r="O662" s="19">
        <f t="shared" si="32"/>
        <v>730</v>
      </c>
      <c r="P662" s="19" t="str">
        <v>High</v>
      </c>
    </row>
    <row r="663" spans="1:16" x14ac:dyDescent="0.3">
      <c r="A663" s="2" t="s">
        <v>759</v>
      </c>
      <c r="B663" s="2" t="s">
        <v>760</v>
      </c>
      <c r="C663" s="19" t="s">
        <v>317</v>
      </c>
      <c r="D663" s="19" t="s">
        <v>30</v>
      </c>
      <c r="E663" s="19" t="s">
        <v>68</v>
      </c>
      <c r="F663" s="19" t="s">
        <v>17</v>
      </c>
      <c r="G663" s="19" t="s">
        <v>62</v>
      </c>
      <c r="H663" s="19" t="s">
        <v>33</v>
      </c>
      <c r="I663" s="19">
        <v>5</v>
      </c>
      <c r="J663" s="19">
        <v>807</v>
      </c>
      <c r="K663" s="19">
        <v>18</v>
      </c>
      <c r="L663" s="19">
        <v>3308.7</v>
      </c>
      <c r="M663" s="19">
        <f t="shared" si="30"/>
        <v>627145.53999999992</v>
      </c>
      <c r="N663" s="20">
        <f t="shared" si="31"/>
        <v>1849.986843657817</v>
      </c>
      <c r="O663" s="19">
        <f t="shared" si="32"/>
        <v>728</v>
      </c>
      <c r="P663" s="19" t="str">
        <v>High</v>
      </c>
    </row>
    <row r="664" spans="1:16" x14ac:dyDescent="0.3">
      <c r="A664" s="2" t="s">
        <v>898</v>
      </c>
      <c r="B664" s="2" t="s">
        <v>742</v>
      </c>
      <c r="C664" s="19" t="s">
        <v>899</v>
      </c>
      <c r="D664" s="19" t="s">
        <v>88</v>
      </c>
      <c r="E664" s="19" t="s">
        <v>58</v>
      </c>
      <c r="F664" s="19" t="s">
        <v>17</v>
      </c>
      <c r="G664" s="19" t="s">
        <v>62</v>
      </c>
      <c r="H664" s="19" t="s">
        <v>75</v>
      </c>
      <c r="I664" s="19">
        <v>1</v>
      </c>
      <c r="J664" s="19">
        <v>4557</v>
      </c>
      <c r="K664" s="19">
        <v>28</v>
      </c>
      <c r="L664" s="19">
        <v>3281.04</v>
      </c>
      <c r="M664" s="19">
        <f t="shared" si="30"/>
        <v>623836.84</v>
      </c>
      <c r="N664" s="20">
        <f t="shared" si="31"/>
        <v>1845.6711242603549</v>
      </c>
      <c r="O664" s="19">
        <f t="shared" si="32"/>
        <v>723</v>
      </c>
      <c r="P664" s="19" t="str">
        <v>High</v>
      </c>
    </row>
    <row r="665" spans="1:16" x14ac:dyDescent="0.3">
      <c r="A665" s="2" t="s">
        <v>1016</v>
      </c>
      <c r="B665" s="2" t="s">
        <v>965</v>
      </c>
      <c r="C665" s="19" t="s">
        <v>71</v>
      </c>
      <c r="D665" s="19" t="s">
        <v>30</v>
      </c>
      <c r="E665" s="19" t="s">
        <v>68</v>
      </c>
      <c r="F665" s="19" t="s">
        <v>49</v>
      </c>
      <c r="G665" s="19" t="s">
        <v>26</v>
      </c>
      <c r="H665" s="19" t="s">
        <v>44</v>
      </c>
      <c r="I665" s="19">
        <v>1</v>
      </c>
      <c r="J665" s="19">
        <v>4149</v>
      </c>
      <c r="K665" s="19">
        <v>21</v>
      </c>
      <c r="L665" s="19">
        <v>3277.71</v>
      </c>
      <c r="M665" s="19">
        <f t="shared" si="30"/>
        <v>620555.79999999993</v>
      </c>
      <c r="N665" s="20">
        <f t="shared" si="31"/>
        <v>1841.4118694362016</v>
      </c>
      <c r="O665" s="19">
        <f t="shared" si="32"/>
        <v>722</v>
      </c>
      <c r="P665" s="19" t="str">
        <v>High</v>
      </c>
    </row>
    <row r="666" spans="1:16" x14ac:dyDescent="0.3">
      <c r="A666" s="2" t="s">
        <v>724</v>
      </c>
      <c r="B666" s="2" t="s">
        <v>725</v>
      </c>
      <c r="C666" s="19" t="s">
        <v>628</v>
      </c>
      <c r="D666" s="19" t="s">
        <v>15</v>
      </c>
      <c r="E666" s="19" t="s">
        <v>24</v>
      </c>
      <c r="F666" s="19" t="s">
        <v>32</v>
      </c>
      <c r="G666" s="19" t="s">
        <v>54</v>
      </c>
      <c r="H666" s="19" t="s">
        <v>19</v>
      </c>
      <c r="I666" s="19">
        <v>3</v>
      </c>
      <c r="J666" s="19">
        <v>1101</v>
      </c>
      <c r="K666" s="19">
        <v>1</v>
      </c>
      <c r="L666" s="19">
        <v>3269.97</v>
      </c>
      <c r="M666" s="19">
        <f t="shared" si="30"/>
        <v>617278.08999999985</v>
      </c>
      <c r="N666" s="20">
        <f t="shared" si="31"/>
        <v>1837.1371726190471</v>
      </c>
      <c r="O666" s="19">
        <f t="shared" si="32"/>
        <v>721</v>
      </c>
      <c r="P666" s="19" t="str">
        <v>High</v>
      </c>
    </row>
    <row r="667" spans="1:16" x14ac:dyDescent="0.3">
      <c r="A667" s="2" t="s">
        <v>466</v>
      </c>
      <c r="B667" s="2" t="s">
        <v>467</v>
      </c>
      <c r="C667" s="19" t="s">
        <v>468</v>
      </c>
      <c r="D667" s="19" t="s">
        <v>88</v>
      </c>
      <c r="E667" s="19" t="s">
        <v>24</v>
      </c>
      <c r="F667" s="19" t="s">
        <v>40</v>
      </c>
      <c r="G667" s="19" t="s">
        <v>62</v>
      </c>
      <c r="H667" s="19" t="s">
        <v>44</v>
      </c>
      <c r="I667" s="19">
        <v>2</v>
      </c>
      <c r="J667" s="19">
        <v>2000</v>
      </c>
      <c r="K667" s="19">
        <v>19</v>
      </c>
      <c r="L667" s="19">
        <v>3240</v>
      </c>
      <c r="M667" s="19">
        <f t="shared" si="30"/>
        <v>614008.12</v>
      </c>
      <c r="N667" s="20">
        <f t="shared" si="31"/>
        <v>1832.8600597014924</v>
      </c>
      <c r="O667" s="19">
        <f t="shared" si="32"/>
        <v>718</v>
      </c>
      <c r="P667" s="19" t="str">
        <v>High</v>
      </c>
    </row>
    <row r="668" spans="1:16" x14ac:dyDescent="0.3">
      <c r="A668" s="2" t="s">
        <v>1500</v>
      </c>
      <c r="B668" s="2" t="s">
        <v>725</v>
      </c>
      <c r="C668" s="19" t="s">
        <v>1050</v>
      </c>
      <c r="D668" s="19" t="s">
        <v>30</v>
      </c>
      <c r="E668" s="19" t="s">
        <v>24</v>
      </c>
      <c r="F668" s="19" t="s">
        <v>40</v>
      </c>
      <c r="G668" s="19" t="s">
        <v>40</v>
      </c>
      <c r="H668" s="19" t="s">
        <v>33</v>
      </c>
      <c r="I668" s="19">
        <v>1</v>
      </c>
      <c r="J668" s="19">
        <v>4421</v>
      </c>
      <c r="K668" s="19">
        <v>27</v>
      </c>
      <c r="L668" s="19">
        <v>3227.33</v>
      </c>
      <c r="M668" s="19">
        <f t="shared" si="30"/>
        <v>610768.12</v>
      </c>
      <c r="N668" s="20">
        <f t="shared" si="31"/>
        <v>1828.6470658682636</v>
      </c>
      <c r="O668" s="19">
        <f t="shared" si="32"/>
        <v>716</v>
      </c>
      <c r="P668" s="19" t="str">
        <v>High</v>
      </c>
    </row>
    <row r="669" spans="1:16" x14ac:dyDescent="0.3">
      <c r="A669" s="2" t="s">
        <v>1406</v>
      </c>
      <c r="B669" s="2" t="s">
        <v>159</v>
      </c>
      <c r="C669" s="19" t="s">
        <v>526</v>
      </c>
      <c r="D669" s="19" t="s">
        <v>88</v>
      </c>
      <c r="E669" s="19" t="s">
        <v>48</v>
      </c>
      <c r="F669" s="19" t="s">
        <v>17</v>
      </c>
      <c r="G669" s="19" t="s">
        <v>18</v>
      </c>
      <c r="H669" s="19" t="s">
        <v>19</v>
      </c>
      <c r="I669" s="19">
        <v>5</v>
      </c>
      <c r="J669" s="19">
        <v>740</v>
      </c>
      <c r="K669" s="19">
        <v>13</v>
      </c>
      <c r="L669" s="19">
        <v>3219</v>
      </c>
      <c r="M669" s="19">
        <f t="shared" si="30"/>
        <v>607540.79</v>
      </c>
      <c r="N669" s="20">
        <f t="shared" si="31"/>
        <v>1824.4468168168169</v>
      </c>
      <c r="O669" s="19">
        <f t="shared" si="32"/>
        <v>715</v>
      </c>
      <c r="P669" s="19" t="str">
        <v>High</v>
      </c>
    </row>
    <row r="670" spans="1:16" x14ac:dyDescent="0.3">
      <c r="A670" s="2" t="s">
        <v>1562</v>
      </c>
      <c r="B670" s="2" t="s">
        <v>1137</v>
      </c>
      <c r="C670" s="19" t="s">
        <v>814</v>
      </c>
      <c r="D670" s="19" t="s">
        <v>88</v>
      </c>
      <c r="E670" s="19" t="s">
        <v>16</v>
      </c>
      <c r="F670" s="19" t="s">
        <v>32</v>
      </c>
      <c r="G670" s="19" t="s">
        <v>18</v>
      </c>
      <c r="H670" s="19" t="s">
        <v>75</v>
      </c>
      <c r="I670" s="19">
        <v>1</v>
      </c>
      <c r="J670" s="19">
        <v>4223</v>
      </c>
      <c r="K670" s="19">
        <v>24</v>
      </c>
      <c r="L670" s="19">
        <v>3209.48</v>
      </c>
      <c r="M670" s="19">
        <f t="shared" si="30"/>
        <v>604321.78999999992</v>
      </c>
      <c r="N670" s="20">
        <f t="shared" si="31"/>
        <v>1820.2463554216865</v>
      </c>
      <c r="O670" s="19">
        <f t="shared" si="32"/>
        <v>710</v>
      </c>
      <c r="P670" s="19" t="str">
        <v>High</v>
      </c>
    </row>
    <row r="671" spans="1:16" x14ac:dyDescent="0.3">
      <c r="A671" s="2" t="s">
        <v>629</v>
      </c>
      <c r="B671" s="2" t="s">
        <v>232</v>
      </c>
      <c r="C671" s="19" t="s">
        <v>538</v>
      </c>
      <c r="D671" s="19" t="s">
        <v>23</v>
      </c>
      <c r="E671" s="19" t="s">
        <v>31</v>
      </c>
      <c r="F671" s="19" t="s">
        <v>49</v>
      </c>
      <c r="G671" s="19" t="s">
        <v>18</v>
      </c>
      <c r="H671" s="19" t="s">
        <v>44</v>
      </c>
      <c r="I671" s="19">
        <v>2</v>
      </c>
      <c r="J671" s="19">
        <v>2259</v>
      </c>
      <c r="K671" s="19">
        <v>29</v>
      </c>
      <c r="L671" s="19">
        <v>3207.78</v>
      </c>
      <c r="M671" s="19">
        <f t="shared" si="30"/>
        <v>601112.30999999994</v>
      </c>
      <c r="N671" s="20">
        <f t="shared" si="31"/>
        <v>1816.0492749244711</v>
      </c>
      <c r="O671" s="19">
        <f t="shared" si="32"/>
        <v>709</v>
      </c>
      <c r="P671" s="19" t="str">
        <v>High</v>
      </c>
    </row>
    <row r="672" spans="1:16" x14ac:dyDescent="0.3">
      <c r="A672" s="2" t="s">
        <v>1426</v>
      </c>
      <c r="B672" s="2" t="s">
        <v>728</v>
      </c>
      <c r="C672" s="19" t="s">
        <v>555</v>
      </c>
      <c r="D672" s="19" t="s">
        <v>15</v>
      </c>
      <c r="E672" s="19" t="s">
        <v>24</v>
      </c>
      <c r="F672" s="19" t="s">
        <v>17</v>
      </c>
      <c r="G672" s="19" t="s">
        <v>54</v>
      </c>
      <c r="H672" s="19" t="s">
        <v>44</v>
      </c>
      <c r="I672" s="19">
        <v>3</v>
      </c>
      <c r="J672" s="19">
        <v>1402</v>
      </c>
      <c r="K672" s="19">
        <v>24</v>
      </c>
      <c r="L672" s="19">
        <v>3196.56</v>
      </c>
      <c r="M672" s="19">
        <f t="shared" si="30"/>
        <v>597904.5299999998</v>
      </c>
      <c r="N672" s="20">
        <f t="shared" si="31"/>
        <v>1811.8319090909085</v>
      </c>
      <c r="O672" s="19">
        <f t="shared" si="32"/>
        <v>707</v>
      </c>
      <c r="P672" s="19" t="str">
        <v>High</v>
      </c>
    </row>
    <row r="673" spans="1:16" x14ac:dyDescent="0.3">
      <c r="A673" s="2" t="s">
        <v>793</v>
      </c>
      <c r="B673" s="2" t="s">
        <v>561</v>
      </c>
      <c r="C673" s="19" t="s">
        <v>794</v>
      </c>
      <c r="D673" s="19" t="s">
        <v>30</v>
      </c>
      <c r="E673" s="19" t="s">
        <v>79</v>
      </c>
      <c r="F673" s="19" t="s">
        <v>40</v>
      </c>
      <c r="G673" s="19" t="s">
        <v>18</v>
      </c>
      <c r="H673" s="19" t="s">
        <v>19</v>
      </c>
      <c r="I673" s="19">
        <v>3</v>
      </c>
      <c r="J673" s="19">
        <v>1197</v>
      </c>
      <c r="K673" s="19">
        <v>11</v>
      </c>
      <c r="L673" s="19">
        <v>3195.99</v>
      </c>
      <c r="M673" s="19">
        <f t="shared" si="30"/>
        <v>594707.96999999986</v>
      </c>
      <c r="N673" s="20">
        <f t="shared" si="31"/>
        <v>1807.6230091185405</v>
      </c>
      <c r="O673" s="19">
        <f t="shared" si="32"/>
        <v>704</v>
      </c>
      <c r="P673" s="19" t="str">
        <v>High</v>
      </c>
    </row>
    <row r="674" spans="1:16" x14ac:dyDescent="0.3">
      <c r="A674" s="2" t="s">
        <v>1252</v>
      </c>
      <c r="B674" s="2" t="s">
        <v>667</v>
      </c>
      <c r="C674" s="19" t="s">
        <v>729</v>
      </c>
      <c r="D674" s="19" t="s">
        <v>88</v>
      </c>
      <c r="E674" s="19" t="s">
        <v>79</v>
      </c>
      <c r="F674" s="19" t="s">
        <v>32</v>
      </c>
      <c r="G674" s="19" t="s">
        <v>26</v>
      </c>
      <c r="H674" s="19" t="s">
        <v>44</v>
      </c>
      <c r="I674" s="19">
        <v>1</v>
      </c>
      <c r="J674" s="19">
        <v>4044</v>
      </c>
      <c r="K674" s="19">
        <v>21</v>
      </c>
      <c r="L674" s="19">
        <v>3194.76</v>
      </c>
      <c r="M674" s="19">
        <f t="shared" si="30"/>
        <v>591511.98</v>
      </c>
      <c r="N674" s="20">
        <f t="shared" si="31"/>
        <v>1803.3901829268293</v>
      </c>
      <c r="O674" s="19">
        <f t="shared" si="32"/>
        <v>701</v>
      </c>
      <c r="P674" s="19" t="str">
        <v>High</v>
      </c>
    </row>
    <row r="675" spans="1:16" x14ac:dyDescent="0.3">
      <c r="A675" s="2" t="s">
        <v>348</v>
      </c>
      <c r="B675" s="2" t="s">
        <v>349</v>
      </c>
      <c r="C675" s="19" t="s">
        <v>350</v>
      </c>
      <c r="D675" s="19" t="s">
        <v>88</v>
      </c>
      <c r="E675" s="19" t="s">
        <v>48</v>
      </c>
      <c r="F675" s="19" t="s">
        <v>32</v>
      </c>
      <c r="G675" s="19" t="s">
        <v>62</v>
      </c>
      <c r="H675" s="19" t="s">
        <v>75</v>
      </c>
      <c r="I675" s="19">
        <v>1</v>
      </c>
      <c r="J675" s="19">
        <v>4229</v>
      </c>
      <c r="K675" s="19">
        <v>25</v>
      </c>
      <c r="L675" s="19">
        <v>3171.75</v>
      </c>
      <c r="M675" s="19">
        <f t="shared" si="30"/>
        <v>588317.22</v>
      </c>
      <c r="N675" s="20">
        <f t="shared" si="31"/>
        <v>1799.1352293577982</v>
      </c>
      <c r="O675" s="19">
        <f t="shared" si="32"/>
        <v>700</v>
      </c>
      <c r="P675" s="19" t="str">
        <v>High</v>
      </c>
    </row>
    <row r="676" spans="1:16" x14ac:dyDescent="0.3">
      <c r="A676" s="2" t="s">
        <v>1456</v>
      </c>
      <c r="B676" s="2" t="s">
        <v>159</v>
      </c>
      <c r="C676" s="19" t="s">
        <v>1029</v>
      </c>
      <c r="D676" s="19" t="s">
        <v>15</v>
      </c>
      <c r="E676" s="19" t="s">
        <v>58</v>
      </c>
      <c r="F676" s="19" t="s">
        <v>25</v>
      </c>
      <c r="G676" s="19" t="s">
        <v>62</v>
      </c>
      <c r="H676" s="19" t="s">
        <v>33</v>
      </c>
      <c r="I676" s="19">
        <v>5</v>
      </c>
      <c r="J676" s="19">
        <v>893</v>
      </c>
      <c r="K676" s="19">
        <v>29</v>
      </c>
      <c r="L676" s="19">
        <v>3170.15</v>
      </c>
      <c r="M676" s="19">
        <f t="shared" si="30"/>
        <v>585145.47000000009</v>
      </c>
      <c r="N676" s="20">
        <f t="shared" si="31"/>
        <v>1794.9247546012273</v>
      </c>
      <c r="O676" s="19">
        <f t="shared" si="32"/>
        <v>699</v>
      </c>
      <c r="P676" s="19" t="str">
        <v>High</v>
      </c>
    </row>
    <row r="677" spans="1:16" x14ac:dyDescent="0.3">
      <c r="A677" s="2" t="s">
        <v>1498</v>
      </c>
      <c r="B677" s="2" t="s">
        <v>240</v>
      </c>
      <c r="C677" s="19" t="s">
        <v>862</v>
      </c>
      <c r="D677" s="19" t="s">
        <v>30</v>
      </c>
      <c r="E677" s="19" t="s">
        <v>68</v>
      </c>
      <c r="F677" s="19" t="s">
        <v>17</v>
      </c>
      <c r="G677" s="19" t="s">
        <v>40</v>
      </c>
      <c r="H677" s="19" t="s">
        <v>33</v>
      </c>
      <c r="I677" s="19">
        <v>1</v>
      </c>
      <c r="J677" s="19">
        <v>4224</v>
      </c>
      <c r="K677" s="19">
        <v>25</v>
      </c>
      <c r="L677" s="19">
        <v>3168</v>
      </c>
      <c r="M677" s="19">
        <f t="shared" si="30"/>
        <v>581975.31999999995</v>
      </c>
      <c r="N677" s="20">
        <f t="shared" si="31"/>
        <v>1790.6932923076922</v>
      </c>
      <c r="O677" s="19">
        <f t="shared" si="32"/>
        <v>694</v>
      </c>
      <c r="P677" s="19" t="str">
        <v>High</v>
      </c>
    </row>
    <row r="678" spans="1:16" x14ac:dyDescent="0.3">
      <c r="A678" s="2" t="s">
        <v>516</v>
      </c>
      <c r="B678" s="2" t="s">
        <v>517</v>
      </c>
      <c r="C678" s="19" t="s">
        <v>393</v>
      </c>
      <c r="D678" s="19" t="s">
        <v>88</v>
      </c>
      <c r="E678" s="19" t="s">
        <v>68</v>
      </c>
      <c r="F678" s="19" t="s">
        <v>40</v>
      </c>
      <c r="G678" s="19" t="s">
        <v>62</v>
      </c>
      <c r="H678" s="19" t="s">
        <v>19</v>
      </c>
      <c r="I678" s="19">
        <v>5</v>
      </c>
      <c r="J678" s="19">
        <v>904</v>
      </c>
      <c r="K678" s="19">
        <v>30</v>
      </c>
      <c r="L678" s="19">
        <v>3164</v>
      </c>
      <c r="M678" s="19">
        <f t="shared" si="30"/>
        <v>578807.31999999995</v>
      </c>
      <c r="N678" s="20">
        <f t="shared" si="31"/>
        <v>1786.4423456790121</v>
      </c>
      <c r="O678" s="19">
        <f t="shared" si="32"/>
        <v>693</v>
      </c>
      <c r="P678" s="19" t="str">
        <v>High</v>
      </c>
    </row>
    <row r="679" spans="1:16" x14ac:dyDescent="0.3">
      <c r="A679" s="2" t="s">
        <v>722</v>
      </c>
      <c r="B679" s="2" t="s">
        <v>723</v>
      </c>
      <c r="C679" s="19" t="s">
        <v>317</v>
      </c>
      <c r="D679" s="19" t="s">
        <v>88</v>
      </c>
      <c r="E679" s="19" t="s">
        <v>16</v>
      </c>
      <c r="F679" s="19" t="s">
        <v>40</v>
      </c>
      <c r="G679" s="19" t="s">
        <v>26</v>
      </c>
      <c r="H679" s="19" t="s">
        <v>44</v>
      </c>
      <c r="I679" s="19">
        <v>5</v>
      </c>
      <c r="J679" s="19">
        <v>753</v>
      </c>
      <c r="K679" s="19">
        <v>16</v>
      </c>
      <c r="L679" s="19">
        <v>3162.6</v>
      </c>
      <c r="M679" s="19">
        <f t="shared" si="30"/>
        <v>575643.31999999995</v>
      </c>
      <c r="N679" s="20">
        <f t="shared" si="31"/>
        <v>1782.1774613003095</v>
      </c>
      <c r="O679" s="19">
        <f t="shared" si="32"/>
        <v>688</v>
      </c>
      <c r="P679" s="19" t="str">
        <v>High</v>
      </c>
    </row>
    <row r="680" spans="1:16" x14ac:dyDescent="0.3">
      <c r="A680" s="2" t="s">
        <v>187</v>
      </c>
      <c r="B680" s="2" t="s">
        <v>188</v>
      </c>
      <c r="C680" s="19" t="s">
        <v>151</v>
      </c>
      <c r="D680" s="19" t="s">
        <v>30</v>
      </c>
      <c r="E680" s="19" t="s">
        <v>48</v>
      </c>
      <c r="F680" s="19" t="s">
        <v>49</v>
      </c>
      <c r="G680" s="19" t="s">
        <v>40</v>
      </c>
      <c r="H680" s="19" t="s">
        <v>75</v>
      </c>
      <c r="I680" s="19">
        <v>3</v>
      </c>
      <c r="J680" s="19">
        <v>1223</v>
      </c>
      <c r="K680" s="19">
        <v>14</v>
      </c>
      <c r="L680" s="19">
        <v>3155.34</v>
      </c>
      <c r="M680" s="19">
        <f t="shared" si="30"/>
        <v>572480.71999999986</v>
      </c>
      <c r="N680" s="20">
        <f t="shared" si="31"/>
        <v>1777.8904347826083</v>
      </c>
      <c r="O680" s="19">
        <f t="shared" si="32"/>
        <v>683</v>
      </c>
      <c r="P680" s="19" t="str">
        <v>High</v>
      </c>
    </row>
    <row r="681" spans="1:16" x14ac:dyDescent="0.3">
      <c r="A681" s="2" t="s">
        <v>595</v>
      </c>
      <c r="B681" s="2" t="s">
        <v>596</v>
      </c>
      <c r="C681" s="19" t="s">
        <v>597</v>
      </c>
      <c r="D681" s="19" t="s">
        <v>53</v>
      </c>
      <c r="E681" s="19" t="s">
        <v>58</v>
      </c>
      <c r="F681" s="19" t="s">
        <v>49</v>
      </c>
      <c r="G681" s="19" t="s">
        <v>26</v>
      </c>
      <c r="H681" s="19" t="s">
        <v>44</v>
      </c>
      <c r="I681" s="19">
        <v>5</v>
      </c>
      <c r="J681" s="19">
        <v>708</v>
      </c>
      <c r="K681" s="19">
        <v>11</v>
      </c>
      <c r="L681" s="19">
        <v>3150.6</v>
      </c>
      <c r="M681" s="19">
        <f t="shared" si="30"/>
        <v>569325.38</v>
      </c>
      <c r="N681" s="20">
        <f t="shared" si="31"/>
        <v>1773.5993146417445</v>
      </c>
      <c r="O681" s="19">
        <f t="shared" si="32"/>
        <v>680</v>
      </c>
      <c r="P681" s="19" t="str">
        <v>High</v>
      </c>
    </row>
    <row r="682" spans="1:16" x14ac:dyDescent="0.3">
      <c r="A682" s="2" t="s">
        <v>1287</v>
      </c>
      <c r="B682" s="2" t="s">
        <v>449</v>
      </c>
      <c r="C682" s="19" t="s">
        <v>451</v>
      </c>
      <c r="D682" s="19" t="s">
        <v>88</v>
      </c>
      <c r="E682" s="19" t="s">
        <v>31</v>
      </c>
      <c r="F682" s="19" t="s">
        <v>25</v>
      </c>
      <c r="G682" s="19" t="s">
        <v>18</v>
      </c>
      <c r="H682" s="19" t="s">
        <v>19</v>
      </c>
      <c r="I682" s="19">
        <v>2</v>
      </c>
      <c r="J682" s="19">
        <v>1606</v>
      </c>
      <c r="K682" s="19">
        <v>2</v>
      </c>
      <c r="L682" s="19">
        <v>3147.76</v>
      </c>
      <c r="M682" s="19">
        <f t="shared" si="30"/>
        <v>566174.77999999991</v>
      </c>
      <c r="N682" s="20">
        <f t="shared" si="31"/>
        <v>1769.2961874999996</v>
      </c>
      <c r="O682" s="19">
        <f t="shared" si="32"/>
        <v>675</v>
      </c>
      <c r="P682" s="19" t="str">
        <v>High</v>
      </c>
    </row>
    <row r="683" spans="1:16" x14ac:dyDescent="0.3">
      <c r="A683" s="2" t="s">
        <v>926</v>
      </c>
      <c r="B683" s="2" t="s">
        <v>240</v>
      </c>
      <c r="C683" s="19" t="s">
        <v>619</v>
      </c>
      <c r="D683" s="19" t="s">
        <v>30</v>
      </c>
      <c r="E683" s="19" t="s">
        <v>68</v>
      </c>
      <c r="F683" s="19" t="s">
        <v>32</v>
      </c>
      <c r="G683" s="19" t="s">
        <v>26</v>
      </c>
      <c r="H683" s="19" t="s">
        <v>33</v>
      </c>
      <c r="I683" s="19">
        <v>1</v>
      </c>
      <c r="J683" s="19">
        <v>4032</v>
      </c>
      <c r="K683" s="19">
        <v>22</v>
      </c>
      <c r="L683" s="19">
        <v>3144.96</v>
      </c>
      <c r="M683" s="19">
        <f t="shared" si="30"/>
        <v>563027.0199999999</v>
      </c>
      <c r="N683" s="20">
        <f t="shared" si="31"/>
        <v>1764.9749843260186</v>
      </c>
      <c r="O683" s="19">
        <f t="shared" si="32"/>
        <v>673</v>
      </c>
      <c r="P683" s="19" t="str">
        <v>High</v>
      </c>
    </row>
    <row r="684" spans="1:16" x14ac:dyDescent="0.3">
      <c r="A684" s="2" t="s">
        <v>1563</v>
      </c>
      <c r="B684" s="2" t="s">
        <v>901</v>
      </c>
      <c r="C684" s="19" t="s">
        <v>955</v>
      </c>
      <c r="D684" s="19" t="s">
        <v>23</v>
      </c>
      <c r="E684" s="19" t="s">
        <v>24</v>
      </c>
      <c r="F684" s="19" t="s">
        <v>40</v>
      </c>
      <c r="G684" s="19" t="s">
        <v>18</v>
      </c>
      <c r="H684" s="19" t="s">
        <v>44</v>
      </c>
      <c r="I684" s="19">
        <v>3</v>
      </c>
      <c r="J684" s="19">
        <v>1342</v>
      </c>
      <c r="K684" s="19">
        <v>22</v>
      </c>
      <c r="L684" s="19">
        <v>3140.28</v>
      </c>
      <c r="M684" s="19">
        <f t="shared" si="30"/>
        <v>559882.06000000006</v>
      </c>
      <c r="N684" s="20">
        <f t="shared" si="31"/>
        <v>1760.6354088050316</v>
      </c>
      <c r="O684" s="19">
        <f t="shared" si="32"/>
        <v>672</v>
      </c>
      <c r="P684" s="19" t="str">
        <v>High</v>
      </c>
    </row>
    <row r="685" spans="1:16" x14ac:dyDescent="0.3">
      <c r="A685" s="2" t="s">
        <v>1299</v>
      </c>
      <c r="B685" s="2" t="s">
        <v>138</v>
      </c>
      <c r="C685" s="19" t="s">
        <v>465</v>
      </c>
      <c r="D685" s="19" t="s">
        <v>23</v>
      </c>
      <c r="E685" s="19" t="s">
        <v>24</v>
      </c>
      <c r="F685" s="19" t="s">
        <v>49</v>
      </c>
      <c r="G685" s="19" t="s">
        <v>62</v>
      </c>
      <c r="H685" s="19" t="s">
        <v>44</v>
      </c>
      <c r="I685" s="19">
        <v>5</v>
      </c>
      <c r="J685" s="19">
        <v>837</v>
      </c>
      <c r="K685" s="19">
        <v>25</v>
      </c>
      <c r="L685" s="19">
        <v>3138.75</v>
      </c>
      <c r="M685" s="19">
        <f t="shared" si="30"/>
        <v>556741.78000000014</v>
      </c>
      <c r="N685" s="20">
        <f t="shared" si="31"/>
        <v>1756.2832176656157</v>
      </c>
      <c r="O685" s="19">
        <f t="shared" si="32"/>
        <v>669</v>
      </c>
      <c r="P685" s="19" t="str">
        <v>High</v>
      </c>
    </row>
    <row r="686" spans="1:16" x14ac:dyDescent="0.3">
      <c r="A686" s="2" t="s">
        <v>1255</v>
      </c>
      <c r="B686" s="2" t="s">
        <v>843</v>
      </c>
      <c r="C686" s="19" t="s">
        <v>1133</v>
      </c>
      <c r="D686" s="19" t="s">
        <v>53</v>
      </c>
      <c r="E686" s="19" t="s">
        <v>16</v>
      </c>
      <c r="F686" s="19" t="s">
        <v>40</v>
      </c>
      <c r="G686" s="19" t="s">
        <v>62</v>
      </c>
      <c r="H686" s="19" t="s">
        <v>75</v>
      </c>
      <c r="I686" s="19">
        <v>2</v>
      </c>
      <c r="J686" s="19">
        <v>1782</v>
      </c>
      <c r="K686" s="19">
        <v>12</v>
      </c>
      <c r="L686" s="19">
        <v>3136.32</v>
      </c>
      <c r="M686" s="19">
        <f t="shared" si="30"/>
        <v>553603.03000000014</v>
      </c>
      <c r="N686" s="20">
        <f t="shared" si="31"/>
        <v>1751.9083227848105</v>
      </c>
      <c r="O686" s="19">
        <f t="shared" si="32"/>
        <v>664</v>
      </c>
      <c r="P686" s="19" t="str">
        <v>High</v>
      </c>
    </row>
    <row r="687" spans="1:16" x14ac:dyDescent="0.3">
      <c r="A687" s="2" t="s">
        <v>767</v>
      </c>
      <c r="B687" s="2" t="s">
        <v>218</v>
      </c>
      <c r="C687" s="19" t="s">
        <v>267</v>
      </c>
      <c r="D687" s="19" t="s">
        <v>53</v>
      </c>
      <c r="E687" s="19" t="s">
        <v>24</v>
      </c>
      <c r="F687" s="19" t="s">
        <v>32</v>
      </c>
      <c r="G687" s="19" t="s">
        <v>54</v>
      </c>
      <c r="H687" s="19" t="s">
        <v>19</v>
      </c>
      <c r="I687" s="19">
        <v>1</v>
      </c>
      <c r="J687" s="19">
        <v>3132</v>
      </c>
      <c r="K687" s="19">
        <v>0</v>
      </c>
      <c r="L687" s="19">
        <v>3132</v>
      </c>
      <c r="M687" s="19">
        <f t="shared" si="30"/>
        <v>550466.7100000002</v>
      </c>
      <c r="N687" s="20">
        <f t="shared" si="31"/>
        <v>1747.5133650793657</v>
      </c>
      <c r="O687" s="19">
        <f t="shared" si="32"/>
        <v>662</v>
      </c>
      <c r="P687" s="19" t="str">
        <v>High</v>
      </c>
    </row>
    <row r="688" spans="1:16" x14ac:dyDescent="0.3">
      <c r="A688" s="2" t="s">
        <v>577</v>
      </c>
      <c r="B688" s="2" t="s">
        <v>578</v>
      </c>
      <c r="C688" s="19" t="s">
        <v>381</v>
      </c>
      <c r="D688" s="19" t="s">
        <v>30</v>
      </c>
      <c r="E688" s="19" t="s">
        <v>31</v>
      </c>
      <c r="F688" s="19" t="s">
        <v>40</v>
      </c>
      <c r="G688" s="19" t="s">
        <v>26</v>
      </c>
      <c r="H688" s="19" t="s">
        <v>33</v>
      </c>
      <c r="I688" s="19">
        <v>5</v>
      </c>
      <c r="J688" s="19">
        <v>728</v>
      </c>
      <c r="K688" s="19">
        <v>14</v>
      </c>
      <c r="L688" s="19">
        <v>3130.4</v>
      </c>
      <c r="M688" s="19">
        <f t="shared" si="30"/>
        <v>547334.71000000008</v>
      </c>
      <c r="N688" s="20">
        <f t="shared" si="31"/>
        <v>1743.1041719745226</v>
      </c>
      <c r="O688" s="19">
        <f t="shared" si="32"/>
        <v>661</v>
      </c>
      <c r="P688" s="19" t="str">
        <v>High</v>
      </c>
    </row>
    <row r="689" spans="1:16" x14ac:dyDescent="0.3">
      <c r="A689" s="2" t="s">
        <v>268</v>
      </c>
      <c r="B689" s="2" t="s">
        <v>269</v>
      </c>
      <c r="C689" s="19" t="s">
        <v>270</v>
      </c>
      <c r="D689" s="19" t="s">
        <v>30</v>
      </c>
      <c r="E689" s="19" t="s">
        <v>31</v>
      </c>
      <c r="F689" s="19" t="s">
        <v>32</v>
      </c>
      <c r="G689" s="19" t="s">
        <v>26</v>
      </c>
      <c r="H689" s="19" t="s">
        <v>19</v>
      </c>
      <c r="I689" s="19">
        <v>4</v>
      </c>
      <c r="J689" s="19">
        <v>987</v>
      </c>
      <c r="K689" s="19">
        <v>21</v>
      </c>
      <c r="L689" s="19">
        <v>3118.92</v>
      </c>
      <c r="M689" s="19">
        <f t="shared" si="30"/>
        <v>544204.31000000006</v>
      </c>
      <c r="N689" s="20">
        <f t="shared" si="31"/>
        <v>1738.6719169329076</v>
      </c>
      <c r="O689" s="19">
        <f t="shared" si="32"/>
        <v>656</v>
      </c>
      <c r="P689" s="19" t="str">
        <v>High</v>
      </c>
    </row>
    <row r="690" spans="1:16" x14ac:dyDescent="0.3">
      <c r="A690" s="2" t="s">
        <v>1423</v>
      </c>
      <c r="B690" s="2" t="s">
        <v>980</v>
      </c>
      <c r="C690" s="19" t="s">
        <v>328</v>
      </c>
      <c r="D690" s="19" t="s">
        <v>88</v>
      </c>
      <c r="E690" s="19" t="s">
        <v>48</v>
      </c>
      <c r="F690" s="19" t="s">
        <v>25</v>
      </c>
      <c r="G690" s="19" t="s">
        <v>26</v>
      </c>
      <c r="H690" s="19" t="s">
        <v>44</v>
      </c>
      <c r="I690" s="19">
        <v>4</v>
      </c>
      <c r="J690" s="19">
        <v>1053</v>
      </c>
      <c r="K690" s="19">
        <v>26</v>
      </c>
      <c r="L690" s="19">
        <v>3116.88</v>
      </c>
      <c r="M690" s="19">
        <f t="shared" si="30"/>
        <v>541085.39000000013</v>
      </c>
      <c r="N690" s="20">
        <f t="shared" si="31"/>
        <v>1734.2480448717954</v>
      </c>
      <c r="O690" s="19">
        <f t="shared" si="32"/>
        <v>652</v>
      </c>
      <c r="P690" s="19" t="str">
        <v>High</v>
      </c>
    </row>
    <row r="691" spans="1:16" x14ac:dyDescent="0.3">
      <c r="A691" s="2" t="s">
        <v>553</v>
      </c>
      <c r="B691" s="2" t="s">
        <v>554</v>
      </c>
      <c r="C691" s="19" t="s">
        <v>555</v>
      </c>
      <c r="D691" s="19" t="s">
        <v>30</v>
      </c>
      <c r="E691" s="19" t="s">
        <v>31</v>
      </c>
      <c r="F691" s="19" t="s">
        <v>49</v>
      </c>
      <c r="G691" s="19" t="s">
        <v>40</v>
      </c>
      <c r="H691" s="19" t="s">
        <v>75</v>
      </c>
      <c r="I691" s="19">
        <v>2</v>
      </c>
      <c r="J691" s="19">
        <v>1824</v>
      </c>
      <c r="K691" s="19">
        <v>15</v>
      </c>
      <c r="L691" s="19">
        <v>3100.8</v>
      </c>
      <c r="M691" s="19">
        <f t="shared" si="30"/>
        <v>537968.51</v>
      </c>
      <c r="N691" s="20">
        <f t="shared" si="31"/>
        <v>1729.8022829581994</v>
      </c>
      <c r="O691" s="19">
        <f t="shared" si="32"/>
        <v>648</v>
      </c>
      <c r="P691" s="19" t="str">
        <v>High</v>
      </c>
    </row>
    <row r="692" spans="1:16" x14ac:dyDescent="0.3">
      <c r="A692" s="2" t="s">
        <v>1060</v>
      </c>
      <c r="B692" s="2" t="s">
        <v>1061</v>
      </c>
      <c r="C692" s="19" t="s">
        <v>331</v>
      </c>
      <c r="D692" s="19" t="s">
        <v>53</v>
      </c>
      <c r="E692" s="19" t="s">
        <v>68</v>
      </c>
      <c r="F692" s="19" t="s">
        <v>49</v>
      </c>
      <c r="G692" s="19" t="s">
        <v>54</v>
      </c>
      <c r="H692" s="19" t="s">
        <v>75</v>
      </c>
      <c r="I692" s="19">
        <v>1</v>
      </c>
      <c r="J692" s="19">
        <v>3951</v>
      </c>
      <c r="K692" s="19">
        <v>22</v>
      </c>
      <c r="L692" s="19">
        <v>3081.78</v>
      </c>
      <c r="M692" s="19">
        <f t="shared" si="30"/>
        <v>534867.71</v>
      </c>
      <c r="N692" s="20">
        <f t="shared" si="31"/>
        <v>1725.3797096774192</v>
      </c>
      <c r="O692" s="19">
        <f t="shared" si="32"/>
        <v>646</v>
      </c>
      <c r="P692" s="19" t="str">
        <v>High</v>
      </c>
    </row>
    <row r="693" spans="1:16" x14ac:dyDescent="0.3">
      <c r="A693" s="2" t="s">
        <v>1465</v>
      </c>
      <c r="B693" s="2" t="s">
        <v>976</v>
      </c>
      <c r="C693" s="19" t="s">
        <v>102</v>
      </c>
      <c r="D693" s="19" t="s">
        <v>53</v>
      </c>
      <c r="E693" s="19" t="s">
        <v>16</v>
      </c>
      <c r="F693" s="19" t="s">
        <v>25</v>
      </c>
      <c r="G693" s="19" t="s">
        <v>54</v>
      </c>
      <c r="H693" s="19" t="s">
        <v>75</v>
      </c>
      <c r="I693" s="19">
        <v>1</v>
      </c>
      <c r="J693" s="19">
        <v>3655</v>
      </c>
      <c r="K693" s="19">
        <v>16</v>
      </c>
      <c r="L693" s="19">
        <v>3070.2</v>
      </c>
      <c r="M693" s="19">
        <f t="shared" si="30"/>
        <v>531785.93000000017</v>
      </c>
      <c r="N693" s="20">
        <f t="shared" si="31"/>
        <v>1720.9900647249196</v>
      </c>
      <c r="O693" s="19">
        <f t="shared" si="32"/>
        <v>645</v>
      </c>
      <c r="P693" s="19" t="str">
        <v>High</v>
      </c>
    </row>
    <row r="694" spans="1:16" x14ac:dyDescent="0.3">
      <c r="A694" s="2" t="s">
        <v>912</v>
      </c>
      <c r="B694" s="2" t="s">
        <v>554</v>
      </c>
      <c r="C694" s="19" t="s">
        <v>913</v>
      </c>
      <c r="D694" s="19" t="s">
        <v>53</v>
      </c>
      <c r="E694" s="19" t="s">
        <v>68</v>
      </c>
      <c r="F694" s="19" t="s">
        <v>49</v>
      </c>
      <c r="G694" s="19" t="s">
        <v>54</v>
      </c>
      <c r="H694" s="19" t="s">
        <v>19</v>
      </c>
      <c r="I694" s="19">
        <v>2</v>
      </c>
      <c r="J694" s="19">
        <v>1565</v>
      </c>
      <c r="K694" s="19">
        <v>2</v>
      </c>
      <c r="L694" s="19">
        <v>3067.4</v>
      </c>
      <c r="M694" s="19">
        <f t="shared" si="30"/>
        <v>528715.73</v>
      </c>
      <c r="N694" s="20">
        <f t="shared" si="31"/>
        <v>1716.609512987013</v>
      </c>
      <c r="O694" s="19">
        <f t="shared" si="32"/>
        <v>644</v>
      </c>
      <c r="P694" s="19" t="str">
        <v>High</v>
      </c>
    </row>
    <row r="695" spans="1:16" x14ac:dyDescent="0.3">
      <c r="A695" s="2" t="s">
        <v>158</v>
      </c>
      <c r="B695" s="2" t="s">
        <v>159</v>
      </c>
      <c r="C695" s="19" t="s">
        <v>160</v>
      </c>
      <c r="D695" s="19" t="s">
        <v>15</v>
      </c>
      <c r="E695" s="19" t="s">
        <v>58</v>
      </c>
      <c r="F695" s="19" t="s">
        <v>40</v>
      </c>
      <c r="G695" s="19" t="s">
        <v>54</v>
      </c>
      <c r="H695" s="19" t="s">
        <v>75</v>
      </c>
      <c r="I695" s="19">
        <v>3</v>
      </c>
      <c r="J695" s="19">
        <v>1457</v>
      </c>
      <c r="K695" s="19">
        <v>30</v>
      </c>
      <c r="L695" s="19">
        <v>3059.7</v>
      </c>
      <c r="M695" s="19">
        <f t="shared" si="30"/>
        <v>525648.32999999984</v>
      </c>
      <c r="N695" s="20">
        <f t="shared" si="31"/>
        <v>1712.2095439739408</v>
      </c>
      <c r="O695" s="19">
        <f t="shared" si="32"/>
        <v>642</v>
      </c>
      <c r="P695" s="19" t="str">
        <v>High</v>
      </c>
    </row>
    <row r="696" spans="1:16" x14ac:dyDescent="0.3">
      <c r="A696" s="2" t="s">
        <v>137</v>
      </c>
      <c r="B696" s="2" t="s">
        <v>138</v>
      </c>
      <c r="C696" s="19" t="s">
        <v>139</v>
      </c>
      <c r="D696" s="19" t="s">
        <v>23</v>
      </c>
      <c r="E696" s="19" t="s">
        <v>68</v>
      </c>
      <c r="F696" s="19" t="s">
        <v>17</v>
      </c>
      <c r="G696" s="19" t="s">
        <v>18</v>
      </c>
      <c r="H696" s="19" t="s">
        <v>44</v>
      </c>
      <c r="I696" s="19">
        <v>1</v>
      </c>
      <c r="J696" s="19">
        <v>3640</v>
      </c>
      <c r="K696" s="19">
        <v>16</v>
      </c>
      <c r="L696" s="19">
        <v>3057.6</v>
      </c>
      <c r="M696" s="19">
        <f t="shared" si="30"/>
        <v>522588.62999999989</v>
      </c>
      <c r="N696" s="20">
        <f t="shared" si="31"/>
        <v>1707.8059803921565</v>
      </c>
      <c r="O696" s="19">
        <f t="shared" si="32"/>
        <v>639</v>
      </c>
      <c r="P696" s="19" t="str">
        <v>High</v>
      </c>
    </row>
    <row r="697" spans="1:16" x14ac:dyDescent="0.3">
      <c r="A697" s="2" t="s">
        <v>1457</v>
      </c>
      <c r="B697" s="2" t="s">
        <v>998</v>
      </c>
      <c r="C697" s="19" t="s">
        <v>619</v>
      </c>
      <c r="D697" s="19" t="s">
        <v>15</v>
      </c>
      <c r="E697" s="19" t="s">
        <v>31</v>
      </c>
      <c r="F697" s="19" t="s">
        <v>49</v>
      </c>
      <c r="G697" s="19" t="s">
        <v>18</v>
      </c>
      <c r="H697" s="19" t="s">
        <v>19</v>
      </c>
      <c r="I697" s="19">
        <v>1</v>
      </c>
      <c r="J697" s="19">
        <v>3666</v>
      </c>
      <c r="K697" s="19">
        <v>17</v>
      </c>
      <c r="L697" s="19">
        <v>3042.78</v>
      </c>
      <c r="M697" s="19">
        <f t="shared" si="30"/>
        <v>519531.02999999991</v>
      </c>
      <c r="N697" s="20">
        <f t="shared" si="31"/>
        <v>1703.380426229508</v>
      </c>
      <c r="O697" s="19">
        <f t="shared" si="32"/>
        <v>638</v>
      </c>
      <c r="P697" s="19" t="str">
        <v>High</v>
      </c>
    </row>
    <row r="698" spans="1:16" x14ac:dyDescent="0.3">
      <c r="A698" s="2" t="s">
        <v>903</v>
      </c>
      <c r="B698" s="2" t="s">
        <v>904</v>
      </c>
      <c r="C698" s="19" t="s">
        <v>477</v>
      </c>
      <c r="D698" s="19" t="s">
        <v>88</v>
      </c>
      <c r="E698" s="19" t="s">
        <v>79</v>
      </c>
      <c r="F698" s="19" t="s">
        <v>25</v>
      </c>
      <c r="G698" s="19" t="s">
        <v>62</v>
      </c>
      <c r="H698" s="19" t="s">
        <v>44</v>
      </c>
      <c r="I698" s="19">
        <v>4</v>
      </c>
      <c r="J698" s="19">
        <v>783</v>
      </c>
      <c r="K698" s="19">
        <v>3</v>
      </c>
      <c r="L698" s="19">
        <v>3038.04</v>
      </c>
      <c r="M698" s="19">
        <f t="shared" si="30"/>
        <v>516488.24999999988</v>
      </c>
      <c r="N698" s="20">
        <f t="shared" si="31"/>
        <v>1698.9745065789471</v>
      </c>
      <c r="O698" s="19">
        <f t="shared" si="32"/>
        <v>637</v>
      </c>
      <c r="P698" s="19" t="str">
        <v>High</v>
      </c>
    </row>
    <row r="699" spans="1:16" x14ac:dyDescent="0.3">
      <c r="A699" s="2" t="s">
        <v>256</v>
      </c>
      <c r="B699" s="2" t="s">
        <v>257</v>
      </c>
      <c r="C699" s="19" t="s">
        <v>258</v>
      </c>
      <c r="D699" s="19" t="s">
        <v>15</v>
      </c>
      <c r="E699" s="19" t="s">
        <v>79</v>
      </c>
      <c r="F699" s="19" t="s">
        <v>49</v>
      </c>
      <c r="G699" s="19" t="s">
        <v>40</v>
      </c>
      <c r="H699" s="19" t="s">
        <v>19</v>
      </c>
      <c r="I699" s="19">
        <v>2</v>
      </c>
      <c r="J699" s="19">
        <v>1608</v>
      </c>
      <c r="K699" s="19">
        <v>6</v>
      </c>
      <c r="L699" s="19">
        <v>3023.04</v>
      </c>
      <c r="M699" s="19">
        <f t="shared" si="30"/>
        <v>513450.2099999999</v>
      </c>
      <c r="N699" s="20">
        <f t="shared" si="31"/>
        <v>1694.5551485148512</v>
      </c>
      <c r="O699" s="19">
        <f t="shared" si="32"/>
        <v>633</v>
      </c>
      <c r="P699" s="19" t="str">
        <v>High</v>
      </c>
    </row>
    <row r="700" spans="1:16" x14ac:dyDescent="0.3">
      <c r="A700" s="2" t="s">
        <v>478</v>
      </c>
      <c r="B700" s="2" t="s">
        <v>479</v>
      </c>
      <c r="C700" s="19" t="s">
        <v>480</v>
      </c>
      <c r="D700" s="19" t="s">
        <v>23</v>
      </c>
      <c r="E700" s="19" t="s">
        <v>48</v>
      </c>
      <c r="F700" s="19" t="s">
        <v>25</v>
      </c>
      <c r="G700" s="19" t="s">
        <v>40</v>
      </c>
      <c r="H700" s="19" t="s">
        <v>44</v>
      </c>
      <c r="I700" s="19">
        <v>3</v>
      </c>
      <c r="J700" s="19">
        <v>1126</v>
      </c>
      <c r="K700" s="19">
        <v>11</v>
      </c>
      <c r="L700" s="19">
        <v>3006.42</v>
      </c>
      <c r="M700" s="19">
        <f t="shared" si="30"/>
        <v>510427.16999999993</v>
      </c>
      <c r="N700" s="20">
        <f t="shared" si="31"/>
        <v>1690.1561920529798</v>
      </c>
      <c r="O700" s="19">
        <f t="shared" si="32"/>
        <v>631</v>
      </c>
      <c r="P700" s="19" t="str">
        <v>High</v>
      </c>
    </row>
    <row r="701" spans="1:16" x14ac:dyDescent="0.3">
      <c r="A701" s="2" t="s">
        <v>1511</v>
      </c>
      <c r="B701" s="2" t="s">
        <v>779</v>
      </c>
      <c r="C701" s="19" t="s">
        <v>421</v>
      </c>
      <c r="D701" s="19" t="s">
        <v>15</v>
      </c>
      <c r="E701" s="19" t="s">
        <v>48</v>
      </c>
      <c r="F701" s="19" t="s">
        <v>49</v>
      </c>
      <c r="G701" s="19" t="s">
        <v>26</v>
      </c>
      <c r="H701" s="19" t="s">
        <v>44</v>
      </c>
      <c r="I701" s="19">
        <v>5</v>
      </c>
      <c r="J701" s="19">
        <v>798</v>
      </c>
      <c r="K701" s="19">
        <v>25</v>
      </c>
      <c r="L701" s="19">
        <v>2992.5</v>
      </c>
      <c r="M701" s="19">
        <f t="shared" si="30"/>
        <v>507420.74999999994</v>
      </c>
      <c r="N701" s="20">
        <f t="shared" si="31"/>
        <v>1685.7832225913619</v>
      </c>
      <c r="O701" s="19">
        <f t="shared" si="32"/>
        <v>628</v>
      </c>
      <c r="P701" s="19" t="str">
        <v>Low</v>
      </c>
    </row>
    <row r="702" spans="1:16" x14ac:dyDescent="0.3">
      <c r="A702" s="2" t="s">
        <v>1587</v>
      </c>
      <c r="B702" s="2" t="s">
        <v>501</v>
      </c>
      <c r="C702" s="19" t="s">
        <v>655</v>
      </c>
      <c r="D702" s="19" t="s">
        <v>15</v>
      </c>
      <c r="E702" s="19" t="s">
        <v>16</v>
      </c>
      <c r="F702" s="19" t="s">
        <v>25</v>
      </c>
      <c r="G702" s="19" t="s">
        <v>40</v>
      </c>
      <c r="H702" s="19" t="s">
        <v>33</v>
      </c>
      <c r="I702" s="19">
        <v>1</v>
      </c>
      <c r="J702" s="19">
        <v>3595</v>
      </c>
      <c r="K702" s="19">
        <v>17</v>
      </c>
      <c r="L702" s="19">
        <v>2983.85</v>
      </c>
      <c r="M702" s="19">
        <f t="shared" si="30"/>
        <v>504428.24999999994</v>
      </c>
      <c r="N702" s="20">
        <f t="shared" si="31"/>
        <v>1681.4274999999998</v>
      </c>
      <c r="O702" s="19">
        <f t="shared" si="32"/>
        <v>623</v>
      </c>
      <c r="P702" s="19" t="str">
        <v>Low</v>
      </c>
    </row>
    <row r="703" spans="1:16" x14ac:dyDescent="0.3">
      <c r="A703" s="2" t="s">
        <v>476</v>
      </c>
      <c r="B703" s="2" t="s">
        <v>171</v>
      </c>
      <c r="C703" s="19" t="s">
        <v>477</v>
      </c>
      <c r="D703" s="19" t="s">
        <v>53</v>
      </c>
      <c r="E703" s="19" t="s">
        <v>68</v>
      </c>
      <c r="F703" s="19" t="s">
        <v>17</v>
      </c>
      <c r="G703" s="19" t="s">
        <v>18</v>
      </c>
      <c r="H703" s="19" t="s">
        <v>19</v>
      </c>
      <c r="I703" s="19">
        <v>1</v>
      </c>
      <c r="J703" s="19">
        <v>4242</v>
      </c>
      <c r="K703" s="19">
        <v>30</v>
      </c>
      <c r="L703" s="19">
        <v>2969.4</v>
      </c>
      <c r="M703" s="19">
        <f t="shared" si="30"/>
        <v>501444.4</v>
      </c>
      <c r="N703" s="20">
        <f t="shared" si="31"/>
        <v>1677.0715719063546</v>
      </c>
      <c r="O703" s="19">
        <f t="shared" si="32"/>
        <v>622</v>
      </c>
      <c r="P703" s="19" t="str">
        <v>Low</v>
      </c>
    </row>
    <row r="704" spans="1:16" x14ac:dyDescent="0.3">
      <c r="A704" s="2" t="s">
        <v>422</v>
      </c>
      <c r="B704" s="2" t="s">
        <v>96</v>
      </c>
      <c r="C704" s="19" t="s">
        <v>423</v>
      </c>
      <c r="D704" s="19" t="s">
        <v>88</v>
      </c>
      <c r="E704" s="19" t="s">
        <v>58</v>
      </c>
      <c r="F704" s="19" t="s">
        <v>40</v>
      </c>
      <c r="G704" s="19" t="s">
        <v>18</v>
      </c>
      <c r="H704" s="19" t="s">
        <v>33</v>
      </c>
      <c r="I704" s="19">
        <v>2</v>
      </c>
      <c r="J704" s="19">
        <v>1712</v>
      </c>
      <c r="K704" s="19">
        <v>14</v>
      </c>
      <c r="L704" s="19">
        <v>2944.64</v>
      </c>
      <c r="M704" s="19">
        <f t="shared" si="30"/>
        <v>498475</v>
      </c>
      <c r="N704" s="20">
        <f t="shared" si="31"/>
        <v>1672.734899328859</v>
      </c>
      <c r="O704" s="19">
        <f t="shared" si="32"/>
        <v>621</v>
      </c>
      <c r="P704" s="19" t="str">
        <v>Low</v>
      </c>
    </row>
    <row r="705" spans="1:16" x14ac:dyDescent="0.3">
      <c r="A705" s="2" t="s">
        <v>497</v>
      </c>
      <c r="B705" s="2" t="s">
        <v>498</v>
      </c>
      <c r="C705" s="19" t="s">
        <v>499</v>
      </c>
      <c r="D705" s="19" t="s">
        <v>30</v>
      </c>
      <c r="E705" s="19" t="s">
        <v>79</v>
      </c>
      <c r="F705" s="19" t="s">
        <v>40</v>
      </c>
      <c r="G705" s="19" t="s">
        <v>18</v>
      </c>
      <c r="H705" s="19" t="s">
        <v>44</v>
      </c>
      <c r="I705" s="19">
        <v>1</v>
      </c>
      <c r="J705" s="19">
        <v>3948</v>
      </c>
      <c r="K705" s="19">
        <v>26</v>
      </c>
      <c r="L705" s="19">
        <v>2921.52</v>
      </c>
      <c r="M705" s="19">
        <f t="shared" si="30"/>
        <v>495530.36000000004</v>
      </c>
      <c r="N705" s="20">
        <f t="shared" si="31"/>
        <v>1668.4523905723906</v>
      </c>
      <c r="O705" s="19">
        <f t="shared" si="32"/>
        <v>619</v>
      </c>
      <c r="P705" s="19" t="str">
        <v>Low</v>
      </c>
    </row>
    <row r="706" spans="1:16" x14ac:dyDescent="0.3">
      <c r="A706" s="2" t="s">
        <v>740</v>
      </c>
      <c r="B706" s="2" t="s">
        <v>498</v>
      </c>
      <c r="C706" s="19" t="s">
        <v>288</v>
      </c>
      <c r="D706" s="19" t="s">
        <v>23</v>
      </c>
      <c r="E706" s="19" t="s">
        <v>24</v>
      </c>
      <c r="F706" s="19" t="s">
        <v>49</v>
      </c>
      <c r="G706" s="19" t="s">
        <v>40</v>
      </c>
      <c r="H706" s="19" t="s">
        <v>19</v>
      </c>
      <c r="I706" s="19">
        <v>4</v>
      </c>
      <c r="J706" s="19">
        <v>1043</v>
      </c>
      <c r="K706" s="19">
        <v>30</v>
      </c>
      <c r="L706" s="19">
        <v>2920.4</v>
      </c>
      <c r="M706" s="19">
        <f t="shared" ref="M706:M769" si="33">SUM(L706:L1705)</f>
        <v>492608.84</v>
      </c>
      <c r="N706" s="20">
        <f t="shared" ref="N706:N769" si="34">AVERAGE(L706:L1705)</f>
        <v>1664.2190540540541</v>
      </c>
      <c r="O706" s="19">
        <f t="shared" ref="O706:O769" si="35">SUM(I706:I1705)</f>
        <v>618</v>
      </c>
      <c r="P706" s="19" t="str">
        <v>Low</v>
      </c>
    </row>
    <row r="707" spans="1:16" x14ac:dyDescent="0.3">
      <c r="A707" s="2" t="s">
        <v>1011</v>
      </c>
      <c r="B707" s="2" t="s">
        <v>498</v>
      </c>
      <c r="C707" s="19" t="s">
        <v>331</v>
      </c>
      <c r="D707" s="19" t="s">
        <v>30</v>
      </c>
      <c r="E707" s="19" t="s">
        <v>48</v>
      </c>
      <c r="F707" s="19" t="s">
        <v>49</v>
      </c>
      <c r="G707" s="19" t="s">
        <v>40</v>
      </c>
      <c r="H707" s="19" t="s">
        <v>19</v>
      </c>
      <c r="I707" s="19">
        <v>5</v>
      </c>
      <c r="J707" s="19">
        <v>647</v>
      </c>
      <c r="K707" s="19">
        <v>10</v>
      </c>
      <c r="L707" s="19">
        <v>2911.5</v>
      </c>
      <c r="M707" s="19">
        <f t="shared" si="33"/>
        <v>489688.43999999994</v>
      </c>
      <c r="N707" s="20">
        <f t="shared" si="34"/>
        <v>1659.9608135593219</v>
      </c>
      <c r="O707" s="19">
        <f t="shared" si="35"/>
        <v>614</v>
      </c>
      <c r="P707" s="19" t="str">
        <v>Low</v>
      </c>
    </row>
    <row r="708" spans="1:16" x14ac:dyDescent="0.3">
      <c r="A708" s="2" t="s">
        <v>1427</v>
      </c>
      <c r="B708" s="2" t="s">
        <v>263</v>
      </c>
      <c r="C708" s="19" t="s">
        <v>253</v>
      </c>
      <c r="D708" s="19" t="s">
        <v>30</v>
      </c>
      <c r="E708" s="19" t="s">
        <v>68</v>
      </c>
      <c r="F708" s="19" t="s">
        <v>25</v>
      </c>
      <c r="G708" s="19" t="s">
        <v>26</v>
      </c>
      <c r="H708" s="19" t="s">
        <v>19</v>
      </c>
      <c r="I708" s="19">
        <v>4</v>
      </c>
      <c r="J708" s="19">
        <v>876</v>
      </c>
      <c r="K708" s="19">
        <v>17</v>
      </c>
      <c r="L708" s="19">
        <v>2908.32</v>
      </c>
      <c r="M708" s="19">
        <f t="shared" si="33"/>
        <v>486776.94</v>
      </c>
      <c r="N708" s="20">
        <f t="shared" si="34"/>
        <v>1655.7038775510205</v>
      </c>
      <c r="O708" s="19">
        <f t="shared" si="35"/>
        <v>609</v>
      </c>
      <c r="P708" s="19" t="str">
        <v>Low</v>
      </c>
    </row>
    <row r="709" spans="1:16" x14ac:dyDescent="0.3">
      <c r="A709" s="2" t="s">
        <v>1036</v>
      </c>
      <c r="B709" s="2" t="s">
        <v>498</v>
      </c>
      <c r="C709" s="19" t="s">
        <v>655</v>
      </c>
      <c r="D709" s="19" t="s">
        <v>53</v>
      </c>
      <c r="E709" s="19" t="s">
        <v>58</v>
      </c>
      <c r="F709" s="19" t="s">
        <v>25</v>
      </c>
      <c r="G709" s="19" t="s">
        <v>18</v>
      </c>
      <c r="H709" s="19" t="s">
        <v>75</v>
      </c>
      <c r="I709" s="19">
        <v>4</v>
      </c>
      <c r="J709" s="19">
        <v>857</v>
      </c>
      <c r="K709" s="19">
        <v>16</v>
      </c>
      <c r="L709" s="19">
        <v>2879.52</v>
      </c>
      <c r="M709" s="19">
        <f t="shared" si="33"/>
        <v>483868.61999999994</v>
      </c>
      <c r="N709" s="20">
        <f t="shared" si="34"/>
        <v>1651.428737201365</v>
      </c>
      <c r="O709" s="19">
        <f t="shared" si="35"/>
        <v>605</v>
      </c>
      <c r="P709" s="19" t="str">
        <v>Low</v>
      </c>
    </row>
    <row r="710" spans="1:16" x14ac:dyDescent="0.3">
      <c r="A710" s="2" t="s">
        <v>559</v>
      </c>
      <c r="B710" s="2" t="s">
        <v>304</v>
      </c>
      <c r="C710" s="19" t="s">
        <v>235</v>
      </c>
      <c r="D710" s="19" t="s">
        <v>15</v>
      </c>
      <c r="E710" s="19" t="s">
        <v>79</v>
      </c>
      <c r="F710" s="19" t="s">
        <v>17</v>
      </c>
      <c r="G710" s="19" t="s">
        <v>40</v>
      </c>
      <c r="H710" s="19" t="s">
        <v>33</v>
      </c>
      <c r="I710" s="19">
        <v>1</v>
      </c>
      <c r="J710" s="19">
        <v>3505</v>
      </c>
      <c r="K710" s="19">
        <v>18</v>
      </c>
      <c r="L710" s="19">
        <v>2874.1</v>
      </c>
      <c r="M710" s="19">
        <f t="shared" si="33"/>
        <v>480989.09999999992</v>
      </c>
      <c r="N710" s="20">
        <f t="shared" si="34"/>
        <v>1647.2229452054792</v>
      </c>
      <c r="O710" s="19">
        <f t="shared" si="35"/>
        <v>601</v>
      </c>
      <c r="P710" s="19" t="str">
        <v>Low</v>
      </c>
    </row>
    <row r="711" spans="1:16" x14ac:dyDescent="0.3">
      <c r="A711" s="2" t="s">
        <v>1291</v>
      </c>
      <c r="B711" s="2" t="s">
        <v>949</v>
      </c>
      <c r="C711" s="19" t="s">
        <v>977</v>
      </c>
      <c r="D711" s="19" t="s">
        <v>23</v>
      </c>
      <c r="E711" s="19" t="s">
        <v>24</v>
      </c>
      <c r="F711" s="19" t="s">
        <v>32</v>
      </c>
      <c r="G711" s="19" t="s">
        <v>62</v>
      </c>
      <c r="H711" s="19" t="s">
        <v>19</v>
      </c>
      <c r="I711" s="19">
        <v>3</v>
      </c>
      <c r="J711" s="19">
        <v>1111</v>
      </c>
      <c r="K711" s="19">
        <v>14</v>
      </c>
      <c r="L711" s="19">
        <v>2866.38</v>
      </c>
      <c r="M711" s="19">
        <f t="shared" si="33"/>
        <v>478114.99999999988</v>
      </c>
      <c r="N711" s="20">
        <f t="shared" si="34"/>
        <v>1643.0068728522333</v>
      </c>
      <c r="O711" s="19">
        <f t="shared" si="35"/>
        <v>600</v>
      </c>
      <c r="P711" s="19" t="str">
        <v>Low</v>
      </c>
    </row>
    <row r="712" spans="1:16" x14ac:dyDescent="0.3">
      <c r="A712" s="2" t="s">
        <v>1575</v>
      </c>
      <c r="B712" s="2" t="s">
        <v>1025</v>
      </c>
      <c r="C712" s="19" t="s">
        <v>367</v>
      </c>
      <c r="D712" s="19" t="s">
        <v>15</v>
      </c>
      <c r="E712" s="19" t="s">
        <v>68</v>
      </c>
      <c r="F712" s="19" t="s">
        <v>25</v>
      </c>
      <c r="G712" s="19" t="s">
        <v>62</v>
      </c>
      <c r="H712" s="19" t="s">
        <v>33</v>
      </c>
      <c r="I712" s="19">
        <v>1</v>
      </c>
      <c r="J712" s="19">
        <v>2969</v>
      </c>
      <c r="K712" s="19">
        <v>4</v>
      </c>
      <c r="L712" s="19">
        <v>2850.24</v>
      </c>
      <c r="M712" s="19">
        <f t="shared" si="33"/>
        <v>475248.61999999988</v>
      </c>
      <c r="N712" s="20">
        <f t="shared" si="34"/>
        <v>1638.7883448275859</v>
      </c>
      <c r="O712" s="19">
        <f t="shared" si="35"/>
        <v>597</v>
      </c>
      <c r="P712" s="19" t="str">
        <v>Low</v>
      </c>
    </row>
    <row r="713" spans="1:16" x14ac:dyDescent="0.3">
      <c r="A713" s="2" t="s">
        <v>503</v>
      </c>
      <c r="B713" s="2" t="s">
        <v>504</v>
      </c>
      <c r="C713" s="19" t="s">
        <v>505</v>
      </c>
      <c r="D713" s="19" t="s">
        <v>23</v>
      </c>
      <c r="E713" s="19" t="s">
        <v>68</v>
      </c>
      <c r="F713" s="19" t="s">
        <v>49</v>
      </c>
      <c r="G713" s="19" t="s">
        <v>26</v>
      </c>
      <c r="H713" s="19" t="s">
        <v>19</v>
      </c>
      <c r="I713" s="19">
        <v>5</v>
      </c>
      <c r="J713" s="19">
        <v>739</v>
      </c>
      <c r="K713" s="19">
        <v>23</v>
      </c>
      <c r="L713" s="19">
        <v>2845.15</v>
      </c>
      <c r="M713" s="19">
        <f t="shared" si="33"/>
        <v>472398.37999999989</v>
      </c>
      <c r="N713" s="20">
        <f t="shared" si="34"/>
        <v>1634.596470588235</v>
      </c>
      <c r="O713" s="19">
        <f t="shared" si="35"/>
        <v>596</v>
      </c>
      <c r="P713" s="19" t="str">
        <v>Low</v>
      </c>
    </row>
    <row r="714" spans="1:16" x14ac:dyDescent="0.3">
      <c r="A714" s="2" t="s">
        <v>140</v>
      </c>
      <c r="B714" s="2" t="s">
        <v>141</v>
      </c>
      <c r="C714" s="19" t="s">
        <v>142</v>
      </c>
      <c r="D714" s="19" t="s">
        <v>23</v>
      </c>
      <c r="E714" s="19" t="s">
        <v>58</v>
      </c>
      <c r="F714" s="19" t="s">
        <v>49</v>
      </c>
      <c r="G714" s="19" t="s">
        <v>62</v>
      </c>
      <c r="H714" s="19" t="s">
        <v>44</v>
      </c>
      <c r="I714" s="19">
        <v>2</v>
      </c>
      <c r="J714" s="19">
        <v>1542</v>
      </c>
      <c r="K714" s="19">
        <v>8</v>
      </c>
      <c r="L714" s="19">
        <v>2837.28</v>
      </c>
      <c r="M714" s="19">
        <f t="shared" si="33"/>
        <v>469553.22999999986</v>
      </c>
      <c r="N714" s="20">
        <f t="shared" si="34"/>
        <v>1630.3931597222218</v>
      </c>
      <c r="O714" s="19">
        <f t="shared" si="35"/>
        <v>591</v>
      </c>
      <c r="P714" s="19" t="str">
        <v>Low</v>
      </c>
    </row>
    <row r="715" spans="1:16" x14ac:dyDescent="0.3">
      <c r="A715" s="2" t="s">
        <v>1466</v>
      </c>
      <c r="B715" s="2" t="s">
        <v>991</v>
      </c>
      <c r="C715" s="19" t="s">
        <v>794</v>
      </c>
      <c r="D715" s="19" t="s">
        <v>30</v>
      </c>
      <c r="E715" s="19" t="s">
        <v>68</v>
      </c>
      <c r="F715" s="19" t="s">
        <v>25</v>
      </c>
      <c r="G715" s="19" t="s">
        <v>40</v>
      </c>
      <c r="H715" s="19" t="s">
        <v>75</v>
      </c>
      <c r="I715" s="19">
        <v>1</v>
      </c>
      <c r="J715" s="19">
        <v>2895</v>
      </c>
      <c r="K715" s="19">
        <v>2</v>
      </c>
      <c r="L715" s="19">
        <v>2837.1</v>
      </c>
      <c r="M715" s="19">
        <f t="shared" si="33"/>
        <v>466715.94999999984</v>
      </c>
      <c r="N715" s="20">
        <f t="shared" si="34"/>
        <v>1626.1879790940761</v>
      </c>
      <c r="O715" s="19">
        <f t="shared" si="35"/>
        <v>589</v>
      </c>
      <c r="P715" s="19" t="str">
        <v>Low</v>
      </c>
    </row>
    <row r="716" spans="1:16" x14ac:dyDescent="0.3">
      <c r="A716" s="2" t="s">
        <v>103</v>
      </c>
      <c r="B716" s="2" t="s">
        <v>104</v>
      </c>
      <c r="C716" s="19" t="s">
        <v>105</v>
      </c>
      <c r="D716" s="19" t="s">
        <v>88</v>
      </c>
      <c r="E716" s="19" t="s">
        <v>24</v>
      </c>
      <c r="F716" s="19" t="s">
        <v>25</v>
      </c>
      <c r="G716" s="19" t="s">
        <v>26</v>
      </c>
      <c r="H716" s="19" t="s">
        <v>33</v>
      </c>
      <c r="I716" s="19">
        <v>2</v>
      </c>
      <c r="J716" s="19">
        <v>1569</v>
      </c>
      <c r="K716" s="19">
        <v>10</v>
      </c>
      <c r="L716" s="19">
        <v>2824.2</v>
      </c>
      <c r="M716" s="19">
        <f t="shared" si="33"/>
        <v>463878.84999999986</v>
      </c>
      <c r="N716" s="20">
        <f t="shared" si="34"/>
        <v>1621.9540209790205</v>
      </c>
      <c r="O716" s="19">
        <f t="shared" si="35"/>
        <v>588</v>
      </c>
      <c r="P716" s="19" t="str">
        <v>Low</v>
      </c>
    </row>
    <row r="717" spans="1:16" x14ac:dyDescent="0.3">
      <c r="A717" s="2" t="s">
        <v>1520</v>
      </c>
      <c r="B717" s="2" t="s">
        <v>1425</v>
      </c>
      <c r="C717" s="19" t="s">
        <v>461</v>
      </c>
      <c r="D717" s="19" t="s">
        <v>88</v>
      </c>
      <c r="E717" s="19" t="s">
        <v>16</v>
      </c>
      <c r="F717" s="19" t="s">
        <v>40</v>
      </c>
      <c r="G717" s="19" t="s">
        <v>54</v>
      </c>
      <c r="H717" s="19" t="s">
        <v>33</v>
      </c>
      <c r="I717" s="19">
        <v>1</v>
      </c>
      <c r="J717" s="19">
        <v>3180</v>
      </c>
      <c r="K717" s="19">
        <v>12</v>
      </c>
      <c r="L717" s="19">
        <v>2798.4</v>
      </c>
      <c r="M717" s="19">
        <f t="shared" si="33"/>
        <v>461054.64999999985</v>
      </c>
      <c r="N717" s="20">
        <f t="shared" si="34"/>
        <v>1617.7356140350871</v>
      </c>
      <c r="O717" s="19">
        <f t="shared" si="35"/>
        <v>586</v>
      </c>
      <c r="P717" s="19" t="str">
        <v>Low</v>
      </c>
    </row>
    <row r="718" spans="1:16" x14ac:dyDescent="0.3">
      <c r="A718" s="2" t="s">
        <v>1269</v>
      </c>
      <c r="B718" s="2" t="s">
        <v>1270</v>
      </c>
      <c r="C718" s="19" t="s">
        <v>211</v>
      </c>
      <c r="D718" s="19" t="s">
        <v>53</v>
      </c>
      <c r="E718" s="19" t="s">
        <v>58</v>
      </c>
      <c r="F718" s="19" t="s">
        <v>32</v>
      </c>
      <c r="G718" s="19" t="s">
        <v>18</v>
      </c>
      <c r="H718" s="19" t="s">
        <v>75</v>
      </c>
      <c r="I718" s="19">
        <v>1</v>
      </c>
      <c r="J718" s="19">
        <v>3629</v>
      </c>
      <c r="K718" s="19">
        <v>23</v>
      </c>
      <c r="L718" s="19">
        <v>2794.33</v>
      </c>
      <c r="M718" s="19">
        <f t="shared" si="33"/>
        <v>458256.24999999988</v>
      </c>
      <c r="N718" s="20">
        <f t="shared" si="34"/>
        <v>1613.5783450704221</v>
      </c>
      <c r="O718" s="19">
        <f t="shared" si="35"/>
        <v>585</v>
      </c>
      <c r="P718" s="19" t="str">
        <v>Low</v>
      </c>
    </row>
    <row r="719" spans="1:16" x14ac:dyDescent="0.3">
      <c r="A719" s="2" t="s">
        <v>638</v>
      </c>
      <c r="B719" s="2" t="s">
        <v>514</v>
      </c>
      <c r="C719" s="19" t="s">
        <v>111</v>
      </c>
      <c r="D719" s="19" t="s">
        <v>88</v>
      </c>
      <c r="E719" s="19" t="s">
        <v>58</v>
      </c>
      <c r="F719" s="19" t="s">
        <v>17</v>
      </c>
      <c r="G719" s="19" t="s">
        <v>62</v>
      </c>
      <c r="H719" s="19" t="s">
        <v>19</v>
      </c>
      <c r="I719" s="19">
        <v>2</v>
      </c>
      <c r="J719" s="19">
        <v>1744</v>
      </c>
      <c r="K719" s="19">
        <v>20</v>
      </c>
      <c r="L719" s="19">
        <v>2790.4</v>
      </c>
      <c r="M719" s="19">
        <f t="shared" si="33"/>
        <v>455461.91999999993</v>
      </c>
      <c r="N719" s="20">
        <f t="shared" si="34"/>
        <v>1609.4060777385157</v>
      </c>
      <c r="O719" s="19">
        <f t="shared" si="35"/>
        <v>584</v>
      </c>
      <c r="P719" s="19" t="str">
        <v>Low</v>
      </c>
    </row>
    <row r="720" spans="1:16" x14ac:dyDescent="0.3">
      <c r="A720" s="2" t="s">
        <v>1366</v>
      </c>
      <c r="B720" s="2" t="s">
        <v>1109</v>
      </c>
      <c r="C720" s="19" t="s">
        <v>499</v>
      </c>
      <c r="D720" s="19" t="s">
        <v>23</v>
      </c>
      <c r="E720" s="19" t="s">
        <v>79</v>
      </c>
      <c r="F720" s="19" t="s">
        <v>25</v>
      </c>
      <c r="G720" s="19" t="s">
        <v>26</v>
      </c>
      <c r="H720" s="19" t="s">
        <v>75</v>
      </c>
      <c r="I720" s="19">
        <v>4</v>
      </c>
      <c r="J720" s="19">
        <v>850</v>
      </c>
      <c r="K720" s="19">
        <v>18</v>
      </c>
      <c r="L720" s="19">
        <v>2788</v>
      </c>
      <c r="M720" s="19">
        <f t="shared" si="33"/>
        <v>452671.51999999996</v>
      </c>
      <c r="N720" s="20">
        <f t="shared" si="34"/>
        <v>1605.2181560283686</v>
      </c>
      <c r="O720" s="19">
        <f t="shared" si="35"/>
        <v>582</v>
      </c>
      <c r="P720" s="19" t="str">
        <v>Low</v>
      </c>
    </row>
    <row r="721" spans="1:16" x14ac:dyDescent="0.3">
      <c r="A721" s="2" t="s">
        <v>625</v>
      </c>
      <c r="B721" s="2" t="s">
        <v>435</v>
      </c>
      <c r="C721" s="19" t="s">
        <v>626</v>
      </c>
      <c r="D721" s="19" t="s">
        <v>15</v>
      </c>
      <c r="E721" s="19" t="s">
        <v>58</v>
      </c>
      <c r="F721" s="19" t="s">
        <v>40</v>
      </c>
      <c r="G721" s="19" t="s">
        <v>26</v>
      </c>
      <c r="H721" s="19" t="s">
        <v>75</v>
      </c>
      <c r="I721" s="19">
        <v>1</v>
      </c>
      <c r="J721" s="19">
        <v>3357</v>
      </c>
      <c r="K721" s="19">
        <v>17</v>
      </c>
      <c r="L721" s="19">
        <v>2786.31</v>
      </c>
      <c r="M721" s="19">
        <f t="shared" si="33"/>
        <v>449883.52</v>
      </c>
      <c r="N721" s="20">
        <f t="shared" si="34"/>
        <v>1601.0089679715304</v>
      </c>
      <c r="O721" s="19">
        <f t="shared" si="35"/>
        <v>578</v>
      </c>
      <c r="P721" s="19" t="str">
        <v>Low</v>
      </c>
    </row>
    <row r="722" spans="1:16" x14ac:dyDescent="0.3">
      <c r="A722" s="2" t="s">
        <v>1058</v>
      </c>
      <c r="B722" s="2" t="s">
        <v>227</v>
      </c>
      <c r="C722" s="19" t="s">
        <v>619</v>
      </c>
      <c r="D722" s="19" t="s">
        <v>88</v>
      </c>
      <c r="E722" s="19" t="s">
        <v>16</v>
      </c>
      <c r="F722" s="19" t="s">
        <v>32</v>
      </c>
      <c r="G722" s="19" t="s">
        <v>40</v>
      </c>
      <c r="H722" s="19" t="s">
        <v>44</v>
      </c>
      <c r="I722" s="19">
        <v>3</v>
      </c>
      <c r="J722" s="19">
        <v>1067</v>
      </c>
      <c r="K722" s="19">
        <v>13</v>
      </c>
      <c r="L722" s="19">
        <v>2784.87</v>
      </c>
      <c r="M722" s="19">
        <f t="shared" si="33"/>
        <v>447097.21</v>
      </c>
      <c r="N722" s="20">
        <f t="shared" si="34"/>
        <v>1596.77575</v>
      </c>
      <c r="O722" s="19">
        <f t="shared" si="35"/>
        <v>577</v>
      </c>
      <c r="P722" s="19" t="str">
        <v>Low</v>
      </c>
    </row>
    <row r="723" spans="1:16" x14ac:dyDescent="0.3">
      <c r="A723" s="2" t="s">
        <v>1384</v>
      </c>
      <c r="B723" s="2" t="s">
        <v>1025</v>
      </c>
      <c r="C723" s="19" t="s">
        <v>276</v>
      </c>
      <c r="D723" s="19" t="s">
        <v>15</v>
      </c>
      <c r="E723" s="19" t="s">
        <v>58</v>
      </c>
      <c r="F723" s="19" t="s">
        <v>40</v>
      </c>
      <c r="G723" s="19" t="s">
        <v>18</v>
      </c>
      <c r="H723" s="19" t="s">
        <v>33</v>
      </c>
      <c r="I723" s="19">
        <v>2</v>
      </c>
      <c r="J723" s="19">
        <v>1529</v>
      </c>
      <c r="K723" s="19">
        <v>9</v>
      </c>
      <c r="L723" s="19">
        <v>2782.78</v>
      </c>
      <c r="M723" s="19">
        <f t="shared" si="33"/>
        <v>444312.34</v>
      </c>
      <c r="N723" s="20">
        <f t="shared" si="34"/>
        <v>1592.517347670251</v>
      </c>
      <c r="O723" s="19">
        <f t="shared" si="35"/>
        <v>574</v>
      </c>
      <c r="P723" s="19" t="str">
        <v>Low</v>
      </c>
    </row>
    <row r="724" spans="1:16" x14ac:dyDescent="0.3">
      <c r="A724" s="2" t="s">
        <v>1429</v>
      </c>
      <c r="B724" s="2" t="s">
        <v>991</v>
      </c>
      <c r="C724" s="19" t="s">
        <v>413</v>
      </c>
      <c r="D724" s="19" t="s">
        <v>23</v>
      </c>
      <c r="E724" s="19" t="s">
        <v>48</v>
      </c>
      <c r="F724" s="19" t="s">
        <v>25</v>
      </c>
      <c r="G724" s="19" t="s">
        <v>62</v>
      </c>
      <c r="H724" s="19" t="s">
        <v>19</v>
      </c>
      <c r="I724" s="19">
        <v>1</v>
      </c>
      <c r="J724" s="19">
        <v>3968</v>
      </c>
      <c r="K724" s="19">
        <v>30</v>
      </c>
      <c r="L724" s="19">
        <v>2777.6</v>
      </c>
      <c r="M724" s="19">
        <f t="shared" si="33"/>
        <v>441529.56</v>
      </c>
      <c r="N724" s="20">
        <f t="shared" si="34"/>
        <v>1588.2358273381294</v>
      </c>
      <c r="O724" s="19">
        <f t="shared" si="35"/>
        <v>572</v>
      </c>
      <c r="P724" s="19" t="str">
        <v>Low</v>
      </c>
    </row>
    <row r="725" spans="1:16" x14ac:dyDescent="0.3">
      <c r="A725" s="2" t="s">
        <v>1275</v>
      </c>
      <c r="B725" s="2" t="s">
        <v>372</v>
      </c>
      <c r="C725" s="19" t="s">
        <v>1276</v>
      </c>
      <c r="D725" s="19" t="s">
        <v>53</v>
      </c>
      <c r="E725" s="19" t="s">
        <v>79</v>
      </c>
      <c r="F725" s="19" t="s">
        <v>32</v>
      </c>
      <c r="G725" s="19" t="s">
        <v>40</v>
      </c>
      <c r="H725" s="19" t="s">
        <v>19</v>
      </c>
      <c r="I725" s="19">
        <v>3</v>
      </c>
      <c r="J725" s="19">
        <v>1027</v>
      </c>
      <c r="K725" s="19">
        <v>10</v>
      </c>
      <c r="L725" s="19">
        <v>2772.9</v>
      </c>
      <c r="M725" s="19">
        <f t="shared" si="33"/>
        <v>438751.95999999996</v>
      </c>
      <c r="N725" s="20">
        <f t="shared" si="34"/>
        <v>1583.9420938628157</v>
      </c>
      <c r="O725" s="19">
        <f t="shared" si="35"/>
        <v>571</v>
      </c>
      <c r="P725" s="19" t="str">
        <v>Low</v>
      </c>
    </row>
    <row r="726" spans="1:16" x14ac:dyDescent="0.3">
      <c r="A726" s="2" t="s">
        <v>50</v>
      </c>
      <c r="B726" s="2" t="s">
        <v>51</v>
      </c>
      <c r="C726" s="19" t="s">
        <v>52</v>
      </c>
      <c r="D726" s="19" t="s">
        <v>53</v>
      </c>
      <c r="E726" s="19" t="s">
        <v>48</v>
      </c>
      <c r="F726" s="19" t="s">
        <v>40</v>
      </c>
      <c r="G726" s="19" t="s">
        <v>54</v>
      </c>
      <c r="H726" s="19" t="s">
        <v>19</v>
      </c>
      <c r="I726" s="19">
        <v>1</v>
      </c>
      <c r="J726" s="19">
        <v>2884</v>
      </c>
      <c r="K726" s="19">
        <v>4</v>
      </c>
      <c r="L726" s="19">
        <v>2768.64</v>
      </c>
      <c r="M726" s="19">
        <f t="shared" si="33"/>
        <v>435979.06</v>
      </c>
      <c r="N726" s="20">
        <f t="shared" si="34"/>
        <v>1579.6342753623189</v>
      </c>
      <c r="O726" s="19">
        <f t="shared" si="35"/>
        <v>568</v>
      </c>
      <c r="P726" s="19" t="str">
        <v>Low</v>
      </c>
    </row>
    <row r="727" spans="1:16" x14ac:dyDescent="0.3">
      <c r="A727" s="2" t="s">
        <v>1281</v>
      </c>
      <c r="B727" s="2" t="s">
        <v>443</v>
      </c>
      <c r="C727" s="19" t="s">
        <v>705</v>
      </c>
      <c r="D727" s="19" t="s">
        <v>23</v>
      </c>
      <c r="E727" s="19" t="s">
        <v>16</v>
      </c>
      <c r="F727" s="19" t="s">
        <v>25</v>
      </c>
      <c r="G727" s="19" t="s">
        <v>26</v>
      </c>
      <c r="H727" s="19" t="s">
        <v>19</v>
      </c>
      <c r="I727" s="19">
        <v>2</v>
      </c>
      <c r="J727" s="19">
        <v>1613</v>
      </c>
      <c r="K727" s="19">
        <v>15</v>
      </c>
      <c r="L727" s="19">
        <v>2742.1</v>
      </c>
      <c r="M727" s="19">
        <f t="shared" si="33"/>
        <v>433210.42</v>
      </c>
      <c r="N727" s="20">
        <f t="shared" si="34"/>
        <v>1575.3106181818182</v>
      </c>
      <c r="O727" s="19">
        <f t="shared" si="35"/>
        <v>567</v>
      </c>
      <c r="P727" s="19" t="str">
        <v>Low</v>
      </c>
    </row>
    <row r="728" spans="1:16" x14ac:dyDescent="0.3">
      <c r="A728" s="2" t="s">
        <v>1609</v>
      </c>
      <c r="B728" s="2" t="s">
        <v>985</v>
      </c>
      <c r="C728" s="19" t="s">
        <v>253</v>
      </c>
      <c r="D728" s="19" t="s">
        <v>23</v>
      </c>
      <c r="E728" s="19" t="s">
        <v>58</v>
      </c>
      <c r="F728" s="19" t="s">
        <v>25</v>
      </c>
      <c r="G728" s="19" t="s">
        <v>26</v>
      </c>
      <c r="H728" s="19" t="s">
        <v>19</v>
      </c>
      <c r="I728" s="19">
        <v>1</v>
      </c>
      <c r="J728" s="19">
        <v>2980</v>
      </c>
      <c r="K728" s="19">
        <v>8</v>
      </c>
      <c r="L728" s="19">
        <v>2741.6</v>
      </c>
      <c r="M728" s="19">
        <f t="shared" si="33"/>
        <v>430468.32</v>
      </c>
      <c r="N728" s="20">
        <f t="shared" si="34"/>
        <v>1571.0522627737228</v>
      </c>
      <c r="O728" s="19">
        <f t="shared" si="35"/>
        <v>565</v>
      </c>
      <c r="P728" s="19" t="str">
        <v>Low</v>
      </c>
    </row>
    <row r="729" spans="1:16" x14ac:dyDescent="0.3">
      <c r="A729" s="2" t="s">
        <v>1244</v>
      </c>
      <c r="B729" s="2" t="s">
        <v>392</v>
      </c>
      <c r="C729" s="19" t="s">
        <v>145</v>
      </c>
      <c r="D729" s="19" t="s">
        <v>30</v>
      </c>
      <c r="E729" s="19" t="s">
        <v>24</v>
      </c>
      <c r="F729" s="19" t="s">
        <v>40</v>
      </c>
      <c r="G729" s="19" t="s">
        <v>18</v>
      </c>
      <c r="H729" s="19" t="s">
        <v>75</v>
      </c>
      <c r="I729" s="19">
        <v>4</v>
      </c>
      <c r="J729" s="19">
        <v>729</v>
      </c>
      <c r="K729" s="19">
        <v>6</v>
      </c>
      <c r="L729" s="19">
        <v>2741.04</v>
      </c>
      <c r="M729" s="19">
        <f t="shared" si="33"/>
        <v>427726.72000000003</v>
      </c>
      <c r="N729" s="20">
        <f t="shared" si="34"/>
        <v>1566.7645421245422</v>
      </c>
      <c r="O729" s="19">
        <f t="shared" si="35"/>
        <v>564</v>
      </c>
      <c r="P729" s="19" t="str">
        <v>Low</v>
      </c>
    </row>
    <row r="730" spans="1:16" x14ac:dyDescent="0.3">
      <c r="A730" s="2" t="s">
        <v>417</v>
      </c>
      <c r="B730" s="2" t="s">
        <v>418</v>
      </c>
      <c r="C730" s="19" t="s">
        <v>419</v>
      </c>
      <c r="D730" s="19" t="s">
        <v>30</v>
      </c>
      <c r="E730" s="19" t="s">
        <v>58</v>
      </c>
      <c r="F730" s="19" t="s">
        <v>17</v>
      </c>
      <c r="G730" s="19" t="s">
        <v>54</v>
      </c>
      <c r="H730" s="19" t="s">
        <v>33</v>
      </c>
      <c r="I730" s="19">
        <v>4</v>
      </c>
      <c r="J730" s="19">
        <v>761</v>
      </c>
      <c r="K730" s="19">
        <v>10</v>
      </c>
      <c r="L730" s="19">
        <v>2739.6</v>
      </c>
      <c r="M730" s="19">
        <f t="shared" si="33"/>
        <v>424985.68000000005</v>
      </c>
      <c r="N730" s="20">
        <f t="shared" si="34"/>
        <v>1562.4473529411766</v>
      </c>
      <c r="O730" s="19">
        <f t="shared" si="35"/>
        <v>560</v>
      </c>
      <c r="P730" s="19" t="str">
        <v>Low</v>
      </c>
    </row>
    <row r="731" spans="1:16" x14ac:dyDescent="0.3">
      <c r="A731" s="2" t="s">
        <v>462</v>
      </c>
      <c r="B731" s="2" t="s">
        <v>463</v>
      </c>
      <c r="C731" s="19" t="s">
        <v>407</v>
      </c>
      <c r="D731" s="19" t="s">
        <v>23</v>
      </c>
      <c r="E731" s="19" t="s">
        <v>24</v>
      </c>
      <c r="F731" s="19" t="s">
        <v>49</v>
      </c>
      <c r="G731" s="19" t="s">
        <v>40</v>
      </c>
      <c r="H731" s="19" t="s">
        <v>33</v>
      </c>
      <c r="I731" s="19">
        <v>2</v>
      </c>
      <c r="J731" s="19">
        <v>1610</v>
      </c>
      <c r="K731" s="19">
        <v>15</v>
      </c>
      <c r="L731" s="19">
        <v>2737</v>
      </c>
      <c r="M731" s="19">
        <f t="shared" si="33"/>
        <v>422246.08</v>
      </c>
      <c r="N731" s="20">
        <f t="shared" si="34"/>
        <v>1558.1036162361625</v>
      </c>
      <c r="O731" s="19">
        <f t="shared" si="35"/>
        <v>556</v>
      </c>
      <c r="P731" s="19" t="str">
        <v>Low</v>
      </c>
    </row>
    <row r="732" spans="1:16" x14ac:dyDescent="0.3">
      <c r="A732" s="2" t="s">
        <v>1591</v>
      </c>
      <c r="B732" s="2" t="s">
        <v>272</v>
      </c>
      <c r="C732" s="19" t="s">
        <v>771</v>
      </c>
      <c r="D732" s="19" t="s">
        <v>53</v>
      </c>
      <c r="E732" s="19" t="s">
        <v>16</v>
      </c>
      <c r="F732" s="19" t="s">
        <v>32</v>
      </c>
      <c r="G732" s="19" t="s">
        <v>26</v>
      </c>
      <c r="H732" s="19" t="s">
        <v>19</v>
      </c>
      <c r="I732" s="19">
        <v>4</v>
      </c>
      <c r="J732" s="19">
        <v>735</v>
      </c>
      <c r="K732" s="19">
        <v>7</v>
      </c>
      <c r="L732" s="19">
        <v>2734.2</v>
      </c>
      <c r="M732" s="19">
        <f t="shared" si="33"/>
        <v>419509.08</v>
      </c>
      <c r="N732" s="20">
        <f t="shared" si="34"/>
        <v>1553.7373333333335</v>
      </c>
      <c r="O732" s="19">
        <f t="shared" si="35"/>
        <v>554</v>
      </c>
      <c r="P732" s="19" t="str">
        <v>Low</v>
      </c>
    </row>
    <row r="733" spans="1:16" x14ac:dyDescent="0.3">
      <c r="A733" s="2" t="s">
        <v>881</v>
      </c>
      <c r="B733" s="2" t="s">
        <v>769</v>
      </c>
      <c r="C733" s="19" t="s">
        <v>882</v>
      </c>
      <c r="D733" s="19" t="s">
        <v>30</v>
      </c>
      <c r="E733" s="19" t="s">
        <v>24</v>
      </c>
      <c r="F733" s="19" t="s">
        <v>40</v>
      </c>
      <c r="G733" s="19" t="s">
        <v>62</v>
      </c>
      <c r="H733" s="19" t="s">
        <v>19</v>
      </c>
      <c r="I733" s="19">
        <v>1</v>
      </c>
      <c r="J733" s="19">
        <v>3130</v>
      </c>
      <c r="K733" s="19">
        <v>13</v>
      </c>
      <c r="L733" s="19">
        <v>2723.1</v>
      </c>
      <c r="M733" s="19">
        <f t="shared" si="33"/>
        <v>416774.88000000006</v>
      </c>
      <c r="N733" s="20">
        <f t="shared" si="34"/>
        <v>1549.3489962825281</v>
      </c>
      <c r="O733" s="19">
        <f t="shared" si="35"/>
        <v>550</v>
      </c>
      <c r="P733" s="19" t="str">
        <v>Low</v>
      </c>
    </row>
    <row r="734" spans="1:16" x14ac:dyDescent="0.3">
      <c r="A734" s="2" t="s">
        <v>1573</v>
      </c>
      <c r="B734" s="2" t="s">
        <v>458</v>
      </c>
      <c r="C734" s="19" t="s">
        <v>166</v>
      </c>
      <c r="D734" s="19" t="s">
        <v>15</v>
      </c>
      <c r="E734" s="19" t="s">
        <v>31</v>
      </c>
      <c r="F734" s="19" t="s">
        <v>32</v>
      </c>
      <c r="G734" s="19" t="s">
        <v>40</v>
      </c>
      <c r="H734" s="19" t="s">
        <v>44</v>
      </c>
      <c r="I734" s="19">
        <v>1</v>
      </c>
      <c r="J734" s="19">
        <v>3240</v>
      </c>
      <c r="K734" s="19">
        <v>16</v>
      </c>
      <c r="L734" s="19">
        <v>2721.6</v>
      </c>
      <c r="M734" s="19">
        <f t="shared" si="33"/>
        <v>414051.78</v>
      </c>
      <c r="N734" s="20">
        <f t="shared" si="34"/>
        <v>1544.9693283582092</v>
      </c>
      <c r="O734" s="19">
        <f t="shared" si="35"/>
        <v>549</v>
      </c>
      <c r="P734" s="19" t="str">
        <v>Low</v>
      </c>
    </row>
    <row r="735" spans="1:16" x14ac:dyDescent="0.3">
      <c r="A735" s="2" t="s">
        <v>1439</v>
      </c>
      <c r="B735" s="2" t="s">
        <v>958</v>
      </c>
      <c r="C735" s="19" t="s">
        <v>328</v>
      </c>
      <c r="D735" s="19" t="s">
        <v>53</v>
      </c>
      <c r="E735" s="19" t="s">
        <v>31</v>
      </c>
      <c r="F735" s="19" t="s">
        <v>49</v>
      </c>
      <c r="G735" s="19" t="s">
        <v>40</v>
      </c>
      <c r="H735" s="19" t="s">
        <v>75</v>
      </c>
      <c r="I735" s="19">
        <v>1</v>
      </c>
      <c r="J735" s="19">
        <v>3572</v>
      </c>
      <c r="K735" s="19">
        <v>24</v>
      </c>
      <c r="L735" s="19">
        <v>2714.72</v>
      </c>
      <c r="M735" s="19">
        <f t="shared" si="33"/>
        <v>411330.18000000005</v>
      </c>
      <c r="N735" s="20">
        <f t="shared" si="34"/>
        <v>1540.5624719101127</v>
      </c>
      <c r="O735" s="19">
        <f t="shared" si="35"/>
        <v>548</v>
      </c>
      <c r="P735" s="19" t="str">
        <v>Low</v>
      </c>
    </row>
    <row r="736" spans="1:16" x14ac:dyDescent="0.3">
      <c r="A736" s="2" t="s">
        <v>1403</v>
      </c>
      <c r="B736" s="2" t="s">
        <v>304</v>
      </c>
      <c r="C736" s="19" t="s">
        <v>1404</v>
      </c>
      <c r="D736" s="19" t="s">
        <v>88</v>
      </c>
      <c r="E736" s="19" t="s">
        <v>58</v>
      </c>
      <c r="F736" s="19" t="s">
        <v>49</v>
      </c>
      <c r="G736" s="19" t="s">
        <v>18</v>
      </c>
      <c r="H736" s="19" t="s">
        <v>75</v>
      </c>
      <c r="I736" s="19">
        <v>1</v>
      </c>
      <c r="J736" s="19">
        <v>2856</v>
      </c>
      <c r="K736" s="19">
        <v>5</v>
      </c>
      <c r="L736" s="19">
        <v>2713.2</v>
      </c>
      <c r="M736" s="19">
        <f t="shared" si="33"/>
        <v>408615.46</v>
      </c>
      <c r="N736" s="20">
        <f t="shared" si="34"/>
        <v>1536.1483458646617</v>
      </c>
      <c r="O736" s="19">
        <f t="shared" si="35"/>
        <v>547</v>
      </c>
      <c r="P736" s="19" t="str">
        <v>Low</v>
      </c>
    </row>
    <row r="737" spans="1:16" x14ac:dyDescent="0.3">
      <c r="A737" s="2" t="s">
        <v>786</v>
      </c>
      <c r="B737" s="2" t="s">
        <v>787</v>
      </c>
      <c r="C737" s="19" t="s">
        <v>186</v>
      </c>
      <c r="D737" s="19" t="s">
        <v>53</v>
      </c>
      <c r="E737" s="19" t="s">
        <v>16</v>
      </c>
      <c r="F737" s="19" t="s">
        <v>49</v>
      </c>
      <c r="G737" s="19" t="s">
        <v>54</v>
      </c>
      <c r="H737" s="19" t="s">
        <v>19</v>
      </c>
      <c r="I737" s="19">
        <v>3</v>
      </c>
      <c r="J737" s="19">
        <v>1199</v>
      </c>
      <c r="K737" s="19">
        <v>25</v>
      </c>
      <c r="L737" s="19">
        <v>2697.75</v>
      </c>
      <c r="M737" s="19">
        <f t="shared" si="33"/>
        <v>405902.26</v>
      </c>
      <c r="N737" s="20">
        <f t="shared" si="34"/>
        <v>1531.7066415094339</v>
      </c>
      <c r="O737" s="19">
        <f t="shared" si="35"/>
        <v>546</v>
      </c>
      <c r="P737" s="19" t="str">
        <v>Low</v>
      </c>
    </row>
    <row r="738" spans="1:16" x14ac:dyDescent="0.3">
      <c r="A738" s="2" t="s">
        <v>1389</v>
      </c>
      <c r="B738" s="2" t="s">
        <v>96</v>
      </c>
      <c r="C738" s="19" t="s">
        <v>436</v>
      </c>
      <c r="D738" s="19" t="s">
        <v>15</v>
      </c>
      <c r="E738" s="19" t="s">
        <v>79</v>
      </c>
      <c r="F738" s="19" t="s">
        <v>25</v>
      </c>
      <c r="G738" s="19" t="s">
        <v>26</v>
      </c>
      <c r="H738" s="19" t="s">
        <v>19</v>
      </c>
      <c r="I738" s="19">
        <v>4</v>
      </c>
      <c r="J738" s="19">
        <v>862</v>
      </c>
      <c r="K738" s="19">
        <v>22</v>
      </c>
      <c r="L738" s="19">
        <v>2689.44</v>
      </c>
      <c r="M738" s="19">
        <f t="shared" si="33"/>
        <v>403204.51</v>
      </c>
      <c r="N738" s="20">
        <f t="shared" si="34"/>
        <v>1527.2898106060607</v>
      </c>
      <c r="O738" s="19">
        <f t="shared" si="35"/>
        <v>543</v>
      </c>
      <c r="P738" s="19" t="str">
        <v>Low</v>
      </c>
    </row>
    <row r="739" spans="1:16" x14ac:dyDescent="0.3">
      <c r="A739" s="2" t="s">
        <v>733</v>
      </c>
      <c r="B739" s="2" t="s">
        <v>734</v>
      </c>
      <c r="C739" s="19" t="s">
        <v>641</v>
      </c>
      <c r="D739" s="19" t="s">
        <v>23</v>
      </c>
      <c r="E739" s="19" t="s">
        <v>79</v>
      </c>
      <c r="F739" s="19" t="s">
        <v>40</v>
      </c>
      <c r="G739" s="19" t="s">
        <v>62</v>
      </c>
      <c r="H739" s="19" t="s">
        <v>75</v>
      </c>
      <c r="I739" s="19">
        <v>1</v>
      </c>
      <c r="J739" s="19">
        <v>3123</v>
      </c>
      <c r="K739" s="19">
        <v>14</v>
      </c>
      <c r="L739" s="19">
        <v>2685.78</v>
      </c>
      <c r="M739" s="19">
        <f t="shared" si="33"/>
        <v>400515.07</v>
      </c>
      <c r="N739" s="20">
        <f t="shared" si="34"/>
        <v>1522.870988593156</v>
      </c>
      <c r="O739" s="19">
        <f t="shared" si="35"/>
        <v>539</v>
      </c>
      <c r="P739" s="19" t="str">
        <v>Low</v>
      </c>
    </row>
    <row r="740" spans="1:16" x14ac:dyDescent="0.3">
      <c r="A740" s="2" t="s">
        <v>1488</v>
      </c>
      <c r="B740" s="2" t="s">
        <v>1489</v>
      </c>
      <c r="C740" s="19" t="s">
        <v>1490</v>
      </c>
      <c r="D740" s="19" t="s">
        <v>23</v>
      </c>
      <c r="E740" s="19" t="s">
        <v>79</v>
      </c>
      <c r="F740" s="19" t="s">
        <v>17</v>
      </c>
      <c r="G740" s="19" t="s">
        <v>18</v>
      </c>
      <c r="H740" s="19" t="s">
        <v>44</v>
      </c>
      <c r="I740" s="19">
        <v>5</v>
      </c>
      <c r="J740" s="19">
        <v>625</v>
      </c>
      <c r="K740" s="19">
        <v>15</v>
      </c>
      <c r="L740" s="19">
        <v>2656.25</v>
      </c>
      <c r="M740" s="19">
        <f t="shared" si="33"/>
        <v>397829.28999999992</v>
      </c>
      <c r="N740" s="20">
        <f t="shared" si="34"/>
        <v>1518.4324045801525</v>
      </c>
      <c r="O740" s="19">
        <f t="shared" si="35"/>
        <v>538</v>
      </c>
      <c r="P740" s="19" t="str">
        <v>Low</v>
      </c>
    </row>
    <row r="741" spans="1:16" x14ac:dyDescent="0.3">
      <c r="A741" s="2" t="s">
        <v>1094</v>
      </c>
      <c r="B741" s="2" t="s">
        <v>70</v>
      </c>
      <c r="C741" s="19" t="s">
        <v>655</v>
      </c>
      <c r="D741" s="19" t="s">
        <v>53</v>
      </c>
      <c r="E741" s="19" t="s">
        <v>24</v>
      </c>
      <c r="F741" s="19" t="s">
        <v>25</v>
      </c>
      <c r="G741" s="19" t="s">
        <v>26</v>
      </c>
      <c r="H741" s="19" t="s">
        <v>75</v>
      </c>
      <c r="I741" s="19">
        <v>1</v>
      </c>
      <c r="J741" s="19">
        <v>2672</v>
      </c>
      <c r="K741" s="19">
        <v>1</v>
      </c>
      <c r="L741" s="19">
        <v>2645.28</v>
      </c>
      <c r="M741" s="19">
        <f t="shared" si="33"/>
        <v>395173.03999999992</v>
      </c>
      <c r="N741" s="20">
        <f t="shared" si="34"/>
        <v>1514.0729501915705</v>
      </c>
      <c r="O741" s="19">
        <f t="shared" si="35"/>
        <v>533</v>
      </c>
      <c r="P741" s="19" t="str">
        <v>Low</v>
      </c>
    </row>
    <row r="742" spans="1:16" x14ac:dyDescent="0.3">
      <c r="A742" s="2" t="s">
        <v>586</v>
      </c>
      <c r="B742" s="2" t="s">
        <v>202</v>
      </c>
      <c r="C742" s="19" t="s">
        <v>383</v>
      </c>
      <c r="D742" s="19" t="s">
        <v>88</v>
      </c>
      <c r="E742" s="19" t="s">
        <v>79</v>
      </c>
      <c r="F742" s="19" t="s">
        <v>25</v>
      </c>
      <c r="G742" s="19" t="s">
        <v>54</v>
      </c>
      <c r="H742" s="19" t="s">
        <v>19</v>
      </c>
      <c r="I742" s="19">
        <v>2</v>
      </c>
      <c r="J742" s="19">
        <v>1715</v>
      </c>
      <c r="K742" s="19">
        <v>23</v>
      </c>
      <c r="L742" s="19">
        <v>2641.1</v>
      </c>
      <c r="M742" s="19">
        <f t="shared" si="33"/>
        <v>392527.75999999995</v>
      </c>
      <c r="N742" s="20">
        <f t="shared" si="34"/>
        <v>1509.7221538461536</v>
      </c>
      <c r="O742" s="19">
        <f t="shared" si="35"/>
        <v>532</v>
      </c>
      <c r="P742" s="19" t="str">
        <v>Low</v>
      </c>
    </row>
    <row r="743" spans="1:16" x14ac:dyDescent="0.3">
      <c r="A743" s="2" t="s">
        <v>335</v>
      </c>
      <c r="B743" s="2" t="s">
        <v>196</v>
      </c>
      <c r="C743" s="19" t="s">
        <v>166</v>
      </c>
      <c r="D743" s="19" t="s">
        <v>23</v>
      </c>
      <c r="E743" s="19" t="s">
        <v>24</v>
      </c>
      <c r="F743" s="19" t="s">
        <v>49</v>
      </c>
      <c r="G743" s="19" t="s">
        <v>26</v>
      </c>
      <c r="H743" s="19" t="s">
        <v>75</v>
      </c>
      <c r="I743" s="19">
        <v>1</v>
      </c>
      <c r="J743" s="19">
        <v>2898</v>
      </c>
      <c r="K743" s="19">
        <v>9</v>
      </c>
      <c r="L743" s="19">
        <v>2637.18</v>
      </c>
      <c r="M743" s="19">
        <f t="shared" si="33"/>
        <v>389886.65999999992</v>
      </c>
      <c r="N743" s="20">
        <f t="shared" si="34"/>
        <v>1505.3538996138993</v>
      </c>
      <c r="O743" s="19">
        <f t="shared" si="35"/>
        <v>530</v>
      </c>
      <c r="P743" s="19" t="str">
        <v>Low</v>
      </c>
    </row>
    <row r="744" spans="1:16" x14ac:dyDescent="0.3">
      <c r="A744" s="2" t="s">
        <v>1656</v>
      </c>
      <c r="B744" s="2" t="s">
        <v>66</v>
      </c>
      <c r="C744" s="19" t="s">
        <v>91</v>
      </c>
      <c r="D744" s="19" t="s">
        <v>88</v>
      </c>
      <c r="E744" s="19" t="s">
        <v>79</v>
      </c>
      <c r="F744" s="19" t="s">
        <v>17</v>
      </c>
      <c r="G744" s="19" t="s">
        <v>62</v>
      </c>
      <c r="H744" s="19" t="s">
        <v>44</v>
      </c>
      <c r="I744" s="19">
        <v>3</v>
      </c>
      <c r="J744" s="19">
        <v>943</v>
      </c>
      <c r="K744" s="19">
        <v>7</v>
      </c>
      <c r="L744" s="19">
        <v>2630.97</v>
      </c>
      <c r="M744" s="19">
        <f t="shared" si="33"/>
        <v>387249.47999999992</v>
      </c>
      <c r="N744" s="20">
        <f t="shared" si="34"/>
        <v>1500.9669767441858</v>
      </c>
      <c r="O744" s="19">
        <f t="shared" si="35"/>
        <v>529</v>
      </c>
      <c r="P744" s="19" t="str">
        <v>Low</v>
      </c>
    </row>
    <row r="745" spans="1:16" x14ac:dyDescent="0.3">
      <c r="A745" s="2" t="s">
        <v>1258</v>
      </c>
      <c r="B745" s="2" t="s">
        <v>324</v>
      </c>
      <c r="C745" s="19" t="s">
        <v>409</v>
      </c>
      <c r="D745" s="19" t="s">
        <v>23</v>
      </c>
      <c r="E745" s="19" t="s">
        <v>16</v>
      </c>
      <c r="F745" s="19" t="s">
        <v>32</v>
      </c>
      <c r="G745" s="19" t="s">
        <v>18</v>
      </c>
      <c r="H745" s="19" t="s">
        <v>33</v>
      </c>
      <c r="I745" s="19">
        <v>1</v>
      </c>
      <c r="J745" s="19">
        <v>3020</v>
      </c>
      <c r="K745" s="19">
        <v>13</v>
      </c>
      <c r="L745" s="19">
        <v>2627.4</v>
      </c>
      <c r="M745" s="19">
        <f t="shared" si="33"/>
        <v>384618.51</v>
      </c>
      <c r="N745" s="20">
        <f t="shared" si="34"/>
        <v>1496.5700778210116</v>
      </c>
      <c r="O745" s="19">
        <f t="shared" si="35"/>
        <v>526</v>
      </c>
      <c r="P745" s="19" t="str">
        <v>Low</v>
      </c>
    </row>
    <row r="746" spans="1:16" x14ac:dyDescent="0.3">
      <c r="A746" s="2" t="s">
        <v>640</v>
      </c>
      <c r="B746" s="2" t="s">
        <v>537</v>
      </c>
      <c r="C746" s="19" t="s">
        <v>641</v>
      </c>
      <c r="D746" s="19" t="s">
        <v>53</v>
      </c>
      <c r="E746" s="19" t="s">
        <v>24</v>
      </c>
      <c r="F746" s="19" t="s">
        <v>49</v>
      </c>
      <c r="G746" s="19" t="s">
        <v>40</v>
      </c>
      <c r="H746" s="19" t="s">
        <v>33</v>
      </c>
      <c r="I746" s="19">
        <v>4</v>
      </c>
      <c r="J746" s="19">
        <v>827</v>
      </c>
      <c r="K746" s="19">
        <v>21</v>
      </c>
      <c r="L746" s="19">
        <v>2613.3200000000002</v>
      </c>
      <c r="M746" s="19">
        <f t="shared" si="33"/>
        <v>381991.11</v>
      </c>
      <c r="N746" s="20">
        <f t="shared" si="34"/>
        <v>1492.1527734374999</v>
      </c>
      <c r="O746" s="19">
        <f t="shared" si="35"/>
        <v>525</v>
      </c>
      <c r="P746" s="19" t="str">
        <v>Low</v>
      </c>
    </row>
    <row r="747" spans="1:16" x14ac:dyDescent="0.3">
      <c r="A747" s="2" t="s">
        <v>455</v>
      </c>
      <c r="B747" s="2" t="s">
        <v>456</v>
      </c>
      <c r="C747" s="19" t="s">
        <v>197</v>
      </c>
      <c r="D747" s="19" t="s">
        <v>23</v>
      </c>
      <c r="E747" s="19" t="s">
        <v>68</v>
      </c>
      <c r="F747" s="19" t="s">
        <v>40</v>
      </c>
      <c r="G747" s="19" t="s">
        <v>18</v>
      </c>
      <c r="H747" s="19" t="s">
        <v>75</v>
      </c>
      <c r="I747" s="19">
        <v>1</v>
      </c>
      <c r="J747" s="19">
        <v>2797</v>
      </c>
      <c r="K747" s="19">
        <v>7</v>
      </c>
      <c r="L747" s="19">
        <v>2601.21</v>
      </c>
      <c r="M747" s="19">
        <f t="shared" si="33"/>
        <v>379377.79</v>
      </c>
      <c r="N747" s="20">
        <f t="shared" si="34"/>
        <v>1487.7560392156861</v>
      </c>
      <c r="O747" s="19">
        <f t="shared" si="35"/>
        <v>521</v>
      </c>
      <c r="P747" s="19" t="str">
        <v>Low</v>
      </c>
    </row>
    <row r="748" spans="1:16" x14ac:dyDescent="0.3">
      <c r="A748" s="2" t="s">
        <v>1205</v>
      </c>
      <c r="B748" s="2" t="s">
        <v>293</v>
      </c>
      <c r="C748" s="19" t="s">
        <v>968</v>
      </c>
      <c r="D748" s="19" t="s">
        <v>23</v>
      </c>
      <c r="E748" s="19" t="s">
        <v>24</v>
      </c>
      <c r="F748" s="19" t="s">
        <v>17</v>
      </c>
      <c r="G748" s="19" t="s">
        <v>54</v>
      </c>
      <c r="H748" s="19" t="s">
        <v>33</v>
      </c>
      <c r="I748" s="19">
        <v>5</v>
      </c>
      <c r="J748" s="19">
        <v>658</v>
      </c>
      <c r="K748" s="19">
        <v>21</v>
      </c>
      <c r="L748" s="19">
        <v>2599.1</v>
      </c>
      <c r="M748" s="19">
        <f t="shared" si="33"/>
        <v>376776.5799999999</v>
      </c>
      <c r="N748" s="20">
        <f t="shared" si="34"/>
        <v>1483.3723622047239</v>
      </c>
      <c r="O748" s="19">
        <f t="shared" si="35"/>
        <v>520</v>
      </c>
      <c r="P748" s="19" t="str">
        <v>Low</v>
      </c>
    </row>
    <row r="749" spans="1:16" x14ac:dyDescent="0.3">
      <c r="A749" s="2" t="s">
        <v>1385</v>
      </c>
      <c r="B749" s="2" t="s">
        <v>435</v>
      </c>
      <c r="C749" s="19" t="s">
        <v>1386</v>
      </c>
      <c r="D749" s="19" t="s">
        <v>23</v>
      </c>
      <c r="E749" s="19" t="s">
        <v>58</v>
      </c>
      <c r="F749" s="19" t="s">
        <v>17</v>
      </c>
      <c r="G749" s="19" t="s">
        <v>18</v>
      </c>
      <c r="H749" s="19" t="s">
        <v>33</v>
      </c>
      <c r="I749" s="19">
        <v>1</v>
      </c>
      <c r="J749" s="19">
        <v>2727</v>
      </c>
      <c r="K749" s="19">
        <v>5</v>
      </c>
      <c r="L749" s="19">
        <v>2590.65</v>
      </c>
      <c r="M749" s="19">
        <f t="shared" si="33"/>
        <v>374177.47999999992</v>
      </c>
      <c r="N749" s="20">
        <f t="shared" si="34"/>
        <v>1478.9623715415016</v>
      </c>
      <c r="O749" s="19">
        <f t="shared" si="35"/>
        <v>515</v>
      </c>
      <c r="P749" s="19" t="str">
        <v>Low</v>
      </c>
    </row>
    <row r="750" spans="1:16" x14ac:dyDescent="0.3">
      <c r="A750" s="2" t="s">
        <v>1383</v>
      </c>
      <c r="B750" s="2" t="s">
        <v>255</v>
      </c>
      <c r="C750" s="19" t="s">
        <v>921</v>
      </c>
      <c r="D750" s="19" t="s">
        <v>23</v>
      </c>
      <c r="E750" s="19" t="s">
        <v>58</v>
      </c>
      <c r="F750" s="19" t="s">
        <v>32</v>
      </c>
      <c r="G750" s="19" t="s">
        <v>62</v>
      </c>
      <c r="H750" s="19" t="s">
        <v>33</v>
      </c>
      <c r="I750" s="19">
        <v>3</v>
      </c>
      <c r="J750" s="19">
        <v>871</v>
      </c>
      <c r="K750" s="19">
        <v>1</v>
      </c>
      <c r="L750" s="19">
        <v>2586.87</v>
      </c>
      <c r="M750" s="19">
        <f t="shared" si="33"/>
        <v>371586.82999999996</v>
      </c>
      <c r="N750" s="20">
        <f t="shared" si="34"/>
        <v>1474.5509126984125</v>
      </c>
      <c r="O750" s="19">
        <f t="shared" si="35"/>
        <v>514</v>
      </c>
      <c r="P750" s="19" t="str">
        <v>Low</v>
      </c>
    </row>
    <row r="751" spans="1:16" x14ac:dyDescent="0.3">
      <c r="A751" s="2" t="s">
        <v>639</v>
      </c>
      <c r="B751" s="2" t="s">
        <v>70</v>
      </c>
      <c r="C751" s="19" t="s">
        <v>305</v>
      </c>
      <c r="D751" s="19" t="s">
        <v>88</v>
      </c>
      <c r="E751" s="19" t="s">
        <v>58</v>
      </c>
      <c r="F751" s="19" t="s">
        <v>32</v>
      </c>
      <c r="G751" s="19" t="s">
        <v>54</v>
      </c>
      <c r="H751" s="19" t="s">
        <v>19</v>
      </c>
      <c r="I751" s="19">
        <v>1</v>
      </c>
      <c r="J751" s="19">
        <v>3592</v>
      </c>
      <c r="K751" s="19">
        <v>28</v>
      </c>
      <c r="L751" s="19">
        <v>2586.2399999999998</v>
      </c>
      <c r="M751" s="19">
        <f t="shared" si="33"/>
        <v>368999.96</v>
      </c>
      <c r="N751" s="20">
        <f t="shared" si="34"/>
        <v>1470.1193625498008</v>
      </c>
      <c r="O751" s="19">
        <f t="shared" si="35"/>
        <v>511</v>
      </c>
      <c r="P751" s="19" t="str">
        <v>Low</v>
      </c>
    </row>
    <row r="752" spans="1:16" x14ac:dyDescent="0.3">
      <c r="A752" s="2" t="s">
        <v>1261</v>
      </c>
      <c r="B752" s="2" t="s">
        <v>129</v>
      </c>
      <c r="C752" s="19" t="s">
        <v>1243</v>
      </c>
      <c r="D752" s="19" t="s">
        <v>23</v>
      </c>
      <c r="E752" s="19" t="s">
        <v>58</v>
      </c>
      <c r="F752" s="19" t="s">
        <v>32</v>
      </c>
      <c r="G752" s="19" t="s">
        <v>26</v>
      </c>
      <c r="H752" s="19" t="s">
        <v>44</v>
      </c>
      <c r="I752" s="19">
        <v>1</v>
      </c>
      <c r="J752" s="19">
        <v>2805</v>
      </c>
      <c r="K752" s="19">
        <v>8</v>
      </c>
      <c r="L752" s="19">
        <v>2580.6</v>
      </c>
      <c r="M752" s="19">
        <f t="shared" si="33"/>
        <v>366413.72</v>
      </c>
      <c r="N752" s="20">
        <f t="shared" si="34"/>
        <v>1465.6548799999998</v>
      </c>
      <c r="O752" s="19">
        <f t="shared" si="35"/>
        <v>510</v>
      </c>
      <c r="P752" s="19" t="str">
        <v>Low</v>
      </c>
    </row>
    <row r="753" spans="1:16" x14ac:dyDescent="0.3">
      <c r="A753" s="2" t="s">
        <v>1475</v>
      </c>
      <c r="B753" s="2" t="s">
        <v>1476</v>
      </c>
      <c r="C753" s="19" t="s">
        <v>197</v>
      </c>
      <c r="D753" s="19" t="s">
        <v>15</v>
      </c>
      <c r="E753" s="19" t="s">
        <v>68</v>
      </c>
      <c r="F753" s="19" t="s">
        <v>32</v>
      </c>
      <c r="G753" s="19" t="s">
        <v>18</v>
      </c>
      <c r="H753" s="19" t="s">
        <v>33</v>
      </c>
      <c r="I753" s="19">
        <v>5</v>
      </c>
      <c r="J753" s="19">
        <v>674</v>
      </c>
      <c r="K753" s="19">
        <v>24</v>
      </c>
      <c r="L753" s="19">
        <v>2561.1999999999998</v>
      </c>
      <c r="M753" s="19">
        <f t="shared" si="33"/>
        <v>363833.12</v>
      </c>
      <c r="N753" s="20">
        <f t="shared" si="34"/>
        <v>1461.1771887550201</v>
      </c>
      <c r="O753" s="19">
        <f t="shared" si="35"/>
        <v>509</v>
      </c>
      <c r="P753" s="19" t="str">
        <v>Low</v>
      </c>
    </row>
    <row r="754" spans="1:16" x14ac:dyDescent="0.3">
      <c r="A754" s="2" t="s">
        <v>1524</v>
      </c>
      <c r="B754" s="2" t="s">
        <v>398</v>
      </c>
      <c r="C754" s="19" t="s">
        <v>502</v>
      </c>
      <c r="D754" s="19" t="s">
        <v>15</v>
      </c>
      <c r="E754" s="19" t="s">
        <v>79</v>
      </c>
      <c r="F754" s="19" t="s">
        <v>49</v>
      </c>
      <c r="G754" s="19" t="s">
        <v>18</v>
      </c>
      <c r="H754" s="19" t="s">
        <v>19</v>
      </c>
      <c r="I754" s="19">
        <v>4</v>
      </c>
      <c r="J754" s="19">
        <v>801</v>
      </c>
      <c r="K754" s="19">
        <v>21</v>
      </c>
      <c r="L754" s="19">
        <v>2531.16</v>
      </c>
      <c r="M754" s="19">
        <f t="shared" si="33"/>
        <v>361271.92000000004</v>
      </c>
      <c r="N754" s="20">
        <f t="shared" si="34"/>
        <v>1456.741612903226</v>
      </c>
      <c r="O754" s="19">
        <f t="shared" si="35"/>
        <v>504</v>
      </c>
      <c r="P754" s="19" t="str">
        <v>Low</v>
      </c>
    </row>
    <row r="755" spans="1:16" x14ac:dyDescent="0.3">
      <c r="A755" s="2" t="s">
        <v>1031</v>
      </c>
      <c r="B755" s="2" t="s">
        <v>278</v>
      </c>
      <c r="C755" s="19" t="s">
        <v>502</v>
      </c>
      <c r="D755" s="19" t="s">
        <v>53</v>
      </c>
      <c r="E755" s="19" t="s">
        <v>16</v>
      </c>
      <c r="F755" s="19" t="s">
        <v>32</v>
      </c>
      <c r="G755" s="19" t="s">
        <v>18</v>
      </c>
      <c r="H755" s="19" t="s">
        <v>75</v>
      </c>
      <c r="I755" s="19">
        <v>1</v>
      </c>
      <c r="J755" s="19">
        <v>2857</v>
      </c>
      <c r="K755" s="19">
        <v>12</v>
      </c>
      <c r="L755" s="19">
        <v>2514.16</v>
      </c>
      <c r="M755" s="19">
        <f t="shared" si="33"/>
        <v>358740.76</v>
      </c>
      <c r="N755" s="20">
        <f t="shared" si="34"/>
        <v>1452.3917408906882</v>
      </c>
      <c r="O755" s="19">
        <f t="shared" si="35"/>
        <v>500</v>
      </c>
      <c r="P755" s="19" t="str">
        <v>Low</v>
      </c>
    </row>
    <row r="756" spans="1:16" x14ac:dyDescent="0.3">
      <c r="A756" s="2" t="s">
        <v>286</v>
      </c>
      <c r="B756" s="2" t="s">
        <v>287</v>
      </c>
      <c r="C756" s="19" t="s">
        <v>288</v>
      </c>
      <c r="D756" s="19" t="s">
        <v>53</v>
      </c>
      <c r="E756" s="19" t="s">
        <v>68</v>
      </c>
      <c r="F756" s="19" t="s">
        <v>25</v>
      </c>
      <c r="G756" s="19" t="s">
        <v>62</v>
      </c>
      <c r="H756" s="19" t="s">
        <v>44</v>
      </c>
      <c r="I756" s="19">
        <v>3</v>
      </c>
      <c r="J756" s="19">
        <v>908</v>
      </c>
      <c r="K756" s="19">
        <v>8</v>
      </c>
      <c r="L756" s="19">
        <v>2506.08</v>
      </c>
      <c r="M756" s="19">
        <f t="shared" si="33"/>
        <v>356226.60000000003</v>
      </c>
      <c r="N756" s="20">
        <f t="shared" si="34"/>
        <v>1448.0756097560977</v>
      </c>
      <c r="O756" s="19">
        <f t="shared" si="35"/>
        <v>499</v>
      </c>
      <c r="P756" s="19" t="str">
        <v>Low</v>
      </c>
    </row>
    <row r="757" spans="1:16" x14ac:dyDescent="0.3">
      <c r="A757" s="2" t="s">
        <v>1607</v>
      </c>
      <c r="B757" s="2" t="s">
        <v>1049</v>
      </c>
      <c r="C757" s="19" t="s">
        <v>658</v>
      </c>
      <c r="D757" s="19" t="s">
        <v>15</v>
      </c>
      <c r="E757" s="19" t="s">
        <v>68</v>
      </c>
      <c r="F757" s="19" t="s">
        <v>25</v>
      </c>
      <c r="G757" s="19" t="s">
        <v>62</v>
      </c>
      <c r="H757" s="19" t="s">
        <v>75</v>
      </c>
      <c r="I757" s="19">
        <v>2</v>
      </c>
      <c r="J757" s="19">
        <v>1261</v>
      </c>
      <c r="K757" s="19">
        <v>1</v>
      </c>
      <c r="L757" s="19">
        <v>2496.7800000000002</v>
      </c>
      <c r="M757" s="19">
        <f t="shared" si="33"/>
        <v>353720.52</v>
      </c>
      <c r="N757" s="20">
        <f t="shared" si="34"/>
        <v>1443.757224489796</v>
      </c>
      <c r="O757" s="19">
        <f t="shared" si="35"/>
        <v>496</v>
      </c>
      <c r="P757" s="19" t="str">
        <v>Low</v>
      </c>
    </row>
    <row r="758" spans="1:16" x14ac:dyDescent="0.3">
      <c r="A758" s="2" t="s">
        <v>1043</v>
      </c>
      <c r="B758" s="2" t="s">
        <v>240</v>
      </c>
      <c r="C758" s="19" t="s">
        <v>475</v>
      </c>
      <c r="D758" s="19" t="s">
        <v>23</v>
      </c>
      <c r="E758" s="19" t="s">
        <v>58</v>
      </c>
      <c r="F758" s="19" t="s">
        <v>17</v>
      </c>
      <c r="G758" s="19" t="s">
        <v>40</v>
      </c>
      <c r="H758" s="19" t="s">
        <v>44</v>
      </c>
      <c r="I758" s="19">
        <v>2</v>
      </c>
      <c r="J758" s="19">
        <v>1461</v>
      </c>
      <c r="K758" s="19">
        <v>15</v>
      </c>
      <c r="L758" s="19">
        <v>2483.6999999999998</v>
      </c>
      <c r="M758" s="19">
        <f t="shared" si="33"/>
        <v>351223.74</v>
      </c>
      <c r="N758" s="20">
        <f t="shared" si="34"/>
        <v>1439.4415573770491</v>
      </c>
      <c r="O758" s="19">
        <f t="shared" si="35"/>
        <v>494</v>
      </c>
      <c r="P758" s="19" t="str">
        <v>Low</v>
      </c>
    </row>
    <row r="759" spans="1:16" x14ac:dyDescent="0.3">
      <c r="A759" s="2" t="s">
        <v>1367</v>
      </c>
      <c r="B759" s="2" t="s">
        <v>1368</v>
      </c>
      <c r="C759" s="19" t="s">
        <v>849</v>
      </c>
      <c r="D759" s="19" t="s">
        <v>23</v>
      </c>
      <c r="E759" s="19" t="s">
        <v>48</v>
      </c>
      <c r="F759" s="19" t="s">
        <v>40</v>
      </c>
      <c r="G759" s="19" t="s">
        <v>54</v>
      </c>
      <c r="H759" s="19" t="s">
        <v>75</v>
      </c>
      <c r="I759" s="19">
        <v>3</v>
      </c>
      <c r="J759" s="19">
        <v>951</v>
      </c>
      <c r="K759" s="19">
        <v>13</v>
      </c>
      <c r="L759" s="19">
        <v>2482.11</v>
      </c>
      <c r="M759" s="19">
        <f t="shared" si="33"/>
        <v>348740.04000000004</v>
      </c>
      <c r="N759" s="20">
        <f t="shared" si="34"/>
        <v>1435.1441975308644</v>
      </c>
      <c r="O759" s="19">
        <f t="shared" si="35"/>
        <v>492</v>
      </c>
      <c r="P759" s="19" t="str">
        <v>Low</v>
      </c>
    </row>
    <row r="760" spans="1:16" x14ac:dyDescent="0.3">
      <c r="A760" s="2" t="s">
        <v>1344</v>
      </c>
      <c r="B760" s="2" t="s">
        <v>991</v>
      </c>
      <c r="C760" s="19" t="s">
        <v>311</v>
      </c>
      <c r="D760" s="19" t="s">
        <v>88</v>
      </c>
      <c r="E760" s="19" t="s">
        <v>16</v>
      </c>
      <c r="F760" s="19" t="s">
        <v>25</v>
      </c>
      <c r="G760" s="19" t="s">
        <v>26</v>
      </c>
      <c r="H760" s="19" t="s">
        <v>75</v>
      </c>
      <c r="I760" s="19">
        <v>1</v>
      </c>
      <c r="J760" s="19">
        <v>3354</v>
      </c>
      <c r="K760" s="19">
        <v>26</v>
      </c>
      <c r="L760" s="19">
        <v>2481.96</v>
      </c>
      <c r="M760" s="19">
        <f t="shared" si="33"/>
        <v>346257.93</v>
      </c>
      <c r="N760" s="20">
        <f t="shared" si="34"/>
        <v>1430.8178925619834</v>
      </c>
      <c r="O760" s="19">
        <f t="shared" si="35"/>
        <v>489</v>
      </c>
      <c r="P760" s="19" t="str">
        <v>Low</v>
      </c>
    </row>
    <row r="761" spans="1:16" x14ac:dyDescent="0.3">
      <c r="A761" s="2" t="s">
        <v>1450</v>
      </c>
      <c r="B761" s="2" t="s">
        <v>548</v>
      </c>
      <c r="C761" s="19" t="s">
        <v>117</v>
      </c>
      <c r="D761" s="19" t="s">
        <v>15</v>
      </c>
      <c r="E761" s="19" t="s">
        <v>48</v>
      </c>
      <c r="F761" s="19" t="s">
        <v>32</v>
      </c>
      <c r="G761" s="19" t="s">
        <v>26</v>
      </c>
      <c r="H761" s="19" t="s">
        <v>44</v>
      </c>
      <c r="I761" s="19">
        <v>5</v>
      </c>
      <c r="J761" s="19">
        <v>661</v>
      </c>
      <c r="K761" s="19">
        <v>25</v>
      </c>
      <c r="L761" s="19">
        <v>2478.75</v>
      </c>
      <c r="M761" s="19">
        <f t="shared" si="33"/>
        <v>343775.97000000003</v>
      </c>
      <c r="N761" s="20">
        <f t="shared" si="34"/>
        <v>1426.4563070539421</v>
      </c>
      <c r="O761" s="19">
        <f t="shared" si="35"/>
        <v>488</v>
      </c>
      <c r="P761" s="19" t="str">
        <v>Low</v>
      </c>
    </row>
    <row r="762" spans="1:16" x14ac:dyDescent="0.3">
      <c r="A762" s="2" t="s">
        <v>831</v>
      </c>
      <c r="B762" s="2" t="s">
        <v>548</v>
      </c>
      <c r="C762" s="19" t="s">
        <v>832</v>
      </c>
      <c r="D762" s="19" t="s">
        <v>30</v>
      </c>
      <c r="E762" s="19" t="s">
        <v>31</v>
      </c>
      <c r="F762" s="19" t="s">
        <v>17</v>
      </c>
      <c r="G762" s="19" t="s">
        <v>18</v>
      </c>
      <c r="H762" s="19" t="s">
        <v>33</v>
      </c>
      <c r="I762" s="19">
        <v>1</v>
      </c>
      <c r="J762" s="19">
        <v>3534</v>
      </c>
      <c r="K762" s="19">
        <v>30</v>
      </c>
      <c r="L762" s="19">
        <v>2473.8000000000002</v>
      </c>
      <c r="M762" s="19">
        <f t="shared" si="33"/>
        <v>341297.22000000003</v>
      </c>
      <c r="N762" s="20">
        <f t="shared" si="34"/>
        <v>1422.0717500000001</v>
      </c>
      <c r="O762" s="19">
        <f t="shared" si="35"/>
        <v>483</v>
      </c>
      <c r="P762" s="19" t="str">
        <v>Low</v>
      </c>
    </row>
    <row r="763" spans="1:16" x14ac:dyDescent="0.3">
      <c r="A763" s="2" t="s">
        <v>1553</v>
      </c>
      <c r="B763" s="2" t="s">
        <v>300</v>
      </c>
      <c r="C763" s="19" t="s">
        <v>180</v>
      </c>
      <c r="D763" s="19" t="s">
        <v>15</v>
      </c>
      <c r="E763" s="19" t="s">
        <v>68</v>
      </c>
      <c r="F763" s="19" t="s">
        <v>25</v>
      </c>
      <c r="G763" s="19" t="s">
        <v>26</v>
      </c>
      <c r="H763" s="19" t="s">
        <v>75</v>
      </c>
      <c r="I763" s="19">
        <v>1</v>
      </c>
      <c r="J763" s="19">
        <v>2987</v>
      </c>
      <c r="K763" s="19">
        <v>18</v>
      </c>
      <c r="L763" s="19">
        <v>2449.34</v>
      </c>
      <c r="M763" s="19">
        <f t="shared" si="33"/>
        <v>338823.42000000004</v>
      </c>
      <c r="N763" s="20">
        <f t="shared" si="34"/>
        <v>1417.6712133891215</v>
      </c>
      <c r="O763" s="19">
        <f t="shared" si="35"/>
        <v>482</v>
      </c>
      <c r="P763" s="19" t="str">
        <v>Low</v>
      </c>
    </row>
    <row r="764" spans="1:16" x14ac:dyDescent="0.3">
      <c r="A764" s="2" t="s">
        <v>992</v>
      </c>
      <c r="B764" s="2" t="s">
        <v>330</v>
      </c>
      <c r="C764" s="19" t="s">
        <v>197</v>
      </c>
      <c r="D764" s="19" t="s">
        <v>30</v>
      </c>
      <c r="E764" s="19" t="s">
        <v>48</v>
      </c>
      <c r="F764" s="19" t="s">
        <v>17</v>
      </c>
      <c r="G764" s="19" t="s">
        <v>54</v>
      </c>
      <c r="H764" s="19" t="s">
        <v>44</v>
      </c>
      <c r="I764" s="19">
        <v>1</v>
      </c>
      <c r="J764" s="19">
        <v>2959</v>
      </c>
      <c r="K764" s="19">
        <v>18</v>
      </c>
      <c r="L764" s="19">
        <v>2426.38</v>
      </c>
      <c r="M764" s="19">
        <f t="shared" si="33"/>
        <v>336374.08</v>
      </c>
      <c r="N764" s="20">
        <f t="shared" si="34"/>
        <v>1413.3364705882354</v>
      </c>
      <c r="O764" s="19">
        <f t="shared" si="35"/>
        <v>481</v>
      </c>
      <c r="P764" s="19" t="str">
        <v>Low</v>
      </c>
    </row>
    <row r="765" spans="1:16" x14ac:dyDescent="0.3">
      <c r="A765" s="2" t="s">
        <v>318</v>
      </c>
      <c r="B765" s="2" t="s">
        <v>319</v>
      </c>
      <c r="C765" s="19" t="s">
        <v>151</v>
      </c>
      <c r="D765" s="19" t="s">
        <v>15</v>
      </c>
      <c r="E765" s="19" t="s">
        <v>48</v>
      </c>
      <c r="F765" s="19" t="s">
        <v>49</v>
      </c>
      <c r="G765" s="19" t="s">
        <v>40</v>
      </c>
      <c r="H765" s="19" t="s">
        <v>44</v>
      </c>
      <c r="I765" s="19">
        <v>1</v>
      </c>
      <c r="J765" s="19">
        <v>2476</v>
      </c>
      <c r="K765" s="19">
        <v>3</v>
      </c>
      <c r="L765" s="19">
        <v>2401.7199999999998</v>
      </c>
      <c r="M765" s="19">
        <f t="shared" si="33"/>
        <v>333947.7</v>
      </c>
      <c r="N765" s="20">
        <f t="shared" si="34"/>
        <v>1409.0620253164557</v>
      </c>
      <c r="O765" s="19">
        <f t="shared" si="35"/>
        <v>480</v>
      </c>
      <c r="P765" s="19" t="str">
        <v>Low</v>
      </c>
    </row>
    <row r="766" spans="1:16" x14ac:dyDescent="0.3">
      <c r="A766" s="2" t="s">
        <v>1135</v>
      </c>
      <c r="B766" s="2" t="s">
        <v>51</v>
      </c>
      <c r="C766" s="19" t="s">
        <v>130</v>
      </c>
      <c r="D766" s="19" t="s">
        <v>15</v>
      </c>
      <c r="E766" s="19" t="s">
        <v>48</v>
      </c>
      <c r="F766" s="19" t="s">
        <v>49</v>
      </c>
      <c r="G766" s="19" t="s">
        <v>40</v>
      </c>
      <c r="H766" s="19" t="s">
        <v>44</v>
      </c>
      <c r="I766" s="19">
        <v>1</v>
      </c>
      <c r="J766" s="19">
        <v>2520</v>
      </c>
      <c r="K766" s="19">
        <v>5</v>
      </c>
      <c r="L766" s="19">
        <v>2394</v>
      </c>
      <c r="M766" s="19">
        <f t="shared" si="33"/>
        <v>331545.98</v>
      </c>
      <c r="N766" s="20">
        <f t="shared" si="34"/>
        <v>1404.8558474576271</v>
      </c>
      <c r="O766" s="19">
        <f t="shared" si="35"/>
        <v>479</v>
      </c>
      <c r="P766" s="19" t="str">
        <v>Low</v>
      </c>
    </row>
    <row r="767" spans="1:16" x14ac:dyDescent="0.3">
      <c r="A767" s="2" t="s">
        <v>1474</v>
      </c>
      <c r="B767" s="2" t="s">
        <v>372</v>
      </c>
      <c r="C767" s="19" t="s">
        <v>1088</v>
      </c>
      <c r="D767" s="19" t="s">
        <v>30</v>
      </c>
      <c r="E767" s="19" t="s">
        <v>48</v>
      </c>
      <c r="F767" s="19" t="s">
        <v>49</v>
      </c>
      <c r="G767" s="19" t="s">
        <v>62</v>
      </c>
      <c r="H767" s="19" t="s">
        <v>33</v>
      </c>
      <c r="I767" s="19">
        <v>3</v>
      </c>
      <c r="J767" s="19">
        <v>995</v>
      </c>
      <c r="K767" s="19">
        <v>20</v>
      </c>
      <c r="L767" s="19">
        <v>2388</v>
      </c>
      <c r="M767" s="19">
        <f t="shared" si="33"/>
        <v>329151.98</v>
      </c>
      <c r="N767" s="20">
        <f t="shared" si="34"/>
        <v>1400.6467234042552</v>
      </c>
      <c r="O767" s="19">
        <f t="shared" si="35"/>
        <v>478</v>
      </c>
      <c r="P767" s="19" t="str">
        <v>Low</v>
      </c>
    </row>
    <row r="768" spans="1:16" x14ac:dyDescent="0.3">
      <c r="A768" s="2" t="s">
        <v>1539</v>
      </c>
      <c r="B768" s="2" t="s">
        <v>1072</v>
      </c>
      <c r="C768" s="19" t="s">
        <v>1540</v>
      </c>
      <c r="D768" s="19" t="s">
        <v>15</v>
      </c>
      <c r="E768" s="19" t="s">
        <v>24</v>
      </c>
      <c r="F768" s="19" t="s">
        <v>49</v>
      </c>
      <c r="G768" s="19" t="s">
        <v>26</v>
      </c>
      <c r="H768" s="19" t="s">
        <v>19</v>
      </c>
      <c r="I768" s="19">
        <v>3</v>
      </c>
      <c r="J768" s="19">
        <v>934</v>
      </c>
      <c r="K768" s="19">
        <v>15</v>
      </c>
      <c r="L768" s="19">
        <v>2381.6999999999998</v>
      </c>
      <c r="M768" s="19">
        <f t="shared" si="33"/>
        <v>326763.98</v>
      </c>
      <c r="N768" s="20">
        <f t="shared" si="34"/>
        <v>1396.4272649572649</v>
      </c>
      <c r="O768" s="19">
        <f t="shared" si="35"/>
        <v>475</v>
      </c>
      <c r="P768" s="19" t="str">
        <v>Low</v>
      </c>
    </row>
    <row r="769" spans="1:16" x14ac:dyDescent="0.3">
      <c r="A769" s="2" t="s">
        <v>1168</v>
      </c>
      <c r="B769" s="2" t="s">
        <v>1169</v>
      </c>
      <c r="C769" s="19" t="s">
        <v>419</v>
      </c>
      <c r="D769" s="19" t="s">
        <v>53</v>
      </c>
      <c r="E769" s="19" t="s">
        <v>24</v>
      </c>
      <c r="F769" s="19" t="s">
        <v>32</v>
      </c>
      <c r="G769" s="19" t="s">
        <v>62</v>
      </c>
      <c r="H769" s="19" t="s">
        <v>19</v>
      </c>
      <c r="I769" s="19">
        <v>1</v>
      </c>
      <c r="J769" s="19">
        <v>2672</v>
      </c>
      <c r="K769" s="19">
        <v>11</v>
      </c>
      <c r="L769" s="19">
        <v>2378.08</v>
      </c>
      <c r="M769" s="19">
        <f t="shared" si="33"/>
        <v>324382.27999999997</v>
      </c>
      <c r="N769" s="20">
        <f t="shared" si="34"/>
        <v>1392.1986266094418</v>
      </c>
      <c r="O769" s="19">
        <f t="shared" si="35"/>
        <v>472</v>
      </c>
      <c r="P769" s="19" t="str">
        <v>Low</v>
      </c>
    </row>
    <row r="770" spans="1:16" x14ac:dyDescent="0.3">
      <c r="A770" s="2" t="s">
        <v>1663</v>
      </c>
      <c r="B770" s="2" t="s">
        <v>395</v>
      </c>
      <c r="C770" s="19" t="s">
        <v>878</v>
      </c>
      <c r="D770" s="19" t="s">
        <v>15</v>
      </c>
      <c r="E770" s="19" t="s">
        <v>24</v>
      </c>
      <c r="F770" s="19" t="s">
        <v>40</v>
      </c>
      <c r="G770" s="19" t="s">
        <v>40</v>
      </c>
      <c r="H770" s="19" t="s">
        <v>19</v>
      </c>
      <c r="I770" s="19">
        <v>4</v>
      </c>
      <c r="J770" s="19">
        <v>792</v>
      </c>
      <c r="K770" s="19">
        <v>25</v>
      </c>
      <c r="L770" s="19">
        <v>2376</v>
      </c>
      <c r="M770" s="19">
        <f t="shared" ref="M770:M833" si="36">SUM(L770:L1769)</f>
        <v>322004.2</v>
      </c>
      <c r="N770" s="20">
        <f t="shared" ref="N770:N833" si="37">AVERAGE(L770:L1769)</f>
        <v>1387.9491379310346</v>
      </c>
      <c r="O770" s="19">
        <f t="shared" ref="O770:O833" si="38">SUM(I770:I1769)</f>
        <v>471</v>
      </c>
      <c r="P770" s="19" t="str">
        <v>Low</v>
      </c>
    </row>
    <row r="771" spans="1:16" x14ac:dyDescent="0.3">
      <c r="A771" s="2" t="s">
        <v>563</v>
      </c>
      <c r="B771" s="2" t="s">
        <v>121</v>
      </c>
      <c r="C771" s="19" t="s">
        <v>200</v>
      </c>
      <c r="D771" s="19" t="s">
        <v>15</v>
      </c>
      <c r="E771" s="19" t="s">
        <v>24</v>
      </c>
      <c r="F771" s="19" t="s">
        <v>32</v>
      </c>
      <c r="G771" s="19" t="s">
        <v>54</v>
      </c>
      <c r="H771" s="19" t="s">
        <v>44</v>
      </c>
      <c r="I771" s="19">
        <v>5</v>
      </c>
      <c r="J771" s="19">
        <v>614</v>
      </c>
      <c r="K771" s="19">
        <v>23</v>
      </c>
      <c r="L771" s="19">
        <v>2363.9</v>
      </c>
      <c r="M771" s="19">
        <f t="shared" si="36"/>
        <v>319628.2</v>
      </c>
      <c r="N771" s="20">
        <f t="shared" si="37"/>
        <v>1383.6718614718616</v>
      </c>
      <c r="O771" s="19">
        <f t="shared" si="38"/>
        <v>467</v>
      </c>
      <c r="P771" s="19" t="str">
        <v>Low</v>
      </c>
    </row>
    <row r="772" spans="1:16" x14ac:dyDescent="0.3">
      <c r="A772" s="2" t="s">
        <v>701</v>
      </c>
      <c r="B772" s="2" t="s">
        <v>534</v>
      </c>
      <c r="C772" s="19" t="s">
        <v>619</v>
      </c>
      <c r="D772" s="19" t="s">
        <v>88</v>
      </c>
      <c r="E772" s="19" t="s">
        <v>48</v>
      </c>
      <c r="F772" s="19" t="s">
        <v>25</v>
      </c>
      <c r="G772" s="19" t="s">
        <v>62</v>
      </c>
      <c r="H772" s="19" t="s">
        <v>75</v>
      </c>
      <c r="I772" s="19">
        <v>1</v>
      </c>
      <c r="J772" s="19">
        <v>2803</v>
      </c>
      <c r="K772" s="19">
        <v>16</v>
      </c>
      <c r="L772" s="19">
        <v>2354.52</v>
      </c>
      <c r="M772" s="19">
        <f t="shared" si="36"/>
        <v>317264.30000000005</v>
      </c>
      <c r="N772" s="20">
        <f t="shared" si="37"/>
        <v>1379.4100000000003</v>
      </c>
      <c r="O772" s="19">
        <f t="shared" si="38"/>
        <v>462</v>
      </c>
      <c r="P772" s="19" t="str">
        <v>Low</v>
      </c>
    </row>
    <row r="773" spans="1:16" x14ac:dyDescent="0.3">
      <c r="A773" s="2" t="s">
        <v>1222</v>
      </c>
      <c r="B773" s="2" t="s">
        <v>1223</v>
      </c>
      <c r="C773" s="19" t="s">
        <v>151</v>
      </c>
      <c r="D773" s="19" t="s">
        <v>15</v>
      </c>
      <c r="E773" s="19" t="s">
        <v>58</v>
      </c>
      <c r="F773" s="19" t="s">
        <v>17</v>
      </c>
      <c r="G773" s="19" t="s">
        <v>26</v>
      </c>
      <c r="H773" s="19" t="s">
        <v>44</v>
      </c>
      <c r="I773" s="19">
        <v>1</v>
      </c>
      <c r="J773" s="19">
        <v>2721</v>
      </c>
      <c r="K773" s="19">
        <v>14</v>
      </c>
      <c r="L773" s="19">
        <v>2340.06</v>
      </c>
      <c r="M773" s="19">
        <f t="shared" si="36"/>
        <v>314909.78000000009</v>
      </c>
      <c r="N773" s="20">
        <f t="shared" si="37"/>
        <v>1375.1518777292581</v>
      </c>
      <c r="O773" s="19">
        <f t="shared" si="38"/>
        <v>461</v>
      </c>
      <c r="P773" s="19" t="str">
        <v>Low</v>
      </c>
    </row>
    <row r="774" spans="1:16" x14ac:dyDescent="0.3">
      <c r="A774" s="2" t="s">
        <v>564</v>
      </c>
      <c r="B774" s="2" t="s">
        <v>232</v>
      </c>
      <c r="C774" s="19" t="s">
        <v>451</v>
      </c>
      <c r="D774" s="19" t="s">
        <v>23</v>
      </c>
      <c r="E774" s="19" t="s">
        <v>48</v>
      </c>
      <c r="F774" s="19" t="s">
        <v>25</v>
      </c>
      <c r="G774" s="19" t="s">
        <v>54</v>
      </c>
      <c r="H774" s="19" t="s">
        <v>75</v>
      </c>
      <c r="I774" s="19">
        <v>5</v>
      </c>
      <c r="J774" s="19">
        <v>550</v>
      </c>
      <c r="K774" s="19">
        <v>15</v>
      </c>
      <c r="L774" s="19">
        <v>2337.5</v>
      </c>
      <c r="M774" s="19">
        <f t="shared" si="36"/>
        <v>312569.72000000003</v>
      </c>
      <c r="N774" s="20">
        <f t="shared" si="37"/>
        <v>1370.9198245614036</v>
      </c>
      <c r="O774" s="19">
        <f t="shared" si="38"/>
        <v>460</v>
      </c>
      <c r="P774" s="19" t="str">
        <v>Low</v>
      </c>
    </row>
    <row r="775" spans="1:16" x14ac:dyDescent="0.3">
      <c r="A775" s="2" t="s">
        <v>125</v>
      </c>
      <c r="B775" s="2" t="s">
        <v>126</v>
      </c>
      <c r="C775" s="19" t="s">
        <v>127</v>
      </c>
      <c r="D775" s="19" t="s">
        <v>23</v>
      </c>
      <c r="E775" s="19" t="s">
        <v>79</v>
      </c>
      <c r="F775" s="19" t="s">
        <v>25</v>
      </c>
      <c r="G775" s="19" t="s">
        <v>40</v>
      </c>
      <c r="H775" s="19" t="s">
        <v>33</v>
      </c>
      <c r="I775" s="19">
        <v>4</v>
      </c>
      <c r="J775" s="19">
        <v>757</v>
      </c>
      <c r="K775" s="19">
        <v>23</v>
      </c>
      <c r="L775" s="19">
        <v>2331.56</v>
      </c>
      <c r="M775" s="19">
        <f t="shared" si="36"/>
        <v>310232.22000000009</v>
      </c>
      <c r="N775" s="20">
        <f t="shared" si="37"/>
        <v>1366.6617621145379</v>
      </c>
      <c r="O775" s="19">
        <f t="shared" si="38"/>
        <v>455</v>
      </c>
      <c r="P775" s="19" t="str">
        <v>Low</v>
      </c>
    </row>
    <row r="776" spans="1:16" x14ac:dyDescent="0.3">
      <c r="A776" s="2" t="s">
        <v>429</v>
      </c>
      <c r="B776" s="2" t="s">
        <v>430</v>
      </c>
      <c r="C776" s="19" t="s">
        <v>409</v>
      </c>
      <c r="D776" s="19" t="s">
        <v>30</v>
      </c>
      <c r="E776" s="19" t="s">
        <v>79</v>
      </c>
      <c r="F776" s="19" t="s">
        <v>25</v>
      </c>
      <c r="G776" s="19" t="s">
        <v>62</v>
      </c>
      <c r="H776" s="19" t="s">
        <v>19</v>
      </c>
      <c r="I776" s="19">
        <v>1</v>
      </c>
      <c r="J776" s="19">
        <v>2590</v>
      </c>
      <c r="K776" s="19">
        <v>10</v>
      </c>
      <c r="L776" s="19">
        <v>2331</v>
      </c>
      <c r="M776" s="19">
        <f t="shared" si="36"/>
        <v>307900.65999999997</v>
      </c>
      <c r="N776" s="20">
        <f t="shared" si="37"/>
        <v>1362.3923008849556</v>
      </c>
      <c r="O776" s="19">
        <f t="shared" si="38"/>
        <v>451</v>
      </c>
      <c r="P776" s="19" t="str">
        <v>Low</v>
      </c>
    </row>
    <row r="777" spans="1:16" x14ac:dyDescent="0.3">
      <c r="A777" s="2" t="s">
        <v>271</v>
      </c>
      <c r="B777" s="2" t="s">
        <v>272</v>
      </c>
      <c r="C777" s="19" t="s">
        <v>273</v>
      </c>
      <c r="D777" s="19" t="s">
        <v>88</v>
      </c>
      <c r="E777" s="19" t="s">
        <v>68</v>
      </c>
      <c r="F777" s="19" t="s">
        <v>25</v>
      </c>
      <c r="G777" s="19" t="s">
        <v>26</v>
      </c>
      <c r="H777" s="19" t="s">
        <v>44</v>
      </c>
      <c r="I777" s="19">
        <v>1</v>
      </c>
      <c r="J777" s="19">
        <v>2330</v>
      </c>
      <c r="K777" s="19">
        <v>0</v>
      </c>
      <c r="L777" s="19">
        <v>2330</v>
      </c>
      <c r="M777" s="19">
        <f t="shared" si="36"/>
        <v>305569.65999999997</v>
      </c>
      <c r="N777" s="20">
        <f t="shared" si="37"/>
        <v>1358.0873777777776</v>
      </c>
      <c r="O777" s="19">
        <f t="shared" si="38"/>
        <v>450</v>
      </c>
      <c r="P777" s="19" t="str">
        <v>Low</v>
      </c>
    </row>
    <row r="778" spans="1:16" x14ac:dyDescent="0.3">
      <c r="A778" s="2" t="s">
        <v>1638</v>
      </c>
      <c r="B778" s="2" t="s">
        <v>1183</v>
      </c>
      <c r="C778" s="19" t="s">
        <v>1342</v>
      </c>
      <c r="D778" s="19" t="s">
        <v>30</v>
      </c>
      <c r="E778" s="19" t="s">
        <v>48</v>
      </c>
      <c r="F778" s="19" t="s">
        <v>32</v>
      </c>
      <c r="G778" s="19" t="s">
        <v>18</v>
      </c>
      <c r="H778" s="19" t="s">
        <v>75</v>
      </c>
      <c r="I778" s="19">
        <v>3</v>
      </c>
      <c r="J778" s="19">
        <v>835</v>
      </c>
      <c r="K778" s="19">
        <v>7</v>
      </c>
      <c r="L778" s="19">
        <v>2329.65</v>
      </c>
      <c r="M778" s="19">
        <f t="shared" si="36"/>
        <v>303239.65999999997</v>
      </c>
      <c r="N778" s="20">
        <f t="shared" si="37"/>
        <v>1353.748482142857</v>
      </c>
      <c r="O778" s="19">
        <f t="shared" si="38"/>
        <v>449</v>
      </c>
      <c r="P778" s="19" t="str">
        <v>Low</v>
      </c>
    </row>
    <row r="779" spans="1:16" x14ac:dyDescent="0.3">
      <c r="A779" s="2" t="s">
        <v>1395</v>
      </c>
      <c r="B779" s="2" t="s">
        <v>208</v>
      </c>
      <c r="C779" s="19" t="s">
        <v>780</v>
      </c>
      <c r="D779" s="19" t="s">
        <v>88</v>
      </c>
      <c r="E779" s="19" t="s">
        <v>58</v>
      </c>
      <c r="F779" s="19" t="s">
        <v>25</v>
      </c>
      <c r="G779" s="19" t="s">
        <v>40</v>
      </c>
      <c r="H779" s="19" t="s">
        <v>33</v>
      </c>
      <c r="I779" s="19">
        <v>1</v>
      </c>
      <c r="J779" s="19">
        <v>2542</v>
      </c>
      <c r="K779" s="19">
        <v>9</v>
      </c>
      <c r="L779" s="19">
        <v>2313.2199999999998</v>
      </c>
      <c r="M779" s="19">
        <f t="shared" si="36"/>
        <v>300910.00999999995</v>
      </c>
      <c r="N779" s="20">
        <f t="shared" si="37"/>
        <v>1349.3722421524662</v>
      </c>
      <c r="O779" s="19">
        <f t="shared" si="38"/>
        <v>446</v>
      </c>
      <c r="P779" s="19" t="str">
        <v>Low</v>
      </c>
    </row>
    <row r="780" spans="1:16" x14ac:dyDescent="0.3">
      <c r="A780" s="2" t="s">
        <v>181</v>
      </c>
      <c r="B780" s="2" t="s">
        <v>182</v>
      </c>
      <c r="C780" s="19" t="s">
        <v>183</v>
      </c>
      <c r="D780" s="19" t="s">
        <v>15</v>
      </c>
      <c r="E780" s="19" t="s">
        <v>16</v>
      </c>
      <c r="F780" s="19" t="s">
        <v>49</v>
      </c>
      <c r="G780" s="19" t="s">
        <v>54</v>
      </c>
      <c r="H780" s="19" t="s">
        <v>33</v>
      </c>
      <c r="I780" s="19">
        <v>1</v>
      </c>
      <c r="J780" s="19">
        <v>3081</v>
      </c>
      <c r="K780" s="19">
        <v>25</v>
      </c>
      <c r="L780" s="19">
        <v>2310.75</v>
      </c>
      <c r="M780" s="19">
        <f t="shared" si="36"/>
        <v>298596.78999999992</v>
      </c>
      <c r="N780" s="20">
        <f t="shared" si="37"/>
        <v>1345.0305855855852</v>
      </c>
      <c r="O780" s="19">
        <f t="shared" si="38"/>
        <v>445</v>
      </c>
      <c r="P780" s="19" t="str">
        <v>Low</v>
      </c>
    </row>
    <row r="781" spans="1:16" x14ac:dyDescent="0.3">
      <c r="A781" s="2" t="s">
        <v>642</v>
      </c>
      <c r="B781" s="2" t="s">
        <v>395</v>
      </c>
      <c r="C781" s="19" t="s">
        <v>74</v>
      </c>
      <c r="D781" s="19" t="s">
        <v>53</v>
      </c>
      <c r="E781" s="19" t="s">
        <v>58</v>
      </c>
      <c r="F781" s="19" t="s">
        <v>40</v>
      </c>
      <c r="G781" s="19" t="s">
        <v>18</v>
      </c>
      <c r="H781" s="19" t="s">
        <v>44</v>
      </c>
      <c r="I781" s="19">
        <v>4</v>
      </c>
      <c r="J781" s="19">
        <v>788</v>
      </c>
      <c r="K781" s="19">
        <v>27</v>
      </c>
      <c r="L781" s="19">
        <v>2300.96</v>
      </c>
      <c r="M781" s="19">
        <f t="shared" si="36"/>
        <v>296286.03999999992</v>
      </c>
      <c r="N781" s="20">
        <f t="shared" si="37"/>
        <v>1340.6608144796376</v>
      </c>
      <c r="O781" s="19">
        <f t="shared" si="38"/>
        <v>444</v>
      </c>
      <c r="P781" s="19" t="str">
        <v>Low</v>
      </c>
    </row>
    <row r="782" spans="1:16" x14ac:dyDescent="0.3">
      <c r="A782" s="2" t="s">
        <v>783</v>
      </c>
      <c r="B782" s="2" t="s">
        <v>13</v>
      </c>
      <c r="C782" s="19" t="s">
        <v>74</v>
      </c>
      <c r="D782" s="19" t="s">
        <v>15</v>
      </c>
      <c r="E782" s="19" t="s">
        <v>24</v>
      </c>
      <c r="F782" s="19" t="s">
        <v>49</v>
      </c>
      <c r="G782" s="19" t="s">
        <v>54</v>
      </c>
      <c r="H782" s="19" t="s">
        <v>75</v>
      </c>
      <c r="I782" s="19">
        <v>2</v>
      </c>
      <c r="J782" s="19">
        <v>1531</v>
      </c>
      <c r="K782" s="19">
        <v>25</v>
      </c>
      <c r="L782" s="19">
        <v>2296.5</v>
      </c>
      <c r="M782" s="19">
        <f t="shared" si="36"/>
        <v>293985.07999999996</v>
      </c>
      <c r="N782" s="20">
        <f t="shared" si="37"/>
        <v>1336.295818181818</v>
      </c>
      <c r="O782" s="19">
        <f t="shared" si="38"/>
        <v>440</v>
      </c>
      <c r="P782" s="19" t="str">
        <v>Low</v>
      </c>
    </row>
    <row r="783" spans="1:16" x14ac:dyDescent="0.3">
      <c r="A783" s="2" t="s">
        <v>614</v>
      </c>
      <c r="B783" s="2" t="s">
        <v>615</v>
      </c>
      <c r="C783" s="19" t="s">
        <v>532</v>
      </c>
      <c r="D783" s="19" t="s">
        <v>30</v>
      </c>
      <c r="E783" s="19" t="s">
        <v>16</v>
      </c>
      <c r="F783" s="19" t="s">
        <v>32</v>
      </c>
      <c r="G783" s="19" t="s">
        <v>40</v>
      </c>
      <c r="H783" s="19" t="s">
        <v>33</v>
      </c>
      <c r="I783" s="19">
        <v>2</v>
      </c>
      <c r="J783" s="19">
        <v>1479</v>
      </c>
      <c r="K783" s="19">
        <v>23</v>
      </c>
      <c r="L783" s="19">
        <v>2277.66</v>
      </c>
      <c r="M783" s="19">
        <f t="shared" si="36"/>
        <v>291688.5799999999</v>
      </c>
      <c r="N783" s="20">
        <f t="shared" si="37"/>
        <v>1331.9113242009128</v>
      </c>
      <c r="O783" s="19">
        <f t="shared" si="38"/>
        <v>438</v>
      </c>
      <c r="P783" s="19" t="str">
        <v>Low</v>
      </c>
    </row>
    <row r="784" spans="1:16" x14ac:dyDescent="0.3">
      <c r="A784" s="2" t="s">
        <v>1234</v>
      </c>
      <c r="B784" s="2" t="s">
        <v>60</v>
      </c>
      <c r="C784" s="19" t="s">
        <v>338</v>
      </c>
      <c r="D784" s="19" t="s">
        <v>53</v>
      </c>
      <c r="E784" s="19" t="s">
        <v>31</v>
      </c>
      <c r="F784" s="19" t="s">
        <v>49</v>
      </c>
      <c r="G784" s="19" t="s">
        <v>18</v>
      </c>
      <c r="H784" s="19" t="s">
        <v>44</v>
      </c>
      <c r="I784" s="19">
        <v>2</v>
      </c>
      <c r="J784" s="19">
        <v>1304</v>
      </c>
      <c r="K784" s="19">
        <v>13</v>
      </c>
      <c r="L784" s="19">
        <v>2268.96</v>
      </c>
      <c r="M784" s="19">
        <f t="shared" si="36"/>
        <v>289410.91999999993</v>
      </c>
      <c r="N784" s="20">
        <f t="shared" si="37"/>
        <v>1327.5730275229355</v>
      </c>
      <c r="O784" s="19">
        <f t="shared" si="38"/>
        <v>436</v>
      </c>
      <c r="P784" s="19" t="str">
        <v>Low</v>
      </c>
    </row>
    <row r="785" spans="1:16" x14ac:dyDescent="0.3">
      <c r="A785" s="2" t="s">
        <v>1229</v>
      </c>
      <c r="B785" s="2" t="s">
        <v>1230</v>
      </c>
      <c r="C785" s="19" t="s">
        <v>22</v>
      </c>
      <c r="D785" s="19" t="s">
        <v>15</v>
      </c>
      <c r="E785" s="19" t="s">
        <v>48</v>
      </c>
      <c r="F785" s="19" t="s">
        <v>17</v>
      </c>
      <c r="G785" s="19" t="s">
        <v>26</v>
      </c>
      <c r="H785" s="19" t="s">
        <v>33</v>
      </c>
      <c r="I785" s="19">
        <v>1</v>
      </c>
      <c r="J785" s="19">
        <v>3188</v>
      </c>
      <c r="K785" s="19">
        <v>29</v>
      </c>
      <c r="L785" s="19">
        <v>2263.48</v>
      </c>
      <c r="M785" s="19">
        <f t="shared" si="36"/>
        <v>287141.95999999985</v>
      </c>
      <c r="N785" s="20">
        <f t="shared" si="37"/>
        <v>1323.2348387096768</v>
      </c>
      <c r="O785" s="19">
        <f t="shared" si="38"/>
        <v>434</v>
      </c>
      <c r="P785" s="19" t="str">
        <v>Low</v>
      </c>
    </row>
    <row r="786" spans="1:16" x14ac:dyDescent="0.3">
      <c r="A786" s="2" t="s">
        <v>1650</v>
      </c>
      <c r="B786" s="2" t="s">
        <v>1349</v>
      </c>
      <c r="C786" s="19" t="s">
        <v>660</v>
      </c>
      <c r="D786" s="19" t="s">
        <v>88</v>
      </c>
      <c r="E786" s="19" t="s">
        <v>58</v>
      </c>
      <c r="F786" s="19" t="s">
        <v>49</v>
      </c>
      <c r="G786" s="19" t="s">
        <v>18</v>
      </c>
      <c r="H786" s="19" t="s">
        <v>75</v>
      </c>
      <c r="I786" s="19">
        <v>1</v>
      </c>
      <c r="J786" s="19">
        <v>2721</v>
      </c>
      <c r="K786" s="19">
        <v>17</v>
      </c>
      <c r="L786" s="19">
        <v>2258.4299999999998</v>
      </c>
      <c r="M786" s="19">
        <f t="shared" si="36"/>
        <v>284878.47999999992</v>
      </c>
      <c r="N786" s="20">
        <f t="shared" si="37"/>
        <v>1318.8818518518515</v>
      </c>
      <c r="O786" s="19">
        <f t="shared" si="38"/>
        <v>433</v>
      </c>
      <c r="P786" s="19" t="str">
        <v>Low</v>
      </c>
    </row>
    <row r="787" spans="1:16" x14ac:dyDescent="0.3">
      <c r="A787" s="2" t="s">
        <v>345</v>
      </c>
      <c r="B787" s="2" t="s">
        <v>346</v>
      </c>
      <c r="C787" s="19" t="s">
        <v>36</v>
      </c>
      <c r="D787" s="19" t="s">
        <v>15</v>
      </c>
      <c r="E787" s="19" t="s">
        <v>79</v>
      </c>
      <c r="F787" s="19" t="s">
        <v>40</v>
      </c>
      <c r="G787" s="19" t="s">
        <v>26</v>
      </c>
      <c r="H787" s="19" t="s">
        <v>44</v>
      </c>
      <c r="I787" s="19">
        <v>2</v>
      </c>
      <c r="J787" s="19">
        <v>1163</v>
      </c>
      <c r="K787" s="19">
        <v>3</v>
      </c>
      <c r="L787" s="19">
        <v>2256.2199999999998</v>
      </c>
      <c r="M787" s="19">
        <f t="shared" si="36"/>
        <v>282620.04999999993</v>
      </c>
      <c r="N787" s="20">
        <f t="shared" si="37"/>
        <v>1314.5118604651159</v>
      </c>
      <c r="O787" s="19">
        <f t="shared" si="38"/>
        <v>432</v>
      </c>
      <c r="P787" s="19" t="str">
        <v>Low</v>
      </c>
    </row>
    <row r="788" spans="1:16" x14ac:dyDescent="0.3">
      <c r="A788" s="2" t="s">
        <v>368</v>
      </c>
      <c r="B788" s="2" t="s">
        <v>369</v>
      </c>
      <c r="C788" s="19" t="s">
        <v>370</v>
      </c>
      <c r="D788" s="19" t="s">
        <v>23</v>
      </c>
      <c r="E788" s="19" t="s">
        <v>16</v>
      </c>
      <c r="F788" s="19" t="s">
        <v>40</v>
      </c>
      <c r="G788" s="19" t="s">
        <v>26</v>
      </c>
      <c r="H788" s="19" t="s">
        <v>75</v>
      </c>
      <c r="I788" s="19">
        <v>5</v>
      </c>
      <c r="J788" s="19">
        <v>556</v>
      </c>
      <c r="K788" s="19">
        <v>19</v>
      </c>
      <c r="L788" s="19">
        <v>2251.8000000000002</v>
      </c>
      <c r="M788" s="19">
        <f t="shared" si="36"/>
        <v>280363.8299999999</v>
      </c>
      <c r="N788" s="20">
        <f t="shared" si="37"/>
        <v>1310.1113551401866</v>
      </c>
      <c r="O788" s="19">
        <f t="shared" si="38"/>
        <v>430</v>
      </c>
      <c r="P788" s="19" t="str">
        <v>Low</v>
      </c>
    </row>
    <row r="789" spans="1:16" x14ac:dyDescent="0.3">
      <c r="A789" s="2" t="s">
        <v>488</v>
      </c>
      <c r="B789" s="2" t="s">
        <v>482</v>
      </c>
      <c r="C789" s="19" t="s">
        <v>322</v>
      </c>
      <c r="D789" s="19" t="s">
        <v>88</v>
      </c>
      <c r="E789" s="19" t="s">
        <v>16</v>
      </c>
      <c r="F789" s="19" t="s">
        <v>32</v>
      </c>
      <c r="G789" s="19" t="s">
        <v>40</v>
      </c>
      <c r="H789" s="19" t="s">
        <v>33</v>
      </c>
      <c r="I789" s="19">
        <v>1</v>
      </c>
      <c r="J789" s="19">
        <v>2320</v>
      </c>
      <c r="K789" s="19">
        <v>3</v>
      </c>
      <c r="L789" s="19">
        <v>2250.4</v>
      </c>
      <c r="M789" s="19">
        <f t="shared" si="36"/>
        <v>278112.02999999991</v>
      </c>
      <c r="N789" s="20">
        <f t="shared" si="37"/>
        <v>1305.6902816901404</v>
      </c>
      <c r="O789" s="19">
        <f t="shared" si="38"/>
        <v>425</v>
      </c>
      <c r="P789" s="19" t="str">
        <v>Low</v>
      </c>
    </row>
    <row r="790" spans="1:16" x14ac:dyDescent="0.3">
      <c r="A790" s="2" t="s">
        <v>1657</v>
      </c>
      <c r="B790" s="2" t="s">
        <v>848</v>
      </c>
      <c r="C790" s="19" t="s">
        <v>1340</v>
      </c>
      <c r="D790" s="19" t="s">
        <v>23</v>
      </c>
      <c r="E790" s="19" t="s">
        <v>48</v>
      </c>
      <c r="F790" s="19" t="s">
        <v>49</v>
      </c>
      <c r="G790" s="19" t="s">
        <v>54</v>
      </c>
      <c r="H790" s="19" t="s">
        <v>75</v>
      </c>
      <c r="I790" s="19">
        <v>1</v>
      </c>
      <c r="J790" s="19">
        <v>3124</v>
      </c>
      <c r="K790" s="19">
        <v>28</v>
      </c>
      <c r="L790" s="19">
        <v>2249.2800000000002</v>
      </c>
      <c r="M790" s="19">
        <f t="shared" si="36"/>
        <v>275861.62999999989</v>
      </c>
      <c r="N790" s="20">
        <f t="shared" si="37"/>
        <v>1301.2341037735844</v>
      </c>
      <c r="O790" s="19">
        <f t="shared" si="38"/>
        <v>424</v>
      </c>
      <c r="P790" s="19" t="str">
        <v>Low</v>
      </c>
    </row>
    <row r="791" spans="1:16" x14ac:dyDescent="0.3">
      <c r="A791" s="2" t="s">
        <v>520</v>
      </c>
      <c r="B791" s="2" t="s">
        <v>521</v>
      </c>
      <c r="C791" s="19" t="s">
        <v>522</v>
      </c>
      <c r="D791" s="19" t="s">
        <v>23</v>
      </c>
      <c r="E791" s="19" t="s">
        <v>16</v>
      </c>
      <c r="F791" s="19" t="s">
        <v>25</v>
      </c>
      <c r="G791" s="19" t="s">
        <v>26</v>
      </c>
      <c r="H791" s="19" t="s">
        <v>44</v>
      </c>
      <c r="I791" s="19">
        <v>2</v>
      </c>
      <c r="J791" s="19">
        <v>1367</v>
      </c>
      <c r="K791" s="19">
        <v>18</v>
      </c>
      <c r="L791" s="19">
        <v>2241.88</v>
      </c>
      <c r="M791" s="19">
        <f t="shared" si="36"/>
        <v>273612.34999999998</v>
      </c>
      <c r="N791" s="20">
        <f t="shared" si="37"/>
        <v>1296.7409952606633</v>
      </c>
      <c r="O791" s="19">
        <f t="shared" si="38"/>
        <v>423</v>
      </c>
      <c r="P791" s="19" t="str">
        <v>Low</v>
      </c>
    </row>
    <row r="792" spans="1:16" x14ac:dyDescent="0.3">
      <c r="A792" s="2" t="s">
        <v>708</v>
      </c>
      <c r="B792" s="2" t="s">
        <v>42</v>
      </c>
      <c r="C792" s="19" t="s">
        <v>709</v>
      </c>
      <c r="D792" s="19" t="s">
        <v>15</v>
      </c>
      <c r="E792" s="19" t="s">
        <v>24</v>
      </c>
      <c r="F792" s="19" t="s">
        <v>17</v>
      </c>
      <c r="G792" s="19" t="s">
        <v>26</v>
      </c>
      <c r="H792" s="19" t="s">
        <v>33</v>
      </c>
      <c r="I792" s="19">
        <v>4</v>
      </c>
      <c r="J792" s="19">
        <v>751</v>
      </c>
      <c r="K792" s="19">
        <v>26</v>
      </c>
      <c r="L792" s="19">
        <v>2222.96</v>
      </c>
      <c r="M792" s="19">
        <f t="shared" si="36"/>
        <v>271370.46999999991</v>
      </c>
      <c r="N792" s="20">
        <f t="shared" si="37"/>
        <v>1292.240333333333</v>
      </c>
      <c r="O792" s="19">
        <f t="shared" si="38"/>
        <v>421</v>
      </c>
      <c r="P792" s="19" t="str">
        <v>Low</v>
      </c>
    </row>
    <row r="793" spans="1:16" x14ac:dyDescent="0.3">
      <c r="A793" s="2" t="s">
        <v>873</v>
      </c>
      <c r="B793" s="2" t="s">
        <v>874</v>
      </c>
      <c r="C793" s="19" t="s">
        <v>194</v>
      </c>
      <c r="D793" s="19" t="s">
        <v>53</v>
      </c>
      <c r="E793" s="19" t="s">
        <v>68</v>
      </c>
      <c r="F793" s="19" t="s">
        <v>17</v>
      </c>
      <c r="G793" s="19" t="s">
        <v>62</v>
      </c>
      <c r="H793" s="19" t="s">
        <v>33</v>
      </c>
      <c r="I793" s="19">
        <v>1</v>
      </c>
      <c r="J793" s="19">
        <v>2554</v>
      </c>
      <c r="K793" s="19">
        <v>13</v>
      </c>
      <c r="L793" s="19">
        <v>2221.98</v>
      </c>
      <c r="M793" s="19">
        <f t="shared" si="36"/>
        <v>269147.51</v>
      </c>
      <c r="N793" s="20">
        <f t="shared" si="37"/>
        <v>1287.7871291866029</v>
      </c>
      <c r="O793" s="19">
        <f t="shared" si="38"/>
        <v>417</v>
      </c>
      <c r="P793" s="19" t="str">
        <v>Low</v>
      </c>
    </row>
    <row r="794" spans="1:16" x14ac:dyDescent="0.3">
      <c r="A794" s="2" t="s">
        <v>226</v>
      </c>
      <c r="B794" s="2" t="s">
        <v>227</v>
      </c>
      <c r="C794" s="19" t="s">
        <v>228</v>
      </c>
      <c r="D794" s="19" t="s">
        <v>15</v>
      </c>
      <c r="E794" s="19" t="s">
        <v>58</v>
      </c>
      <c r="F794" s="19" t="s">
        <v>25</v>
      </c>
      <c r="G794" s="19" t="s">
        <v>54</v>
      </c>
      <c r="H794" s="19" t="s">
        <v>44</v>
      </c>
      <c r="I794" s="19">
        <v>5</v>
      </c>
      <c r="J794" s="19">
        <v>443</v>
      </c>
      <c r="K794" s="19">
        <v>0</v>
      </c>
      <c r="L794" s="19">
        <v>2215</v>
      </c>
      <c r="M794" s="19">
        <f t="shared" si="36"/>
        <v>266925.52999999997</v>
      </c>
      <c r="N794" s="20">
        <f t="shared" si="37"/>
        <v>1283.2958173076922</v>
      </c>
      <c r="O794" s="19">
        <f t="shared" si="38"/>
        <v>416</v>
      </c>
      <c r="P794" s="19" t="str">
        <v>Low</v>
      </c>
    </row>
    <row r="795" spans="1:16" x14ac:dyDescent="0.3">
      <c r="A795" s="2" t="s">
        <v>1218</v>
      </c>
      <c r="B795" s="2" t="s">
        <v>696</v>
      </c>
      <c r="C795" s="19" t="s">
        <v>555</v>
      </c>
      <c r="D795" s="19" t="s">
        <v>23</v>
      </c>
      <c r="E795" s="19" t="s">
        <v>79</v>
      </c>
      <c r="F795" s="19" t="s">
        <v>25</v>
      </c>
      <c r="G795" s="19" t="s">
        <v>62</v>
      </c>
      <c r="H795" s="19" t="s">
        <v>75</v>
      </c>
      <c r="I795" s="19">
        <v>2</v>
      </c>
      <c r="J795" s="19">
        <v>1482</v>
      </c>
      <c r="K795" s="19">
        <v>26</v>
      </c>
      <c r="L795" s="19">
        <v>2193.36</v>
      </c>
      <c r="M795" s="19">
        <f t="shared" si="36"/>
        <v>264710.52999999997</v>
      </c>
      <c r="N795" s="20">
        <f t="shared" si="37"/>
        <v>1278.7948309178742</v>
      </c>
      <c r="O795" s="19">
        <f t="shared" si="38"/>
        <v>411</v>
      </c>
      <c r="P795" s="19" t="str">
        <v>Low</v>
      </c>
    </row>
    <row r="796" spans="1:16" x14ac:dyDescent="0.3">
      <c r="A796" s="2" t="s">
        <v>178</v>
      </c>
      <c r="B796" s="2" t="s">
        <v>179</v>
      </c>
      <c r="C796" s="19" t="s">
        <v>180</v>
      </c>
      <c r="D796" s="19" t="s">
        <v>15</v>
      </c>
      <c r="E796" s="19" t="s">
        <v>58</v>
      </c>
      <c r="F796" s="19" t="s">
        <v>40</v>
      </c>
      <c r="G796" s="19" t="s">
        <v>26</v>
      </c>
      <c r="H796" s="19" t="s">
        <v>75</v>
      </c>
      <c r="I796" s="19">
        <v>2</v>
      </c>
      <c r="J796" s="19">
        <v>1305</v>
      </c>
      <c r="K796" s="19">
        <v>16</v>
      </c>
      <c r="L796" s="19">
        <v>2192.4</v>
      </c>
      <c r="M796" s="19">
        <f t="shared" si="36"/>
        <v>262517.17</v>
      </c>
      <c r="N796" s="20">
        <f t="shared" si="37"/>
        <v>1274.3551941747571</v>
      </c>
      <c r="O796" s="19">
        <f t="shared" si="38"/>
        <v>409</v>
      </c>
      <c r="P796" s="19" t="str">
        <v>Low</v>
      </c>
    </row>
    <row r="797" spans="1:16" x14ac:dyDescent="0.3">
      <c r="A797" s="2" t="s">
        <v>471</v>
      </c>
      <c r="B797" s="2" t="s">
        <v>472</v>
      </c>
      <c r="C797" s="19" t="s">
        <v>183</v>
      </c>
      <c r="D797" s="19" t="s">
        <v>30</v>
      </c>
      <c r="E797" s="19" t="s">
        <v>79</v>
      </c>
      <c r="F797" s="19" t="s">
        <v>40</v>
      </c>
      <c r="G797" s="19" t="s">
        <v>40</v>
      </c>
      <c r="H797" s="19" t="s">
        <v>33</v>
      </c>
      <c r="I797" s="19">
        <v>1</v>
      </c>
      <c r="J797" s="19">
        <v>2224</v>
      </c>
      <c r="K797" s="19">
        <v>3</v>
      </c>
      <c r="L797" s="19">
        <v>2157.2800000000002</v>
      </c>
      <c r="M797" s="19">
        <f t="shared" si="36"/>
        <v>260324.77000000002</v>
      </c>
      <c r="N797" s="20">
        <f t="shared" si="37"/>
        <v>1269.8769268292683</v>
      </c>
      <c r="O797" s="19">
        <f t="shared" si="38"/>
        <v>407</v>
      </c>
      <c r="P797" s="19" t="str">
        <v>Low</v>
      </c>
    </row>
    <row r="798" spans="1:16" x14ac:dyDescent="0.3">
      <c r="A798" s="2" t="s">
        <v>811</v>
      </c>
      <c r="B798" s="2" t="s">
        <v>249</v>
      </c>
      <c r="C798" s="19" t="s">
        <v>102</v>
      </c>
      <c r="D798" s="19" t="s">
        <v>15</v>
      </c>
      <c r="E798" s="19" t="s">
        <v>31</v>
      </c>
      <c r="F798" s="19" t="s">
        <v>32</v>
      </c>
      <c r="G798" s="19" t="s">
        <v>40</v>
      </c>
      <c r="H798" s="19" t="s">
        <v>33</v>
      </c>
      <c r="I798" s="19">
        <v>3</v>
      </c>
      <c r="J798" s="19">
        <v>1014</v>
      </c>
      <c r="K798" s="19">
        <v>30</v>
      </c>
      <c r="L798" s="19">
        <v>2129.4</v>
      </c>
      <c r="M798" s="19">
        <f t="shared" si="36"/>
        <v>258167.49000000002</v>
      </c>
      <c r="N798" s="20">
        <f t="shared" si="37"/>
        <v>1265.526911764706</v>
      </c>
      <c r="O798" s="19">
        <f t="shared" si="38"/>
        <v>406</v>
      </c>
      <c r="P798" s="19" t="str">
        <v>Low</v>
      </c>
    </row>
    <row r="799" spans="1:16" x14ac:dyDescent="0.3">
      <c r="A799" s="2" t="s">
        <v>131</v>
      </c>
      <c r="B799" s="2" t="s">
        <v>132</v>
      </c>
      <c r="C799" s="19" t="s">
        <v>133</v>
      </c>
      <c r="D799" s="19" t="s">
        <v>30</v>
      </c>
      <c r="E799" s="19" t="s">
        <v>58</v>
      </c>
      <c r="F799" s="19" t="s">
        <v>49</v>
      </c>
      <c r="G799" s="19" t="s">
        <v>62</v>
      </c>
      <c r="H799" s="19" t="s">
        <v>44</v>
      </c>
      <c r="I799" s="19">
        <v>1</v>
      </c>
      <c r="J799" s="19">
        <v>2182</v>
      </c>
      <c r="K799" s="19">
        <v>4</v>
      </c>
      <c r="L799" s="19">
        <v>2094.7199999999998</v>
      </c>
      <c r="M799" s="19">
        <f t="shared" si="36"/>
        <v>256038.08999999997</v>
      </c>
      <c r="N799" s="20">
        <f t="shared" si="37"/>
        <v>1261.2713793103446</v>
      </c>
      <c r="O799" s="19">
        <f t="shared" si="38"/>
        <v>403</v>
      </c>
      <c r="P799" s="19" t="str">
        <v>Low</v>
      </c>
    </row>
    <row r="800" spans="1:16" x14ac:dyDescent="0.3">
      <c r="A800" s="2" t="s">
        <v>371</v>
      </c>
      <c r="B800" s="2" t="s">
        <v>372</v>
      </c>
      <c r="C800" s="19" t="s">
        <v>373</v>
      </c>
      <c r="D800" s="19" t="s">
        <v>88</v>
      </c>
      <c r="E800" s="19" t="s">
        <v>79</v>
      </c>
      <c r="F800" s="19" t="s">
        <v>17</v>
      </c>
      <c r="G800" s="19" t="s">
        <v>40</v>
      </c>
      <c r="H800" s="19" t="s">
        <v>75</v>
      </c>
      <c r="I800" s="19">
        <v>2</v>
      </c>
      <c r="J800" s="19">
        <v>1198</v>
      </c>
      <c r="K800" s="19">
        <v>14</v>
      </c>
      <c r="L800" s="19">
        <v>2060.56</v>
      </c>
      <c r="M800" s="19">
        <f t="shared" si="36"/>
        <v>253943.36999999997</v>
      </c>
      <c r="N800" s="20">
        <f t="shared" si="37"/>
        <v>1257.1453960396038</v>
      </c>
      <c r="O800" s="19">
        <f t="shared" si="38"/>
        <v>402</v>
      </c>
      <c r="P800" s="19" t="str">
        <v>Low</v>
      </c>
    </row>
    <row r="801" spans="1:16" x14ac:dyDescent="0.3">
      <c r="A801" s="2" t="s">
        <v>1543</v>
      </c>
      <c r="B801" s="2" t="s">
        <v>403</v>
      </c>
      <c r="C801" s="19" t="s">
        <v>124</v>
      </c>
      <c r="D801" s="19" t="s">
        <v>88</v>
      </c>
      <c r="E801" s="19" t="s">
        <v>58</v>
      </c>
      <c r="F801" s="19" t="s">
        <v>17</v>
      </c>
      <c r="G801" s="19" t="s">
        <v>26</v>
      </c>
      <c r="H801" s="19" t="s">
        <v>44</v>
      </c>
      <c r="I801" s="19">
        <v>1</v>
      </c>
      <c r="J801" s="19">
        <v>2208</v>
      </c>
      <c r="K801" s="19">
        <v>8</v>
      </c>
      <c r="L801" s="19">
        <v>2031.36</v>
      </c>
      <c r="M801" s="19">
        <f t="shared" si="36"/>
        <v>251882.80999999997</v>
      </c>
      <c r="N801" s="20">
        <f t="shared" si="37"/>
        <v>1253.1483084577112</v>
      </c>
      <c r="O801" s="19">
        <f t="shared" si="38"/>
        <v>400</v>
      </c>
      <c r="P801" s="19" t="str">
        <v>Low</v>
      </c>
    </row>
    <row r="802" spans="1:16" x14ac:dyDescent="0.3">
      <c r="A802" s="2" t="s">
        <v>1643</v>
      </c>
      <c r="B802" s="2" t="s">
        <v>1484</v>
      </c>
      <c r="C802" s="19" t="s">
        <v>1249</v>
      </c>
      <c r="D802" s="19" t="s">
        <v>30</v>
      </c>
      <c r="E802" s="19" t="s">
        <v>79</v>
      </c>
      <c r="F802" s="19" t="s">
        <v>40</v>
      </c>
      <c r="G802" s="19" t="s">
        <v>54</v>
      </c>
      <c r="H802" s="19" t="s">
        <v>33</v>
      </c>
      <c r="I802" s="19">
        <v>2</v>
      </c>
      <c r="J802" s="19">
        <v>1390</v>
      </c>
      <c r="K802" s="19">
        <v>28</v>
      </c>
      <c r="L802" s="19">
        <v>2001.6</v>
      </c>
      <c r="M802" s="19">
        <f t="shared" si="36"/>
        <v>249851.45</v>
      </c>
      <c r="N802" s="20">
        <f t="shared" si="37"/>
        <v>1249.2572500000001</v>
      </c>
      <c r="O802" s="19">
        <f t="shared" si="38"/>
        <v>399</v>
      </c>
      <c r="P802" s="19" t="str">
        <v>Low</v>
      </c>
    </row>
    <row r="803" spans="1:16" x14ac:dyDescent="0.3">
      <c r="A803" s="2" t="s">
        <v>1381</v>
      </c>
      <c r="B803" s="2" t="s">
        <v>1382</v>
      </c>
      <c r="C803" s="19" t="s">
        <v>1298</v>
      </c>
      <c r="D803" s="19" t="s">
        <v>53</v>
      </c>
      <c r="E803" s="19" t="s">
        <v>68</v>
      </c>
      <c r="F803" s="19" t="s">
        <v>17</v>
      </c>
      <c r="G803" s="19" t="s">
        <v>26</v>
      </c>
      <c r="H803" s="19" t="s">
        <v>75</v>
      </c>
      <c r="I803" s="19">
        <v>2</v>
      </c>
      <c r="J803" s="19">
        <v>1060</v>
      </c>
      <c r="K803" s="19">
        <v>6</v>
      </c>
      <c r="L803" s="19">
        <v>1992.8</v>
      </c>
      <c r="M803" s="19">
        <f t="shared" si="36"/>
        <v>247849.85</v>
      </c>
      <c r="N803" s="20">
        <f t="shared" si="37"/>
        <v>1245.4766331658291</v>
      </c>
      <c r="O803" s="19">
        <f t="shared" si="38"/>
        <v>397</v>
      </c>
      <c r="P803" s="19" t="str">
        <v>Low</v>
      </c>
    </row>
    <row r="804" spans="1:16" x14ac:dyDescent="0.3">
      <c r="A804" s="2" t="s">
        <v>297</v>
      </c>
      <c r="B804" s="2" t="s">
        <v>83</v>
      </c>
      <c r="C804" s="19" t="s">
        <v>298</v>
      </c>
      <c r="D804" s="19" t="s">
        <v>53</v>
      </c>
      <c r="E804" s="19" t="s">
        <v>79</v>
      </c>
      <c r="F804" s="19" t="s">
        <v>40</v>
      </c>
      <c r="G804" s="19" t="s">
        <v>54</v>
      </c>
      <c r="H804" s="19" t="s">
        <v>19</v>
      </c>
      <c r="I804" s="19">
        <v>3</v>
      </c>
      <c r="J804" s="19">
        <v>857</v>
      </c>
      <c r="K804" s="19">
        <v>23</v>
      </c>
      <c r="L804" s="19">
        <v>1979.67</v>
      </c>
      <c r="M804" s="19">
        <f t="shared" si="36"/>
        <v>245857.05</v>
      </c>
      <c r="N804" s="20">
        <f t="shared" si="37"/>
        <v>1241.7022727272727</v>
      </c>
      <c r="O804" s="19">
        <f t="shared" si="38"/>
        <v>395</v>
      </c>
      <c r="P804" s="19" t="str">
        <v>Low</v>
      </c>
    </row>
    <row r="805" spans="1:16" x14ac:dyDescent="0.3">
      <c r="A805" s="2" t="s">
        <v>1459</v>
      </c>
      <c r="B805" s="2" t="s">
        <v>874</v>
      </c>
      <c r="C805" s="19" t="s">
        <v>468</v>
      </c>
      <c r="D805" s="19" t="s">
        <v>23</v>
      </c>
      <c r="E805" s="19" t="s">
        <v>16</v>
      </c>
      <c r="F805" s="19" t="s">
        <v>17</v>
      </c>
      <c r="G805" s="19" t="s">
        <v>54</v>
      </c>
      <c r="H805" s="19" t="s">
        <v>33</v>
      </c>
      <c r="I805" s="19">
        <v>1</v>
      </c>
      <c r="J805" s="19">
        <v>2221</v>
      </c>
      <c r="K805" s="19">
        <v>11</v>
      </c>
      <c r="L805" s="19">
        <v>1976.69</v>
      </c>
      <c r="M805" s="19">
        <f t="shared" si="36"/>
        <v>243877.37999999998</v>
      </c>
      <c r="N805" s="20">
        <f t="shared" si="37"/>
        <v>1237.9562436548222</v>
      </c>
      <c r="O805" s="19">
        <f t="shared" si="38"/>
        <v>392</v>
      </c>
      <c r="P805" s="19" t="str">
        <v>Low</v>
      </c>
    </row>
    <row r="806" spans="1:16" x14ac:dyDescent="0.3">
      <c r="A806" s="2" t="s">
        <v>1503</v>
      </c>
      <c r="B806" s="2" t="s">
        <v>1504</v>
      </c>
      <c r="C806" s="19" t="s">
        <v>700</v>
      </c>
      <c r="D806" s="19" t="s">
        <v>23</v>
      </c>
      <c r="E806" s="19" t="s">
        <v>58</v>
      </c>
      <c r="F806" s="19" t="s">
        <v>32</v>
      </c>
      <c r="G806" s="19" t="s">
        <v>18</v>
      </c>
      <c r="H806" s="19" t="s">
        <v>19</v>
      </c>
      <c r="I806" s="19">
        <v>1</v>
      </c>
      <c r="J806" s="19">
        <v>2628</v>
      </c>
      <c r="K806" s="19">
        <v>25</v>
      </c>
      <c r="L806" s="19">
        <v>1971</v>
      </c>
      <c r="M806" s="19">
        <f t="shared" si="36"/>
        <v>241900.69</v>
      </c>
      <c r="N806" s="20">
        <f t="shared" si="37"/>
        <v>1234.187193877551</v>
      </c>
      <c r="O806" s="19">
        <f t="shared" si="38"/>
        <v>391</v>
      </c>
      <c r="P806" s="19" t="str">
        <v>Low</v>
      </c>
    </row>
    <row r="807" spans="1:16" x14ac:dyDescent="0.3">
      <c r="A807" s="2" t="s">
        <v>620</v>
      </c>
      <c r="B807" s="2" t="s">
        <v>621</v>
      </c>
      <c r="C807" s="19" t="s">
        <v>166</v>
      </c>
      <c r="D807" s="19" t="s">
        <v>30</v>
      </c>
      <c r="E807" s="19" t="s">
        <v>31</v>
      </c>
      <c r="F807" s="19" t="s">
        <v>17</v>
      </c>
      <c r="G807" s="19" t="s">
        <v>26</v>
      </c>
      <c r="H807" s="19" t="s">
        <v>75</v>
      </c>
      <c r="I807" s="19">
        <v>2</v>
      </c>
      <c r="J807" s="19">
        <v>1005</v>
      </c>
      <c r="K807" s="19">
        <v>2</v>
      </c>
      <c r="L807" s="19">
        <v>1969.8</v>
      </c>
      <c r="M807" s="19">
        <f t="shared" si="36"/>
        <v>239929.68999999997</v>
      </c>
      <c r="N807" s="20">
        <f t="shared" si="37"/>
        <v>1230.4086666666665</v>
      </c>
      <c r="O807" s="19">
        <f t="shared" si="38"/>
        <v>390</v>
      </c>
      <c r="P807" s="19" t="str">
        <v>Low</v>
      </c>
    </row>
    <row r="808" spans="1:16" x14ac:dyDescent="0.3">
      <c r="A808" s="2" t="s">
        <v>1305</v>
      </c>
      <c r="B808" s="2" t="s">
        <v>810</v>
      </c>
      <c r="C808" s="19" t="s">
        <v>1301</v>
      </c>
      <c r="D808" s="19" t="s">
        <v>15</v>
      </c>
      <c r="E808" s="19" t="s">
        <v>68</v>
      </c>
      <c r="F808" s="19" t="s">
        <v>40</v>
      </c>
      <c r="G808" s="19" t="s">
        <v>54</v>
      </c>
      <c r="H808" s="19" t="s">
        <v>19</v>
      </c>
      <c r="I808" s="19">
        <v>1</v>
      </c>
      <c r="J808" s="19">
        <v>2403</v>
      </c>
      <c r="K808" s="19">
        <v>19</v>
      </c>
      <c r="L808" s="19">
        <v>1946.43</v>
      </c>
      <c r="M808" s="19">
        <f t="shared" si="36"/>
        <v>237959.89</v>
      </c>
      <c r="N808" s="20">
        <f t="shared" si="37"/>
        <v>1226.5973711340207</v>
      </c>
      <c r="O808" s="19">
        <f t="shared" si="38"/>
        <v>388</v>
      </c>
      <c r="P808" s="19" t="str">
        <v>Low</v>
      </c>
    </row>
    <row r="809" spans="1:16" x14ac:dyDescent="0.3">
      <c r="A809" s="2" t="s">
        <v>1074</v>
      </c>
      <c r="B809" s="2" t="s">
        <v>389</v>
      </c>
      <c r="C809" s="19" t="s">
        <v>1075</v>
      </c>
      <c r="D809" s="19" t="s">
        <v>53</v>
      </c>
      <c r="E809" s="19" t="s">
        <v>68</v>
      </c>
      <c r="F809" s="19" t="s">
        <v>25</v>
      </c>
      <c r="G809" s="19" t="s">
        <v>40</v>
      </c>
      <c r="H809" s="19" t="s">
        <v>75</v>
      </c>
      <c r="I809" s="19">
        <v>2</v>
      </c>
      <c r="J809" s="19">
        <v>1128</v>
      </c>
      <c r="K809" s="19">
        <v>14</v>
      </c>
      <c r="L809" s="19">
        <v>1940.16</v>
      </c>
      <c r="M809" s="19">
        <f t="shared" si="36"/>
        <v>236013.46000000002</v>
      </c>
      <c r="N809" s="20">
        <f t="shared" si="37"/>
        <v>1222.8676683937824</v>
      </c>
      <c r="O809" s="19">
        <f t="shared" si="38"/>
        <v>387</v>
      </c>
      <c r="P809" s="19" t="str">
        <v>Low</v>
      </c>
    </row>
    <row r="810" spans="1:16" x14ac:dyDescent="0.3">
      <c r="A810" s="2" t="s">
        <v>1235</v>
      </c>
      <c r="B810" s="2" t="s">
        <v>121</v>
      </c>
      <c r="C810" s="19" t="s">
        <v>175</v>
      </c>
      <c r="D810" s="19" t="s">
        <v>53</v>
      </c>
      <c r="E810" s="19" t="s">
        <v>16</v>
      </c>
      <c r="F810" s="19" t="s">
        <v>32</v>
      </c>
      <c r="G810" s="19" t="s">
        <v>40</v>
      </c>
      <c r="H810" s="19" t="s">
        <v>75</v>
      </c>
      <c r="I810" s="19">
        <v>1</v>
      </c>
      <c r="J810" s="19">
        <v>2104</v>
      </c>
      <c r="K810" s="19">
        <v>8</v>
      </c>
      <c r="L810" s="19">
        <v>1935.68</v>
      </c>
      <c r="M810" s="19">
        <f t="shared" si="36"/>
        <v>234073.30000000002</v>
      </c>
      <c r="N810" s="20">
        <f t="shared" si="37"/>
        <v>1219.1317708333333</v>
      </c>
      <c r="O810" s="19">
        <f t="shared" si="38"/>
        <v>385</v>
      </c>
      <c r="P810" s="19" t="str">
        <v>Low</v>
      </c>
    </row>
    <row r="811" spans="1:16" x14ac:dyDescent="0.3">
      <c r="A811" s="2" t="s">
        <v>753</v>
      </c>
      <c r="B811" s="2" t="s">
        <v>498</v>
      </c>
      <c r="C811" s="19" t="s">
        <v>284</v>
      </c>
      <c r="D811" s="19" t="s">
        <v>30</v>
      </c>
      <c r="E811" s="19" t="s">
        <v>68</v>
      </c>
      <c r="F811" s="19" t="s">
        <v>32</v>
      </c>
      <c r="G811" s="19" t="s">
        <v>62</v>
      </c>
      <c r="H811" s="19" t="s">
        <v>19</v>
      </c>
      <c r="I811" s="19">
        <v>3</v>
      </c>
      <c r="J811" s="19">
        <v>672</v>
      </c>
      <c r="K811" s="19">
        <v>4</v>
      </c>
      <c r="L811" s="19">
        <v>1935.36</v>
      </c>
      <c r="M811" s="19">
        <f t="shared" si="36"/>
        <v>232137.62000000002</v>
      </c>
      <c r="N811" s="20">
        <f t="shared" si="37"/>
        <v>1215.3802094240839</v>
      </c>
      <c r="O811" s="19">
        <f t="shared" si="38"/>
        <v>384</v>
      </c>
      <c r="P811" s="19" t="str">
        <v>Low</v>
      </c>
    </row>
    <row r="812" spans="1:16" x14ac:dyDescent="0.3">
      <c r="A812" s="2" t="s">
        <v>1337</v>
      </c>
      <c r="B812" s="2" t="s">
        <v>1338</v>
      </c>
      <c r="C812" s="19" t="s">
        <v>1203</v>
      </c>
      <c r="D812" s="19" t="s">
        <v>88</v>
      </c>
      <c r="E812" s="19" t="s">
        <v>31</v>
      </c>
      <c r="F812" s="19" t="s">
        <v>32</v>
      </c>
      <c r="G812" s="19" t="s">
        <v>18</v>
      </c>
      <c r="H812" s="19" t="s">
        <v>33</v>
      </c>
      <c r="I812" s="19">
        <v>1</v>
      </c>
      <c r="J812" s="19">
        <v>2032</v>
      </c>
      <c r="K812" s="19">
        <v>5</v>
      </c>
      <c r="L812" s="19">
        <v>1930.4</v>
      </c>
      <c r="M812" s="19">
        <f t="shared" si="36"/>
        <v>230202.26000000004</v>
      </c>
      <c r="N812" s="20">
        <f t="shared" si="37"/>
        <v>1211.5908421052634</v>
      </c>
      <c r="O812" s="19">
        <f t="shared" si="38"/>
        <v>381</v>
      </c>
      <c r="P812" s="19" t="str">
        <v>Low</v>
      </c>
    </row>
    <row r="813" spans="1:16" x14ac:dyDescent="0.3">
      <c r="A813" s="2" t="s">
        <v>1369</v>
      </c>
      <c r="B813" s="2" t="s">
        <v>307</v>
      </c>
      <c r="C813" s="19" t="s">
        <v>758</v>
      </c>
      <c r="D813" s="19" t="s">
        <v>15</v>
      </c>
      <c r="E813" s="19" t="s">
        <v>24</v>
      </c>
      <c r="F813" s="19" t="s">
        <v>17</v>
      </c>
      <c r="G813" s="19" t="s">
        <v>40</v>
      </c>
      <c r="H813" s="19" t="s">
        <v>44</v>
      </c>
      <c r="I813" s="19">
        <v>2</v>
      </c>
      <c r="J813" s="19">
        <v>1135</v>
      </c>
      <c r="K813" s="19">
        <v>15</v>
      </c>
      <c r="L813" s="19">
        <v>1929.5</v>
      </c>
      <c r="M813" s="19">
        <f t="shared" si="36"/>
        <v>228271.86000000002</v>
      </c>
      <c r="N813" s="20">
        <f t="shared" si="37"/>
        <v>1207.787619047619</v>
      </c>
      <c r="O813" s="19">
        <f t="shared" si="38"/>
        <v>380</v>
      </c>
      <c r="P813" s="19" t="str">
        <v>Low</v>
      </c>
    </row>
    <row r="814" spans="1:16" x14ac:dyDescent="0.3">
      <c r="A814" s="2" t="s">
        <v>1206</v>
      </c>
      <c r="B814" s="2" t="s">
        <v>224</v>
      </c>
      <c r="C814" s="19" t="s">
        <v>549</v>
      </c>
      <c r="D814" s="19" t="s">
        <v>53</v>
      </c>
      <c r="E814" s="19" t="s">
        <v>24</v>
      </c>
      <c r="F814" s="19" t="s">
        <v>25</v>
      </c>
      <c r="G814" s="19" t="s">
        <v>26</v>
      </c>
      <c r="H814" s="19" t="s">
        <v>44</v>
      </c>
      <c r="I814" s="19">
        <v>3</v>
      </c>
      <c r="J814" s="19">
        <v>722</v>
      </c>
      <c r="K814" s="19">
        <v>11</v>
      </c>
      <c r="L814" s="19">
        <v>1927.74</v>
      </c>
      <c r="M814" s="19">
        <f t="shared" si="36"/>
        <v>226342.36000000004</v>
      </c>
      <c r="N814" s="20">
        <f t="shared" si="37"/>
        <v>1203.9487234042556</v>
      </c>
      <c r="O814" s="19">
        <f t="shared" si="38"/>
        <v>378</v>
      </c>
      <c r="P814" s="19" t="str">
        <v>Low</v>
      </c>
    </row>
    <row r="815" spans="1:16" x14ac:dyDescent="0.3">
      <c r="A815" s="2" t="s">
        <v>1470</v>
      </c>
      <c r="B815" s="2" t="s">
        <v>746</v>
      </c>
      <c r="C815" s="19" t="s">
        <v>57</v>
      </c>
      <c r="D815" s="19" t="s">
        <v>30</v>
      </c>
      <c r="E815" s="19" t="s">
        <v>31</v>
      </c>
      <c r="F815" s="19" t="s">
        <v>49</v>
      </c>
      <c r="G815" s="19" t="s">
        <v>40</v>
      </c>
      <c r="H815" s="19" t="s">
        <v>44</v>
      </c>
      <c r="I815" s="19">
        <v>1</v>
      </c>
      <c r="J815" s="19">
        <v>2592</v>
      </c>
      <c r="K815" s="19">
        <v>26</v>
      </c>
      <c r="L815" s="19">
        <v>1918.08</v>
      </c>
      <c r="M815" s="19">
        <f t="shared" si="36"/>
        <v>224414.62000000002</v>
      </c>
      <c r="N815" s="20">
        <f t="shared" si="37"/>
        <v>1200.078181818182</v>
      </c>
      <c r="O815" s="19">
        <f t="shared" si="38"/>
        <v>375</v>
      </c>
      <c r="P815" s="19" t="str">
        <v>Low</v>
      </c>
    </row>
    <row r="816" spans="1:16" x14ac:dyDescent="0.3">
      <c r="A816" s="2" t="s">
        <v>617</v>
      </c>
      <c r="B816" s="2" t="s">
        <v>618</v>
      </c>
      <c r="C816" s="19" t="s">
        <v>619</v>
      </c>
      <c r="D816" s="19" t="s">
        <v>53</v>
      </c>
      <c r="E816" s="19" t="s">
        <v>48</v>
      </c>
      <c r="F816" s="19" t="s">
        <v>40</v>
      </c>
      <c r="G816" s="19" t="s">
        <v>26</v>
      </c>
      <c r="H816" s="19" t="s">
        <v>33</v>
      </c>
      <c r="I816" s="19">
        <v>1</v>
      </c>
      <c r="J816" s="19">
        <v>2365</v>
      </c>
      <c r="K816" s="19">
        <v>19</v>
      </c>
      <c r="L816" s="19">
        <v>1915.65</v>
      </c>
      <c r="M816" s="19">
        <f t="shared" si="36"/>
        <v>222496.54000000004</v>
      </c>
      <c r="N816" s="20">
        <f t="shared" si="37"/>
        <v>1196.2179569892476</v>
      </c>
      <c r="O816" s="19">
        <f t="shared" si="38"/>
        <v>374</v>
      </c>
      <c r="P816" s="19" t="str">
        <v>Low</v>
      </c>
    </row>
    <row r="817" spans="1:16" x14ac:dyDescent="0.3">
      <c r="A817" s="2" t="s">
        <v>1019</v>
      </c>
      <c r="B817" s="2" t="s">
        <v>605</v>
      </c>
      <c r="C817" s="19" t="s">
        <v>284</v>
      </c>
      <c r="D817" s="19" t="s">
        <v>30</v>
      </c>
      <c r="E817" s="19" t="s">
        <v>16</v>
      </c>
      <c r="F817" s="19" t="s">
        <v>40</v>
      </c>
      <c r="G817" s="19" t="s">
        <v>54</v>
      </c>
      <c r="H817" s="19" t="s">
        <v>44</v>
      </c>
      <c r="I817" s="19">
        <v>1</v>
      </c>
      <c r="J817" s="19">
        <v>2163</v>
      </c>
      <c r="K817" s="19">
        <v>12</v>
      </c>
      <c r="L817" s="19">
        <v>1903.44</v>
      </c>
      <c r="M817" s="19">
        <f t="shared" si="36"/>
        <v>220580.89</v>
      </c>
      <c r="N817" s="20">
        <f t="shared" si="37"/>
        <v>1192.3291351351352</v>
      </c>
      <c r="O817" s="19">
        <f t="shared" si="38"/>
        <v>373</v>
      </c>
      <c r="P817" s="19" t="str">
        <v>Low</v>
      </c>
    </row>
    <row r="818" spans="1:16" x14ac:dyDescent="0.3">
      <c r="A818" s="2" t="s">
        <v>1361</v>
      </c>
      <c r="B818" s="2" t="s">
        <v>760</v>
      </c>
      <c r="C818" s="19" t="s">
        <v>1161</v>
      </c>
      <c r="D818" s="19" t="s">
        <v>23</v>
      </c>
      <c r="E818" s="19" t="s">
        <v>31</v>
      </c>
      <c r="F818" s="19" t="s">
        <v>25</v>
      </c>
      <c r="G818" s="19" t="s">
        <v>18</v>
      </c>
      <c r="H818" s="19" t="s">
        <v>44</v>
      </c>
      <c r="I818" s="19">
        <v>1</v>
      </c>
      <c r="J818" s="19">
        <v>2291</v>
      </c>
      <c r="K818" s="19">
        <v>17</v>
      </c>
      <c r="L818" s="19">
        <v>1901.53</v>
      </c>
      <c r="M818" s="19">
        <f t="shared" si="36"/>
        <v>218677.45</v>
      </c>
      <c r="N818" s="20">
        <f t="shared" si="37"/>
        <v>1188.4644021739132</v>
      </c>
      <c r="O818" s="19">
        <f t="shared" si="38"/>
        <v>372</v>
      </c>
      <c r="P818" s="19" t="str">
        <v>Low</v>
      </c>
    </row>
    <row r="819" spans="1:16" x14ac:dyDescent="0.3">
      <c r="A819" s="2" t="s">
        <v>1590</v>
      </c>
      <c r="B819" s="2" t="s">
        <v>665</v>
      </c>
      <c r="C819" s="19" t="s">
        <v>1227</v>
      </c>
      <c r="D819" s="19" t="s">
        <v>53</v>
      </c>
      <c r="E819" s="19" t="s">
        <v>79</v>
      </c>
      <c r="F819" s="19" t="s">
        <v>25</v>
      </c>
      <c r="G819" s="19" t="s">
        <v>54</v>
      </c>
      <c r="H819" s="19" t="s">
        <v>33</v>
      </c>
      <c r="I819" s="19">
        <v>1</v>
      </c>
      <c r="J819" s="19">
        <v>1976</v>
      </c>
      <c r="K819" s="19">
        <v>4</v>
      </c>
      <c r="L819" s="19">
        <v>1896.96</v>
      </c>
      <c r="M819" s="19">
        <f t="shared" si="36"/>
        <v>216775.92000000004</v>
      </c>
      <c r="N819" s="20">
        <f t="shared" si="37"/>
        <v>1184.5678688524592</v>
      </c>
      <c r="O819" s="19">
        <f t="shared" si="38"/>
        <v>371</v>
      </c>
      <c r="P819" s="19" t="str">
        <v>Low</v>
      </c>
    </row>
    <row r="820" spans="1:16" x14ac:dyDescent="0.3">
      <c r="A820" s="2" t="s">
        <v>1260</v>
      </c>
      <c r="B820" s="2" t="s">
        <v>1025</v>
      </c>
      <c r="C820" s="19" t="s">
        <v>678</v>
      </c>
      <c r="D820" s="19" t="s">
        <v>23</v>
      </c>
      <c r="E820" s="19" t="s">
        <v>31</v>
      </c>
      <c r="F820" s="19" t="s">
        <v>40</v>
      </c>
      <c r="G820" s="19" t="s">
        <v>18</v>
      </c>
      <c r="H820" s="19" t="s">
        <v>33</v>
      </c>
      <c r="I820" s="19">
        <v>1</v>
      </c>
      <c r="J820" s="19">
        <v>2366</v>
      </c>
      <c r="K820" s="19">
        <v>20</v>
      </c>
      <c r="L820" s="19">
        <v>1892.8</v>
      </c>
      <c r="M820" s="19">
        <f t="shared" si="36"/>
        <v>214878.96000000002</v>
      </c>
      <c r="N820" s="20">
        <f t="shared" si="37"/>
        <v>1180.6536263736266</v>
      </c>
      <c r="O820" s="19">
        <f t="shared" si="38"/>
        <v>370</v>
      </c>
      <c r="P820" s="19" t="str">
        <v>Low</v>
      </c>
    </row>
    <row r="821" spans="1:16" x14ac:dyDescent="0.3">
      <c r="A821" s="2" t="s">
        <v>967</v>
      </c>
      <c r="B821" s="2" t="s">
        <v>366</v>
      </c>
      <c r="C821" s="19" t="s">
        <v>968</v>
      </c>
      <c r="D821" s="19" t="s">
        <v>88</v>
      </c>
      <c r="E821" s="19" t="s">
        <v>68</v>
      </c>
      <c r="F821" s="19" t="s">
        <v>49</v>
      </c>
      <c r="G821" s="19" t="s">
        <v>62</v>
      </c>
      <c r="H821" s="19" t="s">
        <v>44</v>
      </c>
      <c r="I821" s="19">
        <v>5</v>
      </c>
      <c r="J821" s="19">
        <v>420</v>
      </c>
      <c r="K821" s="19">
        <v>10</v>
      </c>
      <c r="L821" s="19">
        <v>1890</v>
      </c>
      <c r="M821" s="19">
        <f t="shared" si="36"/>
        <v>212986.16</v>
      </c>
      <c r="N821" s="20">
        <f t="shared" si="37"/>
        <v>1176.7191160220996</v>
      </c>
      <c r="O821" s="19">
        <f t="shared" si="38"/>
        <v>369</v>
      </c>
      <c r="P821" s="19" t="str">
        <v>Low</v>
      </c>
    </row>
    <row r="822" spans="1:16" x14ac:dyDescent="0.3">
      <c r="A822" s="2" t="s">
        <v>1580</v>
      </c>
      <c r="B822" s="2" t="s">
        <v>21</v>
      </c>
      <c r="C822" s="19" t="s">
        <v>635</v>
      </c>
      <c r="D822" s="19" t="s">
        <v>88</v>
      </c>
      <c r="E822" s="19" t="s">
        <v>58</v>
      </c>
      <c r="F822" s="19" t="s">
        <v>32</v>
      </c>
      <c r="G822" s="19" t="s">
        <v>26</v>
      </c>
      <c r="H822" s="19" t="s">
        <v>33</v>
      </c>
      <c r="I822" s="19">
        <v>3</v>
      </c>
      <c r="J822" s="19">
        <v>858</v>
      </c>
      <c r="K822" s="19">
        <v>27</v>
      </c>
      <c r="L822" s="19">
        <v>1879.02</v>
      </c>
      <c r="M822" s="19">
        <f t="shared" si="36"/>
        <v>211096.16</v>
      </c>
      <c r="N822" s="20">
        <f t="shared" si="37"/>
        <v>1172.7564444444445</v>
      </c>
      <c r="O822" s="19">
        <f t="shared" si="38"/>
        <v>364</v>
      </c>
      <c r="P822" s="19" t="str">
        <v>Low</v>
      </c>
    </row>
    <row r="823" spans="1:16" x14ac:dyDescent="0.3">
      <c r="A823" s="2" t="s">
        <v>1283</v>
      </c>
      <c r="B823" s="2" t="s">
        <v>132</v>
      </c>
      <c r="C823" s="19" t="s">
        <v>183</v>
      </c>
      <c r="D823" s="19" t="s">
        <v>23</v>
      </c>
      <c r="E823" s="19" t="s">
        <v>16</v>
      </c>
      <c r="F823" s="19" t="s">
        <v>17</v>
      </c>
      <c r="G823" s="19" t="s">
        <v>26</v>
      </c>
      <c r="H823" s="19" t="s">
        <v>33</v>
      </c>
      <c r="I823" s="19">
        <v>3</v>
      </c>
      <c r="J823" s="19">
        <v>854</v>
      </c>
      <c r="K823" s="19">
        <v>27</v>
      </c>
      <c r="L823" s="19">
        <v>1870.26</v>
      </c>
      <c r="M823" s="19">
        <f t="shared" si="36"/>
        <v>209217.14</v>
      </c>
      <c r="N823" s="20">
        <f t="shared" si="37"/>
        <v>1168.810837988827</v>
      </c>
      <c r="O823" s="19">
        <f t="shared" si="38"/>
        <v>361</v>
      </c>
      <c r="P823" s="19" t="str">
        <v>Low</v>
      </c>
    </row>
    <row r="824" spans="1:16" x14ac:dyDescent="0.3">
      <c r="A824" s="2" t="s">
        <v>822</v>
      </c>
      <c r="B824" s="2" t="s">
        <v>674</v>
      </c>
      <c r="C824" s="19" t="s">
        <v>748</v>
      </c>
      <c r="D824" s="19" t="s">
        <v>88</v>
      </c>
      <c r="E824" s="19" t="s">
        <v>48</v>
      </c>
      <c r="F824" s="19" t="s">
        <v>25</v>
      </c>
      <c r="G824" s="19" t="s">
        <v>40</v>
      </c>
      <c r="H824" s="19" t="s">
        <v>19</v>
      </c>
      <c r="I824" s="19">
        <v>1</v>
      </c>
      <c r="J824" s="19">
        <v>2250</v>
      </c>
      <c r="K824" s="19">
        <v>17</v>
      </c>
      <c r="L824" s="19">
        <v>1867.5</v>
      </c>
      <c r="M824" s="19">
        <f t="shared" si="36"/>
        <v>207346.88000000003</v>
      </c>
      <c r="N824" s="20">
        <f t="shared" si="37"/>
        <v>1164.8701123595508</v>
      </c>
      <c r="O824" s="19">
        <f t="shared" si="38"/>
        <v>358</v>
      </c>
      <c r="P824" s="19" t="str">
        <v>Low</v>
      </c>
    </row>
    <row r="825" spans="1:16" x14ac:dyDescent="0.3">
      <c r="A825" s="2" t="s">
        <v>1418</v>
      </c>
      <c r="B825" s="2" t="s">
        <v>110</v>
      </c>
      <c r="C825" s="19" t="s">
        <v>921</v>
      </c>
      <c r="D825" s="19" t="s">
        <v>88</v>
      </c>
      <c r="E825" s="19" t="s">
        <v>58</v>
      </c>
      <c r="F825" s="19" t="s">
        <v>17</v>
      </c>
      <c r="G825" s="19" t="s">
        <v>62</v>
      </c>
      <c r="H825" s="19" t="s">
        <v>44</v>
      </c>
      <c r="I825" s="19">
        <v>5</v>
      </c>
      <c r="J825" s="19">
        <v>487</v>
      </c>
      <c r="K825" s="19">
        <v>24</v>
      </c>
      <c r="L825" s="19">
        <v>1850.6</v>
      </c>
      <c r="M825" s="19">
        <f t="shared" si="36"/>
        <v>205479.38000000003</v>
      </c>
      <c r="N825" s="20">
        <f t="shared" si="37"/>
        <v>1160.9004519774014</v>
      </c>
      <c r="O825" s="19">
        <f t="shared" si="38"/>
        <v>357</v>
      </c>
      <c r="P825" s="19" t="str">
        <v>Low</v>
      </c>
    </row>
    <row r="826" spans="1:16" x14ac:dyDescent="0.3">
      <c r="A826" s="2" t="s">
        <v>802</v>
      </c>
      <c r="B826" s="2" t="s">
        <v>415</v>
      </c>
      <c r="C826" s="19" t="s">
        <v>771</v>
      </c>
      <c r="D826" s="19" t="s">
        <v>15</v>
      </c>
      <c r="E826" s="19" t="s">
        <v>16</v>
      </c>
      <c r="F826" s="19" t="s">
        <v>32</v>
      </c>
      <c r="G826" s="19" t="s">
        <v>40</v>
      </c>
      <c r="H826" s="19" t="s">
        <v>44</v>
      </c>
      <c r="I826" s="19">
        <v>1</v>
      </c>
      <c r="J826" s="19">
        <v>2567</v>
      </c>
      <c r="K826" s="19">
        <v>28</v>
      </c>
      <c r="L826" s="19">
        <v>1848.24</v>
      </c>
      <c r="M826" s="19">
        <f t="shared" si="36"/>
        <v>203628.78000000003</v>
      </c>
      <c r="N826" s="20">
        <f t="shared" si="37"/>
        <v>1156.9817045454547</v>
      </c>
      <c r="O826" s="19">
        <f t="shared" si="38"/>
        <v>352</v>
      </c>
      <c r="P826" s="19" t="str">
        <v>Low</v>
      </c>
    </row>
    <row r="827" spans="1:16" x14ac:dyDescent="0.3">
      <c r="A827" s="2" t="s">
        <v>956</v>
      </c>
      <c r="B827" s="2" t="s">
        <v>509</v>
      </c>
      <c r="C827" s="19" t="s">
        <v>117</v>
      </c>
      <c r="D827" s="19" t="s">
        <v>30</v>
      </c>
      <c r="E827" s="19" t="s">
        <v>58</v>
      </c>
      <c r="F827" s="19" t="s">
        <v>32</v>
      </c>
      <c r="G827" s="19" t="s">
        <v>54</v>
      </c>
      <c r="H827" s="19" t="s">
        <v>44</v>
      </c>
      <c r="I827" s="19">
        <v>5</v>
      </c>
      <c r="J827" s="19">
        <v>440</v>
      </c>
      <c r="K827" s="19">
        <v>16</v>
      </c>
      <c r="L827" s="19">
        <v>1848</v>
      </c>
      <c r="M827" s="19">
        <f t="shared" si="36"/>
        <v>201780.54</v>
      </c>
      <c r="N827" s="20">
        <f t="shared" si="37"/>
        <v>1153.0316571428573</v>
      </c>
      <c r="O827" s="19">
        <f t="shared" si="38"/>
        <v>351</v>
      </c>
      <c r="P827" s="19" t="str">
        <v>Low</v>
      </c>
    </row>
    <row r="828" spans="1:16" x14ac:dyDescent="0.3">
      <c r="A828" s="2" t="s">
        <v>788</v>
      </c>
      <c r="B828" s="2" t="s">
        <v>440</v>
      </c>
      <c r="C828" s="19" t="s">
        <v>102</v>
      </c>
      <c r="D828" s="19" t="s">
        <v>88</v>
      </c>
      <c r="E828" s="19" t="s">
        <v>16</v>
      </c>
      <c r="F828" s="19" t="s">
        <v>25</v>
      </c>
      <c r="G828" s="19" t="s">
        <v>40</v>
      </c>
      <c r="H828" s="19" t="s">
        <v>19</v>
      </c>
      <c r="I828" s="19">
        <v>1</v>
      </c>
      <c r="J828" s="19">
        <v>2123</v>
      </c>
      <c r="K828" s="19">
        <v>13</v>
      </c>
      <c r="L828" s="19">
        <v>1847.01</v>
      </c>
      <c r="M828" s="19">
        <f t="shared" si="36"/>
        <v>199932.54</v>
      </c>
      <c r="N828" s="20">
        <f t="shared" si="37"/>
        <v>1149.0375862068965</v>
      </c>
      <c r="O828" s="19">
        <f t="shared" si="38"/>
        <v>346</v>
      </c>
      <c r="P828" s="19" t="str">
        <v>Low</v>
      </c>
    </row>
    <row r="829" spans="1:16" x14ac:dyDescent="0.3">
      <c r="A829" s="2" t="s">
        <v>1096</v>
      </c>
      <c r="B829" s="2" t="s">
        <v>463</v>
      </c>
      <c r="C829" s="19" t="s">
        <v>832</v>
      </c>
      <c r="D829" s="19" t="s">
        <v>88</v>
      </c>
      <c r="E829" s="19" t="s">
        <v>31</v>
      </c>
      <c r="F829" s="19" t="s">
        <v>40</v>
      </c>
      <c r="G829" s="19" t="s">
        <v>26</v>
      </c>
      <c r="H829" s="19" t="s">
        <v>44</v>
      </c>
      <c r="I829" s="19">
        <v>1</v>
      </c>
      <c r="J829" s="19">
        <v>2462</v>
      </c>
      <c r="K829" s="19">
        <v>25</v>
      </c>
      <c r="L829" s="19">
        <v>1846.5</v>
      </c>
      <c r="M829" s="19">
        <f t="shared" si="36"/>
        <v>198085.53000000003</v>
      </c>
      <c r="N829" s="20">
        <f t="shared" si="37"/>
        <v>1145.0030635838152</v>
      </c>
      <c r="O829" s="19">
        <f t="shared" si="38"/>
        <v>345</v>
      </c>
      <c r="P829" s="19" t="str">
        <v>Low</v>
      </c>
    </row>
    <row r="830" spans="1:16" x14ac:dyDescent="0.3">
      <c r="A830" s="2" t="s">
        <v>907</v>
      </c>
      <c r="B830" s="2" t="s">
        <v>443</v>
      </c>
      <c r="C830" s="19" t="s">
        <v>552</v>
      </c>
      <c r="D830" s="19" t="s">
        <v>53</v>
      </c>
      <c r="E830" s="19" t="s">
        <v>79</v>
      </c>
      <c r="F830" s="19" t="s">
        <v>40</v>
      </c>
      <c r="G830" s="19" t="s">
        <v>18</v>
      </c>
      <c r="H830" s="19" t="s">
        <v>33</v>
      </c>
      <c r="I830" s="19">
        <v>4</v>
      </c>
      <c r="J830" s="19">
        <v>599</v>
      </c>
      <c r="K830" s="19">
        <v>23</v>
      </c>
      <c r="L830" s="19">
        <v>1844.92</v>
      </c>
      <c r="M830" s="19">
        <f t="shared" si="36"/>
        <v>196239.03</v>
      </c>
      <c r="N830" s="20">
        <f t="shared" si="37"/>
        <v>1140.9245930232557</v>
      </c>
      <c r="O830" s="19">
        <f t="shared" si="38"/>
        <v>344</v>
      </c>
      <c r="P830" s="19" t="str">
        <v>Low</v>
      </c>
    </row>
    <row r="831" spans="1:16" x14ac:dyDescent="0.3">
      <c r="A831" s="2" t="s">
        <v>683</v>
      </c>
      <c r="B831" s="2" t="s">
        <v>684</v>
      </c>
      <c r="C831" s="19" t="s">
        <v>567</v>
      </c>
      <c r="D831" s="19" t="s">
        <v>15</v>
      </c>
      <c r="E831" s="19" t="s">
        <v>79</v>
      </c>
      <c r="F831" s="19" t="s">
        <v>49</v>
      </c>
      <c r="G831" s="19" t="s">
        <v>62</v>
      </c>
      <c r="H831" s="19" t="s">
        <v>44</v>
      </c>
      <c r="I831" s="19">
        <v>1</v>
      </c>
      <c r="J831" s="19">
        <v>2190</v>
      </c>
      <c r="K831" s="19">
        <v>16</v>
      </c>
      <c r="L831" s="19">
        <v>1839.6</v>
      </c>
      <c r="M831" s="19">
        <f t="shared" si="36"/>
        <v>194394.11</v>
      </c>
      <c r="N831" s="20">
        <f t="shared" si="37"/>
        <v>1136.8076608187134</v>
      </c>
      <c r="O831" s="19">
        <f t="shared" si="38"/>
        <v>340</v>
      </c>
      <c r="P831" s="19" t="str">
        <v>Low</v>
      </c>
    </row>
    <row r="832" spans="1:16" x14ac:dyDescent="0.3">
      <c r="A832" s="2" t="s">
        <v>1160</v>
      </c>
      <c r="B832" s="2" t="s">
        <v>578</v>
      </c>
      <c r="C832" s="19" t="s">
        <v>1161</v>
      </c>
      <c r="D832" s="19" t="s">
        <v>53</v>
      </c>
      <c r="E832" s="19" t="s">
        <v>31</v>
      </c>
      <c r="F832" s="19" t="s">
        <v>49</v>
      </c>
      <c r="G832" s="19" t="s">
        <v>54</v>
      </c>
      <c r="H832" s="19" t="s">
        <v>33</v>
      </c>
      <c r="I832" s="19">
        <v>2</v>
      </c>
      <c r="J832" s="19">
        <v>1022</v>
      </c>
      <c r="K832" s="19">
        <v>10</v>
      </c>
      <c r="L832" s="19">
        <v>1839.6</v>
      </c>
      <c r="M832" s="19">
        <f t="shared" si="36"/>
        <v>192554.50999999998</v>
      </c>
      <c r="N832" s="20">
        <f t="shared" si="37"/>
        <v>1132.6735882352939</v>
      </c>
      <c r="O832" s="19">
        <f t="shared" si="38"/>
        <v>339</v>
      </c>
      <c r="P832" s="19" t="str">
        <v>Low</v>
      </c>
    </row>
    <row r="833" spans="1:16" x14ac:dyDescent="0.3">
      <c r="A833" s="2" t="s">
        <v>1515</v>
      </c>
      <c r="B833" s="2" t="s">
        <v>528</v>
      </c>
      <c r="C833" s="19" t="s">
        <v>619</v>
      </c>
      <c r="D833" s="19" t="s">
        <v>53</v>
      </c>
      <c r="E833" s="19" t="s">
        <v>16</v>
      </c>
      <c r="F833" s="19" t="s">
        <v>49</v>
      </c>
      <c r="G833" s="19" t="s">
        <v>54</v>
      </c>
      <c r="H833" s="19" t="s">
        <v>75</v>
      </c>
      <c r="I833" s="19">
        <v>5</v>
      </c>
      <c r="J833" s="19">
        <v>370</v>
      </c>
      <c r="K833" s="19">
        <v>1</v>
      </c>
      <c r="L833" s="19">
        <v>1831.5</v>
      </c>
      <c r="M833" s="19">
        <f t="shared" si="36"/>
        <v>190714.91</v>
      </c>
      <c r="N833" s="20">
        <f t="shared" si="37"/>
        <v>1128.4905917159763</v>
      </c>
      <c r="O833" s="19">
        <f t="shared" si="38"/>
        <v>337</v>
      </c>
      <c r="P833" s="19" t="str">
        <v>Low</v>
      </c>
    </row>
    <row r="834" spans="1:16" x14ac:dyDescent="0.3">
      <c r="A834" s="2" t="s">
        <v>1017</v>
      </c>
      <c r="B834" s="2" t="s">
        <v>1018</v>
      </c>
      <c r="C834" s="19" t="s">
        <v>183</v>
      </c>
      <c r="D834" s="19" t="s">
        <v>23</v>
      </c>
      <c r="E834" s="19" t="s">
        <v>48</v>
      </c>
      <c r="F834" s="19" t="s">
        <v>32</v>
      </c>
      <c r="G834" s="19" t="s">
        <v>40</v>
      </c>
      <c r="H834" s="19" t="s">
        <v>33</v>
      </c>
      <c r="I834" s="19">
        <v>1</v>
      </c>
      <c r="J834" s="19">
        <v>2347</v>
      </c>
      <c r="K834" s="19">
        <v>22</v>
      </c>
      <c r="L834" s="19">
        <v>1830.66</v>
      </c>
      <c r="M834" s="19">
        <f t="shared" ref="M834:M897" si="39">SUM(L834:L1833)</f>
        <v>188883.40999999997</v>
      </c>
      <c r="N834" s="20">
        <f t="shared" ref="N834:N897" si="40">AVERAGE(L834:L1833)</f>
        <v>1124.3060119047618</v>
      </c>
      <c r="O834" s="19">
        <f t="shared" ref="O834:O897" si="41">SUM(I834:I1833)</f>
        <v>332</v>
      </c>
      <c r="P834" s="19" t="str">
        <v>Low</v>
      </c>
    </row>
    <row r="835" spans="1:16" x14ac:dyDescent="0.3">
      <c r="A835" s="2" t="s">
        <v>1652</v>
      </c>
      <c r="B835" s="2" t="s">
        <v>60</v>
      </c>
      <c r="C835" s="19" t="s">
        <v>1653</v>
      </c>
      <c r="D835" s="19" t="s">
        <v>23</v>
      </c>
      <c r="E835" s="19" t="s">
        <v>68</v>
      </c>
      <c r="F835" s="19" t="s">
        <v>25</v>
      </c>
      <c r="G835" s="19" t="s">
        <v>62</v>
      </c>
      <c r="H835" s="19" t="s">
        <v>44</v>
      </c>
      <c r="I835" s="19">
        <v>1</v>
      </c>
      <c r="J835" s="19">
        <v>2103</v>
      </c>
      <c r="K835" s="19">
        <v>13</v>
      </c>
      <c r="L835" s="19">
        <v>1829.61</v>
      </c>
      <c r="M835" s="19">
        <f t="shared" si="39"/>
        <v>187052.74999999994</v>
      </c>
      <c r="N835" s="20">
        <f t="shared" si="40"/>
        <v>1120.0763473053889</v>
      </c>
      <c r="O835" s="19">
        <f t="shared" si="41"/>
        <v>331</v>
      </c>
      <c r="P835" s="19" t="str">
        <v>Low</v>
      </c>
    </row>
    <row r="836" spans="1:16" x14ac:dyDescent="0.3">
      <c r="A836" s="2" t="s">
        <v>646</v>
      </c>
      <c r="B836" s="2" t="s">
        <v>647</v>
      </c>
      <c r="C836" s="19" t="s">
        <v>222</v>
      </c>
      <c r="D836" s="19" t="s">
        <v>15</v>
      </c>
      <c r="E836" s="19" t="s">
        <v>48</v>
      </c>
      <c r="F836" s="19" t="s">
        <v>49</v>
      </c>
      <c r="G836" s="19" t="s">
        <v>18</v>
      </c>
      <c r="H836" s="19" t="s">
        <v>44</v>
      </c>
      <c r="I836" s="19">
        <v>1</v>
      </c>
      <c r="J836" s="19">
        <v>1967</v>
      </c>
      <c r="K836" s="19">
        <v>7</v>
      </c>
      <c r="L836" s="19">
        <v>1829.31</v>
      </c>
      <c r="M836" s="19">
        <f t="shared" si="39"/>
        <v>185223.13999999996</v>
      </c>
      <c r="N836" s="20">
        <f t="shared" si="40"/>
        <v>1115.8020481927708</v>
      </c>
      <c r="O836" s="19">
        <f t="shared" si="41"/>
        <v>330</v>
      </c>
      <c r="P836" s="19" t="str">
        <v>Low</v>
      </c>
    </row>
    <row r="837" spans="1:16" x14ac:dyDescent="0.3">
      <c r="A837" s="2" t="s">
        <v>106</v>
      </c>
      <c r="B837" s="2" t="s">
        <v>107</v>
      </c>
      <c r="C837" s="19" t="s">
        <v>108</v>
      </c>
      <c r="D837" s="19" t="s">
        <v>88</v>
      </c>
      <c r="E837" s="19" t="s">
        <v>16</v>
      </c>
      <c r="F837" s="19" t="s">
        <v>40</v>
      </c>
      <c r="G837" s="19" t="s">
        <v>40</v>
      </c>
      <c r="H837" s="19" t="s">
        <v>19</v>
      </c>
      <c r="I837" s="19">
        <v>1</v>
      </c>
      <c r="J837" s="19">
        <v>1988</v>
      </c>
      <c r="K837" s="19">
        <v>8</v>
      </c>
      <c r="L837" s="19">
        <v>1828.96</v>
      </c>
      <c r="M837" s="19">
        <f t="shared" si="39"/>
        <v>183393.82999999996</v>
      </c>
      <c r="N837" s="20">
        <f t="shared" si="40"/>
        <v>1111.4777575757573</v>
      </c>
      <c r="O837" s="19">
        <f t="shared" si="41"/>
        <v>329</v>
      </c>
      <c r="P837" s="19" t="str">
        <v>Low</v>
      </c>
    </row>
    <row r="838" spans="1:16" x14ac:dyDescent="0.3">
      <c r="A838" s="2" t="s">
        <v>1628</v>
      </c>
      <c r="B838" s="2" t="s">
        <v>324</v>
      </c>
      <c r="C838" s="19" t="s">
        <v>1629</v>
      </c>
      <c r="D838" s="19" t="s">
        <v>23</v>
      </c>
      <c r="E838" s="19" t="s">
        <v>68</v>
      </c>
      <c r="F838" s="19" t="s">
        <v>32</v>
      </c>
      <c r="G838" s="19" t="s">
        <v>18</v>
      </c>
      <c r="H838" s="19" t="s">
        <v>44</v>
      </c>
      <c r="I838" s="19">
        <v>3</v>
      </c>
      <c r="J838" s="19">
        <v>802</v>
      </c>
      <c r="K838" s="19">
        <v>24</v>
      </c>
      <c r="L838" s="19">
        <v>1828.56</v>
      </c>
      <c r="M838" s="19">
        <f t="shared" si="39"/>
        <v>181564.86999999994</v>
      </c>
      <c r="N838" s="20">
        <f t="shared" si="40"/>
        <v>1107.1028658536582</v>
      </c>
      <c r="O838" s="19">
        <f t="shared" si="41"/>
        <v>328</v>
      </c>
      <c r="P838" s="19" t="str">
        <v>Low</v>
      </c>
    </row>
    <row r="839" spans="1:16" x14ac:dyDescent="0.3">
      <c r="A839" s="2" t="s">
        <v>1125</v>
      </c>
      <c r="B839" s="2" t="s">
        <v>854</v>
      </c>
      <c r="C839" s="19" t="s">
        <v>1126</v>
      </c>
      <c r="D839" s="19" t="s">
        <v>15</v>
      </c>
      <c r="E839" s="19" t="s">
        <v>58</v>
      </c>
      <c r="F839" s="19" t="s">
        <v>49</v>
      </c>
      <c r="G839" s="19" t="s">
        <v>40</v>
      </c>
      <c r="H839" s="19" t="s">
        <v>44</v>
      </c>
      <c r="I839" s="19">
        <v>2</v>
      </c>
      <c r="J839" s="19">
        <v>1075</v>
      </c>
      <c r="K839" s="19">
        <v>15</v>
      </c>
      <c r="L839" s="19">
        <v>1827.5</v>
      </c>
      <c r="M839" s="19">
        <f t="shared" si="39"/>
        <v>179736.30999999994</v>
      </c>
      <c r="N839" s="20">
        <f t="shared" si="40"/>
        <v>1102.6767484662573</v>
      </c>
      <c r="O839" s="19">
        <f t="shared" si="41"/>
        <v>325</v>
      </c>
      <c r="P839" s="19" t="str">
        <v>Low</v>
      </c>
    </row>
    <row r="840" spans="1:16" x14ac:dyDescent="0.3">
      <c r="A840" s="2" t="s">
        <v>839</v>
      </c>
      <c r="B840" s="2" t="s">
        <v>840</v>
      </c>
      <c r="C840" s="19" t="s">
        <v>732</v>
      </c>
      <c r="D840" s="19" t="s">
        <v>53</v>
      </c>
      <c r="E840" s="19" t="s">
        <v>48</v>
      </c>
      <c r="F840" s="19" t="s">
        <v>49</v>
      </c>
      <c r="G840" s="19" t="s">
        <v>54</v>
      </c>
      <c r="H840" s="19" t="s">
        <v>19</v>
      </c>
      <c r="I840" s="19">
        <v>5</v>
      </c>
      <c r="J840" s="19">
        <v>397</v>
      </c>
      <c r="K840" s="19">
        <v>8</v>
      </c>
      <c r="L840" s="19">
        <v>1826.2</v>
      </c>
      <c r="M840" s="19">
        <f t="shared" si="39"/>
        <v>177908.80999999994</v>
      </c>
      <c r="N840" s="20">
        <f t="shared" si="40"/>
        <v>1098.2025308641971</v>
      </c>
      <c r="O840" s="19">
        <f t="shared" si="41"/>
        <v>323</v>
      </c>
      <c r="P840" s="19" t="str">
        <v>Low</v>
      </c>
    </row>
    <row r="841" spans="1:16" x14ac:dyDescent="0.3">
      <c r="A841" s="2" t="s">
        <v>799</v>
      </c>
      <c r="B841" s="2" t="s">
        <v>800</v>
      </c>
      <c r="C841" s="19" t="s">
        <v>801</v>
      </c>
      <c r="D841" s="19" t="s">
        <v>88</v>
      </c>
      <c r="E841" s="19" t="s">
        <v>68</v>
      </c>
      <c r="F841" s="19" t="s">
        <v>25</v>
      </c>
      <c r="G841" s="19" t="s">
        <v>26</v>
      </c>
      <c r="H841" s="19" t="s">
        <v>19</v>
      </c>
      <c r="I841" s="19">
        <v>2</v>
      </c>
      <c r="J841" s="19">
        <v>960</v>
      </c>
      <c r="K841" s="19">
        <v>5</v>
      </c>
      <c r="L841" s="19">
        <v>1824</v>
      </c>
      <c r="M841" s="19">
        <f t="shared" si="39"/>
        <v>176082.60999999996</v>
      </c>
      <c r="N841" s="20">
        <f t="shared" si="40"/>
        <v>1093.6808074534158</v>
      </c>
      <c r="O841" s="19">
        <f t="shared" si="41"/>
        <v>318</v>
      </c>
      <c r="P841" s="19" t="str">
        <v>Low</v>
      </c>
    </row>
    <row r="842" spans="1:16" x14ac:dyDescent="0.3">
      <c r="A842" s="2" t="s">
        <v>1377</v>
      </c>
      <c r="B842" s="2" t="s">
        <v>734</v>
      </c>
      <c r="C842" s="19" t="s">
        <v>180</v>
      </c>
      <c r="D842" s="19" t="s">
        <v>15</v>
      </c>
      <c r="E842" s="19" t="s">
        <v>48</v>
      </c>
      <c r="F842" s="19" t="s">
        <v>17</v>
      </c>
      <c r="G842" s="19" t="s">
        <v>18</v>
      </c>
      <c r="H842" s="19" t="s">
        <v>44</v>
      </c>
      <c r="I842" s="19">
        <v>4</v>
      </c>
      <c r="J842" s="19">
        <v>640</v>
      </c>
      <c r="K842" s="19">
        <v>29</v>
      </c>
      <c r="L842" s="19">
        <v>1817.6</v>
      </c>
      <c r="M842" s="19">
        <f t="shared" si="39"/>
        <v>174258.60999999996</v>
      </c>
      <c r="N842" s="20">
        <f t="shared" si="40"/>
        <v>1089.1163124999998</v>
      </c>
      <c r="O842" s="19">
        <f t="shared" si="41"/>
        <v>316</v>
      </c>
      <c r="P842" s="19" t="str">
        <v>Low</v>
      </c>
    </row>
    <row r="843" spans="1:16" x14ac:dyDescent="0.3">
      <c r="A843" s="2" t="s">
        <v>1567</v>
      </c>
      <c r="B843" s="2" t="s">
        <v>856</v>
      </c>
      <c r="C843" s="19" t="s">
        <v>1057</v>
      </c>
      <c r="D843" s="19" t="s">
        <v>88</v>
      </c>
      <c r="E843" s="19" t="s">
        <v>79</v>
      </c>
      <c r="F843" s="19" t="s">
        <v>17</v>
      </c>
      <c r="G843" s="19" t="s">
        <v>40</v>
      </c>
      <c r="H843" s="19" t="s">
        <v>33</v>
      </c>
      <c r="I843" s="19">
        <v>2</v>
      </c>
      <c r="J843" s="19">
        <v>1147</v>
      </c>
      <c r="K843" s="19">
        <v>21</v>
      </c>
      <c r="L843" s="19">
        <v>1812.26</v>
      </c>
      <c r="M843" s="19">
        <f t="shared" si="39"/>
        <v>172441.00999999992</v>
      </c>
      <c r="N843" s="20">
        <f t="shared" si="40"/>
        <v>1084.5346540880498</v>
      </c>
      <c r="O843" s="19">
        <f t="shared" si="41"/>
        <v>312</v>
      </c>
      <c r="P843" s="19" t="str">
        <v>Low</v>
      </c>
    </row>
    <row r="844" spans="1:16" x14ac:dyDescent="0.3">
      <c r="A844" s="2" t="s">
        <v>1310</v>
      </c>
      <c r="B844" s="2" t="s">
        <v>177</v>
      </c>
      <c r="C844" s="19" t="s">
        <v>264</v>
      </c>
      <c r="D844" s="19" t="s">
        <v>88</v>
      </c>
      <c r="E844" s="19" t="s">
        <v>31</v>
      </c>
      <c r="F844" s="19" t="s">
        <v>49</v>
      </c>
      <c r="G844" s="19" t="s">
        <v>54</v>
      </c>
      <c r="H844" s="19" t="s">
        <v>33</v>
      </c>
      <c r="I844" s="19">
        <v>2</v>
      </c>
      <c r="J844" s="19">
        <v>910</v>
      </c>
      <c r="K844" s="19">
        <v>1</v>
      </c>
      <c r="L844" s="19">
        <v>1801.8</v>
      </c>
      <c r="M844" s="19">
        <f t="shared" si="39"/>
        <v>170628.74999999994</v>
      </c>
      <c r="N844" s="20">
        <f t="shared" si="40"/>
        <v>1079.9287974683541</v>
      </c>
      <c r="O844" s="19">
        <f t="shared" si="41"/>
        <v>310</v>
      </c>
      <c r="P844" s="19" t="str">
        <v>Low</v>
      </c>
    </row>
    <row r="845" spans="1:16" x14ac:dyDescent="0.3">
      <c r="A845" s="2" t="s">
        <v>1067</v>
      </c>
      <c r="B845" s="2" t="s">
        <v>1068</v>
      </c>
      <c r="C845" s="19" t="s">
        <v>416</v>
      </c>
      <c r="D845" s="19" t="s">
        <v>30</v>
      </c>
      <c r="E845" s="19" t="s">
        <v>24</v>
      </c>
      <c r="F845" s="19" t="s">
        <v>40</v>
      </c>
      <c r="G845" s="19" t="s">
        <v>40</v>
      </c>
      <c r="H845" s="19" t="s">
        <v>33</v>
      </c>
      <c r="I845" s="19">
        <v>2</v>
      </c>
      <c r="J845" s="19">
        <v>988</v>
      </c>
      <c r="K845" s="19">
        <v>9</v>
      </c>
      <c r="L845" s="19">
        <v>1798.16</v>
      </c>
      <c r="M845" s="19">
        <f t="shared" si="39"/>
        <v>168826.94999999995</v>
      </c>
      <c r="N845" s="20">
        <f t="shared" si="40"/>
        <v>1075.3308917197448</v>
      </c>
      <c r="O845" s="19">
        <f t="shared" si="41"/>
        <v>308</v>
      </c>
      <c r="P845" s="19" t="str">
        <v>Low</v>
      </c>
    </row>
    <row r="846" spans="1:16" x14ac:dyDescent="0.3">
      <c r="A846" s="2" t="s">
        <v>1544</v>
      </c>
      <c r="B846" s="2" t="s">
        <v>1545</v>
      </c>
      <c r="C846" s="19" t="s">
        <v>97</v>
      </c>
      <c r="D846" s="19" t="s">
        <v>15</v>
      </c>
      <c r="E846" s="19" t="s">
        <v>24</v>
      </c>
      <c r="F846" s="19" t="s">
        <v>40</v>
      </c>
      <c r="G846" s="19" t="s">
        <v>40</v>
      </c>
      <c r="H846" s="19" t="s">
        <v>33</v>
      </c>
      <c r="I846" s="19">
        <v>5</v>
      </c>
      <c r="J846" s="19">
        <v>484</v>
      </c>
      <c r="K846" s="19">
        <v>26</v>
      </c>
      <c r="L846" s="19">
        <v>1790.8</v>
      </c>
      <c r="M846" s="19">
        <f t="shared" si="39"/>
        <v>167028.78999999998</v>
      </c>
      <c r="N846" s="20">
        <f t="shared" si="40"/>
        <v>1070.6973717948717</v>
      </c>
      <c r="O846" s="19">
        <f t="shared" si="41"/>
        <v>306</v>
      </c>
      <c r="P846" s="19" t="str">
        <v>Low</v>
      </c>
    </row>
    <row r="847" spans="1:16" x14ac:dyDescent="0.3">
      <c r="A847" s="2" t="s">
        <v>1086</v>
      </c>
      <c r="B847" s="2" t="s">
        <v>1087</v>
      </c>
      <c r="C847" s="19" t="s">
        <v>1088</v>
      </c>
      <c r="D847" s="19" t="s">
        <v>30</v>
      </c>
      <c r="E847" s="19" t="s">
        <v>58</v>
      </c>
      <c r="F847" s="19" t="s">
        <v>25</v>
      </c>
      <c r="G847" s="19" t="s">
        <v>40</v>
      </c>
      <c r="H847" s="19" t="s">
        <v>44</v>
      </c>
      <c r="I847" s="19">
        <v>3</v>
      </c>
      <c r="J847" s="19">
        <v>719</v>
      </c>
      <c r="K847" s="19">
        <v>17</v>
      </c>
      <c r="L847" s="19">
        <v>1790.31</v>
      </c>
      <c r="M847" s="19">
        <f t="shared" si="39"/>
        <v>165237.99</v>
      </c>
      <c r="N847" s="20">
        <f t="shared" si="40"/>
        <v>1066.0515483870968</v>
      </c>
      <c r="O847" s="19">
        <f t="shared" si="41"/>
        <v>301</v>
      </c>
      <c r="P847" s="19" t="str">
        <v>Low</v>
      </c>
    </row>
    <row r="848" spans="1:16" x14ac:dyDescent="0.3">
      <c r="A848" s="2" t="s">
        <v>1671</v>
      </c>
      <c r="B848" s="2" t="s">
        <v>1672</v>
      </c>
      <c r="C848" s="19" t="s">
        <v>219</v>
      </c>
      <c r="D848" s="19" t="s">
        <v>53</v>
      </c>
      <c r="E848" s="19" t="s">
        <v>24</v>
      </c>
      <c r="F848" s="19" t="s">
        <v>40</v>
      </c>
      <c r="G848" s="19" t="s">
        <v>26</v>
      </c>
      <c r="H848" s="19" t="s">
        <v>19</v>
      </c>
      <c r="I848" s="19">
        <v>1</v>
      </c>
      <c r="J848" s="19">
        <v>1936</v>
      </c>
      <c r="K848" s="19">
        <v>8</v>
      </c>
      <c r="L848" s="19">
        <v>1781.12</v>
      </c>
      <c r="M848" s="19">
        <f t="shared" si="39"/>
        <v>163447.67999999999</v>
      </c>
      <c r="N848" s="20">
        <f t="shared" si="40"/>
        <v>1061.3485714285714</v>
      </c>
      <c r="O848" s="19">
        <f t="shared" si="41"/>
        <v>298</v>
      </c>
      <c r="P848" s="19" t="str">
        <v>Low</v>
      </c>
    </row>
    <row r="849" spans="1:16" x14ac:dyDescent="0.3">
      <c r="A849" s="2" t="s">
        <v>1334</v>
      </c>
      <c r="B849" s="2" t="s">
        <v>93</v>
      </c>
      <c r="C849" s="19" t="s">
        <v>660</v>
      </c>
      <c r="D849" s="19" t="s">
        <v>53</v>
      </c>
      <c r="E849" s="19" t="s">
        <v>31</v>
      </c>
      <c r="F849" s="19" t="s">
        <v>25</v>
      </c>
      <c r="G849" s="19" t="s">
        <v>40</v>
      </c>
      <c r="H849" s="19" t="s">
        <v>44</v>
      </c>
      <c r="I849" s="19">
        <v>1</v>
      </c>
      <c r="J849" s="19">
        <v>2061</v>
      </c>
      <c r="K849" s="19">
        <v>14</v>
      </c>
      <c r="L849" s="19">
        <v>1772.46</v>
      </c>
      <c r="M849" s="19">
        <f t="shared" si="39"/>
        <v>161666.56</v>
      </c>
      <c r="N849" s="20">
        <f t="shared" si="40"/>
        <v>1056.644183006536</v>
      </c>
      <c r="O849" s="19">
        <f t="shared" si="41"/>
        <v>297</v>
      </c>
      <c r="P849" s="19" t="str">
        <v>Low</v>
      </c>
    </row>
    <row r="850" spans="1:16" x14ac:dyDescent="0.3">
      <c r="A850" s="2" t="s">
        <v>1040</v>
      </c>
      <c r="B850" s="2" t="s">
        <v>392</v>
      </c>
      <c r="C850" s="19" t="s">
        <v>1041</v>
      </c>
      <c r="D850" s="19" t="s">
        <v>15</v>
      </c>
      <c r="E850" s="19" t="s">
        <v>48</v>
      </c>
      <c r="F850" s="19" t="s">
        <v>32</v>
      </c>
      <c r="G850" s="19" t="s">
        <v>26</v>
      </c>
      <c r="H850" s="19" t="s">
        <v>19</v>
      </c>
      <c r="I850" s="19">
        <v>5</v>
      </c>
      <c r="J850" s="19">
        <v>356</v>
      </c>
      <c r="K850" s="19">
        <v>1</v>
      </c>
      <c r="L850" s="19">
        <v>1762.2</v>
      </c>
      <c r="M850" s="19">
        <f t="shared" si="39"/>
        <v>159894.1</v>
      </c>
      <c r="N850" s="20">
        <f t="shared" si="40"/>
        <v>1051.9348684210527</v>
      </c>
      <c r="O850" s="19">
        <f t="shared" si="41"/>
        <v>296</v>
      </c>
      <c r="P850" s="19" t="str">
        <v>Low</v>
      </c>
    </row>
    <row r="851" spans="1:16" x14ac:dyDescent="0.3">
      <c r="A851" s="2" t="s">
        <v>1062</v>
      </c>
      <c r="B851" s="2" t="s">
        <v>64</v>
      </c>
      <c r="C851" s="19" t="s">
        <v>191</v>
      </c>
      <c r="D851" s="19" t="s">
        <v>53</v>
      </c>
      <c r="E851" s="19" t="s">
        <v>58</v>
      </c>
      <c r="F851" s="19" t="s">
        <v>49</v>
      </c>
      <c r="G851" s="19" t="s">
        <v>40</v>
      </c>
      <c r="H851" s="19" t="s">
        <v>33</v>
      </c>
      <c r="I851" s="19">
        <v>1</v>
      </c>
      <c r="J851" s="19">
        <v>1834</v>
      </c>
      <c r="K851" s="19">
        <v>4</v>
      </c>
      <c r="L851" s="19">
        <v>1760.64</v>
      </c>
      <c r="M851" s="19">
        <f t="shared" si="39"/>
        <v>158131.90000000002</v>
      </c>
      <c r="N851" s="20">
        <f t="shared" si="40"/>
        <v>1047.2311258278148</v>
      </c>
      <c r="O851" s="19">
        <f t="shared" si="41"/>
        <v>291</v>
      </c>
      <c r="P851" s="19" t="str">
        <v>Low</v>
      </c>
    </row>
    <row r="852" spans="1:16" x14ac:dyDescent="0.3">
      <c r="A852" s="2" t="s">
        <v>990</v>
      </c>
      <c r="B852" s="2" t="s">
        <v>991</v>
      </c>
      <c r="C852" s="19" t="s">
        <v>29</v>
      </c>
      <c r="D852" s="19" t="s">
        <v>15</v>
      </c>
      <c r="E852" s="19" t="s">
        <v>58</v>
      </c>
      <c r="F852" s="19" t="s">
        <v>17</v>
      </c>
      <c r="G852" s="19" t="s">
        <v>40</v>
      </c>
      <c r="H852" s="19" t="s">
        <v>44</v>
      </c>
      <c r="I852" s="19">
        <v>1</v>
      </c>
      <c r="J852" s="19">
        <v>2058</v>
      </c>
      <c r="K852" s="19">
        <v>15</v>
      </c>
      <c r="L852" s="19">
        <v>1749.3</v>
      </c>
      <c r="M852" s="19">
        <f t="shared" si="39"/>
        <v>156371.26000000004</v>
      </c>
      <c r="N852" s="20">
        <f t="shared" si="40"/>
        <v>1042.4750666666669</v>
      </c>
      <c r="O852" s="19">
        <f t="shared" si="41"/>
        <v>290</v>
      </c>
      <c r="P852" s="19" t="str">
        <v>Low</v>
      </c>
    </row>
    <row r="853" spans="1:16" x14ac:dyDescent="0.3">
      <c r="A853" s="2" t="s">
        <v>306</v>
      </c>
      <c r="B853" s="2" t="s">
        <v>307</v>
      </c>
      <c r="C853" s="19" t="s">
        <v>111</v>
      </c>
      <c r="D853" s="19" t="s">
        <v>53</v>
      </c>
      <c r="E853" s="19" t="s">
        <v>31</v>
      </c>
      <c r="F853" s="19" t="s">
        <v>49</v>
      </c>
      <c r="G853" s="19" t="s">
        <v>54</v>
      </c>
      <c r="H853" s="19" t="s">
        <v>33</v>
      </c>
      <c r="I853" s="19">
        <v>2</v>
      </c>
      <c r="J853" s="19">
        <v>1075</v>
      </c>
      <c r="K853" s="19">
        <v>19</v>
      </c>
      <c r="L853" s="19">
        <v>1741.5</v>
      </c>
      <c r="M853" s="19">
        <f t="shared" si="39"/>
        <v>154621.96000000005</v>
      </c>
      <c r="N853" s="20">
        <f t="shared" si="40"/>
        <v>1037.7312751677855</v>
      </c>
      <c r="O853" s="19">
        <f t="shared" si="41"/>
        <v>289</v>
      </c>
      <c r="P853" s="19" t="str">
        <v>Low</v>
      </c>
    </row>
    <row r="854" spans="1:16" x14ac:dyDescent="0.3">
      <c r="A854" s="2" t="s">
        <v>69</v>
      </c>
      <c r="B854" s="2" t="s">
        <v>70</v>
      </c>
      <c r="C854" s="19" t="s">
        <v>71</v>
      </c>
      <c r="D854" s="19" t="s">
        <v>15</v>
      </c>
      <c r="E854" s="19" t="s">
        <v>68</v>
      </c>
      <c r="F854" s="19" t="s">
        <v>17</v>
      </c>
      <c r="G854" s="19" t="s">
        <v>62</v>
      </c>
      <c r="H854" s="19" t="s">
        <v>19</v>
      </c>
      <c r="I854" s="19">
        <v>1</v>
      </c>
      <c r="J854" s="19">
        <v>2073</v>
      </c>
      <c r="K854" s="19">
        <v>16</v>
      </c>
      <c r="L854" s="19">
        <v>1741.32</v>
      </c>
      <c r="M854" s="19">
        <f t="shared" si="39"/>
        <v>152880.46000000005</v>
      </c>
      <c r="N854" s="20">
        <f t="shared" si="40"/>
        <v>1032.9760810810815</v>
      </c>
      <c r="O854" s="19">
        <f t="shared" si="41"/>
        <v>287</v>
      </c>
      <c r="P854" s="19" t="str">
        <v>Low</v>
      </c>
    </row>
    <row r="855" spans="1:16" x14ac:dyDescent="0.3">
      <c r="A855" s="2" t="s">
        <v>653</v>
      </c>
      <c r="B855" s="2" t="s">
        <v>269</v>
      </c>
      <c r="C855" s="19" t="s">
        <v>288</v>
      </c>
      <c r="D855" s="19" t="s">
        <v>15</v>
      </c>
      <c r="E855" s="19" t="s">
        <v>79</v>
      </c>
      <c r="F855" s="19" t="s">
        <v>49</v>
      </c>
      <c r="G855" s="19" t="s">
        <v>18</v>
      </c>
      <c r="H855" s="19" t="s">
        <v>75</v>
      </c>
      <c r="I855" s="19">
        <v>1</v>
      </c>
      <c r="J855" s="19">
        <v>2314</v>
      </c>
      <c r="K855" s="19">
        <v>25</v>
      </c>
      <c r="L855" s="19">
        <v>1735.5</v>
      </c>
      <c r="M855" s="19">
        <f t="shared" si="39"/>
        <v>151139.14000000007</v>
      </c>
      <c r="N855" s="20">
        <f t="shared" si="40"/>
        <v>1028.1574149659868</v>
      </c>
      <c r="O855" s="19">
        <f t="shared" si="41"/>
        <v>286</v>
      </c>
      <c r="P855" s="19" t="str">
        <v>Low</v>
      </c>
    </row>
    <row r="856" spans="1:16" x14ac:dyDescent="0.3">
      <c r="A856" s="2" t="s">
        <v>694</v>
      </c>
      <c r="B856" s="2" t="s">
        <v>293</v>
      </c>
      <c r="C856" s="19" t="s">
        <v>668</v>
      </c>
      <c r="D856" s="19" t="s">
        <v>23</v>
      </c>
      <c r="E856" s="19" t="s">
        <v>31</v>
      </c>
      <c r="F856" s="19" t="s">
        <v>32</v>
      </c>
      <c r="G856" s="19" t="s">
        <v>18</v>
      </c>
      <c r="H856" s="19" t="s">
        <v>19</v>
      </c>
      <c r="I856" s="19">
        <v>1</v>
      </c>
      <c r="J856" s="19">
        <v>2178</v>
      </c>
      <c r="K856" s="19">
        <v>21</v>
      </c>
      <c r="L856" s="19">
        <v>1720.62</v>
      </c>
      <c r="M856" s="19">
        <f t="shared" si="39"/>
        <v>149403.64000000007</v>
      </c>
      <c r="N856" s="20">
        <f t="shared" si="40"/>
        <v>1023.3126027397266</v>
      </c>
      <c r="O856" s="19">
        <f t="shared" si="41"/>
        <v>285</v>
      </c>
      <c r="P856" s="19" t="str">
        <v>Low</v>
      </c>
    </row>
    <row r="857" spans="1:16" x14ac:dyDescent="0.3">
      <c r="A857" s="2" t="s">
        <v>1419</v>
      </c>
      <c r="B857" s="2" t="s">
        <v>482</v>
      </c>
      <c r="C857" s="19" t="s">
        <v>968</v>
      </c>
      <c r="D857" s="19" t="s">
        <v>53</v>
      </c>
      <c r="E857" s="19" t="s">
        <v>16</v>
      </c>
      <c r="F857" s="19" t="s">
        <v>17</v>
      </c>
      <c r="G857" s="19" t="s">
        <v>26</v>
      </c>
      <c r="H857" s="19" t="s">
        <v>19</v>
      </c>
      <c r="I857" s="19">
        <v>4</v>
      </c>
      <c r="J857" s="19">
        <v>494</v>
      </c>
      <c r="K857" s="19">
        <v>14</v>
      </c>
      <c r="L857" s="19">
        <v>1699.36</v>
      </c>
      <c r="M857" s="19">
        <f t="shared" si="39"/>
        <v>147683.02000000005</v>
      </c>
      <c r="N857" s="20">
        <f t="shared" si="40"/>
        <v>1018.5035862068969</v>
      </c>
      <c r="O857" s="19">
        <f t="shared" si="41"/>
        <v>284</v>
      </c>
      <c r="P857" s="19" t="str">
        <v>Low</v>
      </c>
    </row>
    <row r="858" spans="1:16" x14ac:dyDescent="0.3">
      <c r="A858" s="2" t="s">
        <v>930</v>
      </c>
      <c r="B858" s="2" t="s">
        <v>224</v>
      </c>
      <c r="C858" s="19" t="s">
        <v>931</v>
      </c>
      <c r="D858" s="19" t="s">
        <v>53</v>
      </c>
      <c r="E858" s="19" t="s">
        <v>79</v>
      </c>
      <c r="F858" s="19" t="s">
        <v>17</v>
      </c>
      <c r="G858" s="19" t="s">
        <v>40</v>
      </c>
      <c r="H858" s="19" t="s">
        <v>44</v>
      </c>
      <c r="I858" s="19">
        <v>3</v>
      </c>
      <c r="J858" s="19">
        <v>744</v>
      </c>
      <c r="K858" s="19">
        <v>24</v>
      </c>
      <c r="L858" s="19">
        <v>1696.32</v>
      </c>
      <c r="M858" s="19">
        <f t="shared" si="39"/>
        <v>145983.66000000006</v>
      </c>
      <c r="N858" s="20">
        <f t="shared" si="40"/>
        <v>1013.7754166666671</v>
      </c>
      <c r="O858" s="19">
        <f t="shared" si="41"/>
        <v>280</v>
      </c>
      <c r="P858" s="19" t="str">
        <v>Low</v>
      </c>
    </row>
    <row r="859" spans="1:16" x14ac:dyDescent="0.3">
      <c r="A859" s="2" t="s">
        <v>506</v>
      </c>
      <c r="B859" s="2" t="s">
        <v>135</v>
      </c>
      <c r="C859" s="19" t="s">
        <v>99</v>
      </c>
      <c r="D859" s="19" t="s">
        <v>23</v>
      </c>
      <c r="E859" s="19" t="s">
        <v>79</v>
      </c>
      <c r="F859" s="19" t="s">
        <v>25</v>
      </c>
      <c r="G859" s="19" t="s">
        <v>18</v>
      </c>
      <c r="H859" s="19" t="s">
        <v>33</v>
      </c>
      <c r="I859" s="19">
        <v>1</v>
      </c>
      <c r="J859" s="19">
        <v>2068</v>
      </c>
      <c r="K859" s="19">
        <v>18</v>
      </c>
      <c r="L859" s="19">
        <v>1695.76</v>
      </c>
      <c r="M859" s="19">
        <f t="shared" si="39"/>
        <v>144287.34000000008</v>
      </c>
      <c r="N859" s="20">
        <f t="shared" si="40"/>
        <v>1009.0023776223782</v>
      </c>
      <c r="O859" s="19">
        <f t="shared" si="41"/>
        <v>277</v>
      </c>
      <c r="P859" s="19" t="str">
        <v>Low</v>
      </c>
    </row>
    <row r="860" spans="1:16" x14ac:dyDescent="0.3">
      <c r="A860" s="2" t="s">
        <v>364</v>
      </c>
      <c r="B860" s="2" t="s">
        <v>337</v>
      </c>
      <c r="C860" s="19" t="s">
        <v>250</v>
      </c>
      <c r="D860" s="19" t="s">
        <v>23</v>
      </c>
      <c r="E860" s="19" t="s">
        <v>31</v>
      </c>
      <c r="F860" s="19" t="s">
        <v>49</v>
      </c>
      <c r="G860" s="19" t="s">
        <v>62</v>
      </c>
      <c r="H860" s="19" t="s">
        <v>19</v>
      </c>
      <c r="I860" s="19">
        <v>1</v>
      </c>
      <c r="J860" s="19">
        <v>1721</v>
      </c>
      <c r="K860" s="19">
        <v>2</v>
      </c>
      <c r="L860" s="19">
        <v>1686.58</v>
      </c>
      <c r="M860" s="19">
        <f t="shared" si="39"/>
        <v>142591.58000000007</v>
      </c>
      <c r="N860" s="20">
        <f t="shared" si="40"/>
        <v>1004.1660563380287</v>
      </c>
      <c r="O860" s="19">
        <f t="shared" si="41"/>
        <v>276</v>
      </c>
      <c r="P860" s="19" t="str">
        <v>Low</v>
      </c>
    </row>
    <row r="861" spans="1:16" x14ac:dyDescent="0.3">
      <c r="A861" s="2" t="s">
        <v>1246</v>
      </c>
      <c r="B861" s="2" t="s">
        <v>1146</v>
      </c>
      <c r="C861" s="19" t="s">
        <v>882</v>
      </c>
      <c r="D861" s="19" t="s">
        <v>15</v>
      </c>
      <c r="E861" s="19" t="s">
        <v>58</v>
      </c>
      <c r="F861" s="19" t="s">
        <v>49</v>
      </c>
      <c r="G861" s="19" t="s">
        <v>18</v>
      </c>
      <c r="H861" s="19" t="s">
        <v>33</v>
      </c>
      <c r="I861" s="19">
        <v>5</v>
      </c>
      <c r="J861" s="19">
        <v>372</v>
      </c>
      <c r="K861" s="19">
        <v>10</v>
      </c>
      <c r="L861" s="19">
        <v>1674</v>
      </c>
      <c r="M861" s="19">
        <f t="shared" si="39"/>
        <v>140905.00000000006</v>
      </c>
      <c r="N861" s="20">
        <f t="shared" si="40"/>
        <v>999.32624113475219</v>
      </c>
      <c r="O861" s="19">
        <f t="shared" si="41"/>
        <v>275</v>
      </c>
      <c r="P861" s="19" t="str">
        <v>Low</v>
      </c>
    </row>
    <row r="862" spans="1:16" x14ac:dyDescent="0.3">
      <c r="A862" s="2" t="s">
        <v>1111</v>
      </c>
      <c r="B862" s="2" t="s">
        <v>825</v>
      </c>
      <c r="C862" s="19" t="s">
        <v>538</v>
      </c>
      <c r="D862" s="19" t="s">
        <v>88</v>
      </c>
      <c r="E862" s="19" t="s">
        <v>68</v>
      </c>
      <c r="F862" s="19" t="s">
        <v>40</v>
      </c>
      <c r="G862" s="19" t="s">
        <v>62</v>
      </c>
      <c r="H862" s="19" t="s">
        <v>19</v>
      </c>
      <c r="I862" s="19">
        <v>2</v>
      </c>
      <c r="J862" s="19">
        <v>861</v>
      </c>
      <c r="K862" s="19">
        <v>3</v>
      </c>
      <c r="L862" s="19">
        <v>1670.34</v>
      </c>
      <c r="M862" s="19">
        <f t="shared" si="39"/>
        <v>139231.00000000003</v>
      </c>
      <c r="N862" s="20">
        <f t="shared" si="40"/>
        <v>994.50714285714309</v>
      </c>
      <c r="O862" s="19">
        <f t="shared" si="41"/>
        <v>270</v>
      </c>
      <c r="P862" s="19" t="str">
        <v>Low</v>
      </c>
    </row>
    <row r="863" spans="1:16" x14ac:dyDescent="0.3">
      <c r="A863" s="2" t="s">
        <v>622</v>
      </c>
      <c r="B863" s="2" t="s">
        <v>623</v>
      </c>
      <c r="C863" s="19" t="s">
        <v>356</v>
      </c>
      <c r="D863" s="19" t="s">
        <v>53</v>
      </c>
      <c r="E863" s="19" t="s">
        <v>48</v>
      </c>
      <c r="F863" s="19" t="s">
        <v>49</v>
      </c>
      <c r="G863" s="19" t="s">
        <v>26</v>
      </c>
      <c r="H863" s="19" t="s">
        <v>33</v>
      </c>
      <c r="I863" s="19">
        <v>3</v>
      </c>
      <c r="J863" s="19">
        <v>636</v>
      </c>
      <c r="K863" s="19">
        <v>13</v>
      </c>
      <c r="L863" s="19">
        <v>1659.96</v>
      </c>
      <c r="M863" s="19">
        <f t="shared" si="39"/>
        <v>137560.66000000003</v>
      </c>
      <c r="N863" s="20">
        <f t="shared" si="40"/>
        <v>989.64503597122325</v>
      </c>
      <c r="O863" s="19">
        <f t="shared" si="41"/>
        <v>268</v>
      </c>
      <c r="P863" s="19" t="str">
        <v>Low</v>
      </c>
    </row>
    <row r="864" spans="1:16" x14ac:dyDescent="0.3">
      <c r="A864" s="2" t="s">
        <v>1364</v>
      </c>
      <c r="B864" s="2" t="s">
        <v>1365</v>
      </c>
      <c r="C864" s="19" t="s">
        <v>383</v>
      </c>
      <c r="D864" s="19" t="s">
        <v>15</v>
      </c>
      <c r="E864" s="19" t="s">
        <v>48</v>
      </c>
      <c r="F864" s="19" t="s">
        <v>32</v>
      </c>
      <c r="G864" s="19" t="s">
        <v>18</v>
      </c>
      <c r="H864" s="19" t="s">
        <v>44</v>
      </c>
      <c r="I864" s="19">
        <v>1</v>
      </c>
      <c r="J864" s="19">
        <v>1702</v>
      </c>
      <c r="K864" s="19">
        <v>3</v>
      </c>
      <c r="L864" s="19">
        <v>1650.94</v>
      </c>
      <c r="M864" s="19">
        <f t="shared" si="39"/>
        <v>135900.70000000001</v>
      </c>
      <c r="N864" s="20">
        <f t="shared" si="40"/>
        <v>984.78768115942034</v>
      </c>
      <c r="O864" s="19">
        <f t="shared" si="41"/>
        <v>265</v>
      </c>
      <c r="P864" s="19" t="str">
        <v>Low</v>
      </c>
    </row>
    <row r="865" spans="1:16" x14ac:dyDescent="0.3">
      <c r="A865" s="2" t="s">
        <v>437</v>
      </c>
      <c r="B865" s="2" t="s">
        <v>107</v>
      </c>
      <c r="C865" s="19" t="s">
        <v>438</v>
      </c>
      <c r="D865" s="19" t="s">
        <v>53</v>
      </c>
      <c r="E865" s="19" t="s">
        <v>79</v>
      </c>
      <c r="F865" s="19" t="s">
        <v>25</v>
      </c>
      <c r="G865" s="19" t="s">
        <v>62</v>
      </c>
      <c r="H865" s="19" t="s">
        <v>33</v>
      </c>
      <c r="I865" s="19">
        <v>1</v>
      </c>
      <c r="J865" s="19">
        <v>2012</v>
      </c>
      <c r="K865" s="19">
        <v>18</v>
      </c>
      <c r="L865" s="19">
        <v>1649.84</v>
      </c>
      <c r="M865" s="19">
        <f t="shared" si="39"/>
        <v>134249.76</v>
      </c>
      <c r="N865" s="20">
        <f t="shared" si="40"/>
        <v>979.92525547445257</v>
      </c>
      <c r="O865" s="19">
        <f t="shared" si="41"/>
        <v>264</v>
      </c>
      <c r="P865" s="19" t="str">
        <v>Low</v>
      </c>
    </row>
    <row r="866" spans="1:16" x14ac:dyDescent="0.3">
      <c r="A866" s="2" t="s">
        <v>1177</v>
      </c>
      <c r="B866" s="2" t="s">
        <v>300</v>
      </c>
      <c r="C866" s="19" t="s">
        <v>454</v>
      </c>
      <c r="D866" s="19" t="s">
        <v>88</v>
      </c>
      <c r="E866" s="19" t="s">
        <v>48</v>
      </c>
      <c r="F866" s="19" t="s">
        <v>40</v>
      </c>
      <c r="G866" s="19" t="s">
        <v>26</v>
      </c>
      <c r="H866" s="19" t="s">
        <v>75</v>
      </c>
      <c r="I866" s="19">
        <v>2</v>
      </c>
      <c r="J866" s="19">
        <v>820</v>
      </c>
      <c r="K866" s="19">
        <v>0</v>
      </c>
      <c r="L866" s="19">
        <v>1640</v>
      </c>
      <c r="M866" s="19">
        <f t="shared" si="39"/>
        <v>132599.92000000004</v>
      </c>
      <c r="N866" s="20">
        <f t="shared" si="40"/>
        <v>974.99941176470622</v>
      </c>
      <c r="O866" s="19">
        <f t="shared" si="41"/>
        <v>263</v>
      </c>
      <c r="P866" s="19" t="str">
        <v>Low</v>
      </c>
    </row>
    <row r="867" spans="1:16" x14ac:dyDescent="0.3">
      <c r="A867" s="2" t="s">
        <v>486</v>
      </c>
      <c r="B867" s="2" t="s">
        <v>487</v>
      </c>
      <c r="C867" s="19" t="s">
        <v>393</v>
      </c>
      <c r="D867" s="19" t="s">
        <v>88</v>
      </c>
      <c r="E867" s="19" t="s">
        <v>48</v>
      </c>
      <c r="F867" s="19" t="s">
        <v>49</v>
      </c>
      <c r="G867" s="19" t="s">
        <v>62</v>
      </c>
      <c r="H867" s="19" t="s">
        <v>44</v>
      </c>
      <c r="I867" s="19">
        <v>1</v>
      </c>
      <c r="J867" s="19">
        <v>1817</v>
      </c>
      <c r="K867" s="19">
        <v>10</v>
      </c>
      <c r="L867" s="19">
        <v>1635.3</v>
      </c>
      <c r="M867" s="19">
        <f t="shared" si="39"/>
        <v>130959.92000000001</v>
      </c>
      <c r="N867" s="20">
        <f t="shared" si="40"/>
        <v>970.07348148148162</v>
      </c>
      <c r="O867" s="19">
        <f t="shared" si="41"/>
        <v>261</v>
      </c>
      <c r="P867" s="19" t="str">
        <v>Low</v>
      </c>
    </row>
    <row r="868" spans="1:16" x14ac:dyDescent="0.3">
      <c r="A868" s="2" t="s">
        <v>993</v>
      </c>
      <c r="B868" s="2" t="s">
        <v>739</v>
      </c>
      <c r="C868" s="19" t="s">
        <v>994</v>
      </c>
      <c r="D868" s="19" t="s">
        <v>23</v>
      </c>
      <c r="E868" s="19" t="s">
        <v>48</v>
      </c>
      <c r="F868" s="19" t="s">
        <v>17</v>
      </c>
      <c r="G868" s="19" t="s">
        <v>26</v>
      </c>
      <c r="H868" s="19" t="s">
        <v>44</v>
      </c>
      <c r="I868" s="19">
        <v>1</v>
      </c>
      <c r="J868" s="19">
        <v>1645</v>
      </c>
      <c r="K868" s="19">
        <v>1</v>
      </c>
      <c r="L868" s="19">
        <v>1628.55</v>
      </c>
      <c r="M868" s="19">
        <f t="shared" si="39"/>
        <v>129324.62000000001</v>
      </c>
      <c r="N868" s="20">
        <f t="shared" si="40"/>
        <v>965.10910447761205</v>
      </c>
      <c r="O868" s="19">
        <f t="shared" si="41"/>
        <v>260</v>
      </c>
      <c r="P868" s="19" t="str">
        <v>Low</v>
      </c>
    </row>
    <row r="869" spans="1:16" x14ac:dyDescent="0.3">
      <c r="A869" s="2" t="s">
        <v>1297</v>
      </c>
      <c r="B869" s="2" t="s">
        <v>962</v>
      </c>
      <c r="C869" s="19" t="s">
        <v>1298</v>
      </c>
      <c r="D869" s="19" t="s">
        <v>30</v>
      </c>
      <c r="E869" s="19" t="s">
        <v>24</v>
      </c>
      <c r="F869" s="19" t="s">
        <v>25</v>
      </c>
      <c r="G869" s="19" t="s">
        <v>18</v>
      </c>
      <c r="H869" s="19" t="s">
        <v>44</v>
      </c>
      <c r="I869" s="19">
        <v>1</v>
      </c>
      <c r="J869" s="19">
        <v>2034</v>
      </c>
      <c r="K869" s="19">
        <v>20</v>
      </c>
      <c r="L869" s="19">
        <v>1627.2</v>
      </c>
      <c r="M869" s="19">
        <f t="shared" si="39"/>
        <v>127696.06999999999</v>
      </c>
      <c r="N869" s="20">
        <f t="shared" si="40"/>
        <v>960.1208270676691</v>
      </c>
      <c r="O869" s="19">
        <f t="shared" si="41"/>
        <v>259</v>
      </c>
      <c r="P869" s="19" t="str">
        <v>Low</v>
      </c>
    </row>
    <row r="870" spans="1:16" x14ac:dyDescent="0.3">
      <c r="A870" s="2" t="s">
        <v>1226</v>
      </c>
      <c r="B870" s="2" t="s">
        <v>615</v>
      </c>
      <c r="C870" s="19" t="s">
        <v>1227</v>
      </c>
      <c r="D870" s="19" t="s">
        <v>23</v>
      </c>
      <c r="E870" s="19" t="s">
        <v>24</v>
      </c>
      <c r="F870" s="19" t="s">
        <v>32</v>
      </c>
      <c r="G870" s="19" t="s">
        <v>18</v>
      </c>
      <c r="H870" s="19" t="s">
        <v>44</v>
      </c>
      <c r="I870" s="19">
        <v>3</v>
      </c>
      <c r="J870" s="19">
        <v>728</v>
      </c>
      <c r="K870" s="19">
        <v>26</v>
      </c>
      <c r="L870" s="19">
        <v>1616.16</v>
      </c>
      <c r="M870" s="19">
        <f t="shared" si="39"/>
        <v>126068.87000000001</v>
      </c>
      <c r="N870" s="20">
        <f t="shared" si="40"/>
        <v>955.06719696969708</v>
      </c>
      <c r="O870" s="19">
        <f t="shared" si="41"/>
        <v>258</v>
      </c>
      <c r="P870" s="19" t="str">
        <v>Low</v>
      </c>
    </row>
    <row r="871" spans="1:16" x14ac:dyDescent="0.3">
      <c r="A871" s="2" t="s">
        <v>966</v>
      </c>
      <c r="B871" s="2" t="s">
        <v>474</v>
      </c>
      <c r="C871" s="19" t="s">
        <v>678</v>
      </c>
      <c r="D871" s="19" t="s">
        <v>88</v>
      </c>
      <c r="E871" s="19" t="s">
        <v>79</v>
      </c>
      <c r="F871" s="19" t="s">
        <v>49</v>
      </c>
      <c r="G871" s="19" t="s">
        <v>62</v>
      </c>
      <c r="H871" s="19" t="s">
        <v>44</v>
      </c>
      <c r="I871" s="19">
        <v>1</v>
      </c>
      <c r="J871" s="19">
        <v>1627</v>
      </c>
      <c r="K871" s="19">
        <v>1</v>
      </c>
      <c r="L871" s="19">
        <v>1610.73</v>
      </c>
      <c r="M871" s="19">
        <f t="shared" si="39"/>
        <v>124452.71</v>
      </c>
      <c r="N871" s="20">
        <f t="shared" si="40"/>
        <v>950.0206870229008</v>
      </c>
      <c r="O871" s="19">
        <f t="shared" si="41"/>
        <v>255</v>
      </c>
      <c r="P871" s="19" t="str">
        <v>Low</v>
      </c>
    </row>
    <row r="872" spans="1:16" x14ac:dyDescent="0.3">
      <c r="A872" s="2" t="s">
        <v>1089</v>
      </c>
      <c r="B872" s="2" t="s">
        <v>1090</v>
      </c>
      <c r="C872" s="19" t="s">
        <v>635</v>
      </c>
      <c r="D872" s="19" t="s">
        <v>88</v>
      </c>
      <c r="E872" s="19" t="s">
        <v>16</v>
      </c>
      <c r="F872" s="19" t="s">
        <v>17</v>
      </c>
      <c r="G872" s="19" t="s">
        <v>54</v>
      </c>
      <c r="H872" s="19" t="s">
        <v>19</v>
      </c>
      <c r="I872" s="19">
        <v>2</v>
      </c>
      <c r="J872" s="19">
        <v>839</v>
      </c>
      <c r="K872" s="19">
        <v>5</v>
      </c>
      <c r="L872" s="19">
        <v>1594.1</v>
      </c>
      <c r="M872" s="19">
        <f t="shared" si="39"/>
        <v>122841.98000000003</v>
      </c>
      <c r="N872" s="20">
        <f t="shared" si="40"/>
        <v>944.93830769230783</v>
      </c>
      <c r="O872" s="19">
        <f t="shared" si="41"/>
        <v>254</v>
      </c>
      <c r="P872" s="19" t="str">
        <v>Low</v>
      </c>
    </row>
    <row r="873" spans="1:16" x14ac:dyDescent="0.3">
      <c r="A873" s="2" t="s">
        <v>1164</v>
      </c>
      <c r="B873" s="2" t="s">
        <v>278</v>
      </c>
      <c r="C873" s="19" t="s">
        <v>732</v>
      </c>
      <c r="D873" s="19" t="s">
        <v>15</v>
      </c>
      <c r="E873" s="19" t="s">
        <v>79</v>
      </c>
      <c r="F873" s="19" t="s">
        <v>32</v>
      </c>
      <c r="G873" s="19" t="s">
        <v>62</v>
      </c>
      <c r="H873" s="19" t="s">
        <v>75</v>
      </c>
      <c r="I873" s="19">
        <v>1</v>
      </c>
      <c r="J873" s="19">
        <v>1639</v>
      </c>
      <c r="K873" s="19">
        <v>3</v>
      </c>
      <c r="L873" s="19">
        <v>1589.83</v>
      </c>
      <c r="M873" s="19">
        <f t="shared" si="39"/>
        <v>121247.88000000002</v>
      </c>
      <c r="N873" s="20">
        <f t="shared" si="40"/>
        <v>939.90604651162801</v>
      </c>
      <c r="O873" s="19">
        <f t="shared" si="41"/>
        <v>252</v>
      </c>
      <c r="P873" s="19" t="str">
        <v>Low</v>
      </c>
    </row>
    <row r="874" spans="1:16" x14ac:dyDescent="0.3">
      <c r="A874" s="2" t="s">
        <v>1479</v>
      </c>
      <c r="B874" s="2" t="s">
        <v>651</v>
      </c>
      <c r="C874" s="19" t="s">
        <v>160</v>
      </c>
      <c r="D874" s="19" t="s">
        <v>30</v>
      </c>
      <c r="E874" s="19" t="s">
        <v>31</v>
      </c>
      <c r="F874" s="19" t="s">
        <v>49</v>
      </c>
      <c r="G874" s="19" t="s">
        <v>18</v>
      </c>
      <c r="H874" s="19" t="s">
        <v>19</v>
      </c>
      <c r="I874" s="19">
        <v>2</v>
      </c>
      <c r="J874" s="19">
        <v>887</v>
      </c>
      <c r="K874" s="19">
        <v>11</v>
      </c>
      <c r="L874" s="19">
        <v>1578.86</v>
      </c>
      <c r="M874" s="19">
        <f t="shared" si="39"/>
        <v>119658.05</v>
      </c>
      <c r="N874" s="20">
        <f t="shared" si="40"/>
        <v>934.82851562500002</v>
      </c>
      <c r="O874" s="19">
        <f t="shared" si="41"/>
        <v>251</v>
      </c>
      <c r="P874" s="19" t="str">
        <v>Low</v>
      </c>
    </row>
    <row r="875" spans="1:16" x14ac:dyDescent="0.3">
      <c r="A875" s="2" t="s">
        <v>1555</v>
      </c>
      <c r="B875" s="2" t="s">
        <v>572</v>
      </c>
      <c r="C875" s="19" t="s">
        <v>238</v>
      </c>
      <c r="D875" s="19" t="s">
        <v>88</v>
      </c>
      <c r="E875" s="19" t="s">
        <v>31</v>
      </c>
      <c r="F875" s="19" t="s">
        <v>49</v>
      </c>
      <c r="G875" s="19" t="s">
        <v>62</v>
      </c>
      <c r="H875" s="19" t="s">
        <v>75</v>
      </c>
      <c r="I875" s="19">
        <v>4</v>
      </c>
      <c r="J875" s="19">
        <v>406</v>
      </c>
      <c r="K875" s="19">
        <v>3</v>
      </c>
      <c r="L875" s="19">
        <v>1575.28</v>
      </c>
      <c r="M875" s="19">
        <f t="shared" si="39"/>
        <v>118079.19000000003</v>
      </c>
      <c r="N875" s="20">
        <f t="shared" si="40"/>
        <v>929.75740157480345</v>
      </c>
      <c r="O875" s="19">
        <f t="shared" si="41"/>
        <v>249</v>
      </c>
      <c r="P875" s="19" t="str">
        <v>Low</v>
      </c>
    </row>
    <row r="876" spans="1:16" x14ac:dyDescent="0.3">
      <c r="A876" s="2" t="s">
        <v>329</v>
      </c>
      <c r="B876" s="2" t="s">
        <v>330</v>
      </c>
      <c r="C876" s="19" t="s">
        <v>331</v>
      </c>
      <c r="D876" s="19" t="s">
        <v>30</v>
      </c>
      <c r="E876" s="19" t="s">
        <v>68</v>
      </c>
      <c r="F876" s="19" t="s">
        <v>17</v>
      </c>
      <c r="G876" s="19" t="s">
        <v>62</v>
      </c>
      <c r="H876" s="19" t="s">
        <v>19</v>
      </c>
      <c r="I876" s="19">
        <v>4</v>
      </c>
      <c r="J876" s="19">
        <v>457</v>
      </c>
      <c r="K876" s="19">
        <v>14</v>
      </c>
      <c r="L876" s="19">
        <v>1572.08</v>
      </c>
      <c r="M876" s="19">
        <f t="shared" si="39"/>
        <v>116503.91000000003</v>
      </c>
      <c r="N876" s="20">
        <f t="shared" si="40"/>
        <v>924.63420634920658</v>
      </c>
      <c r="O876" s="19">
        <f t="shared" si="41"/>
        <v>245</v>
      </c>
      <c r="P876" s="19" t="str">
        <v>Low</v>
      </c>
    </row>
    <row r="877" spans="1:16" x14ac:dyDescent="0.3">
      <c r="A877" s="2" t="s">
        <v>1032</v>
      </c>
      <c r="B877" s="2" t="s">
        <v>144</v>
      </c>
      <c r="C877" s="19" t="s">
        <v>711</v>
      </c>
      <c r="D877" s="19" t="s">
        <v>53</v>
      </c>
      <c r="E877" s="19" t="s">
        <v>24</v>
      </c>
      <c r="F877" s="19" t="s">
        <v>32</v>
      </c>
      <c r="G877" s="19" t="s">
        <v>54</v>
      </c>
      <c r="H877" s="19" t="s">
        <v>75</v>
      </c>
      <c r="I877" s="19">
        <v>3</v>
      </c>
      <c r="J877" s="19">
        <v>608</v>
      </c>
      <c r="K877" s="19">
        <v>14</v>
      </c>
      <c r="L877" s="19">
        <v>1568.64</v>
      </c>
      <c r="M877" s="19">
        <f t="shared" si="39"/>
        <v>114931.83000000003</v>
      </c>
      <c r="N877" s="20">
        <f t="shared" si="40"/>
        <v>919.45464000000027</v>
      </c>
      <c r="O877" s="19">
        <f t="shared" si="41"/>
        <v>241</v>
      </c>
      <c r="P877" s="19" t="str">
        <v>Low</v>
      </c>
    </row>
    <row r="878" spans="1:16" x14ac:dyDescent="0.3">
      <c r="A878" s="2" t="s">
        <v>1085</v>
      </c>
      <c r="B878" s="2" t="s">
        <v>472</v>
      </c>
      <c r="C878" s="19" t="s">
        <v>924</v>
      </c>
      <c r="D878" s="19" t="s">
        <v>30</v>
      </c>
      <c r="E878" s="19" t="s">
        <v>31</v>
      </c>
      <c r="F878" s="19" t="s">
        <v>40</v>
      </c>
      <c r="G878" s="19" t="s">
        <v>54</v>
      </c>
      <c r="H878" s="19" t="s">
        <v>44</v>
      </c>
      <c r="I878" s="19">
        <v>2</v>
      </c>
      <c r="J878" s="19">
        <v>1091</v>
      </c>
      <c r="K878" s="19">
        <v>29</v>
      </c>
      <c r="L878" s="19">
        <v>1549.22</v>
      </c>
      <c r="M878" s="19">
        <f t="shared" si="39"/>
        <v>113363.19000000003</v>
      </c>
      <c r="N878" s="20">
        <f t="shared" si="40"/>
        <v>914.21927419354859</v>
      </c>
      <c r="O878" s="19">
        <f t="shared" si="41"/>
        <v>238</v>
      </c>
      <c r="P878" s="19" t="str">
        <v>Low</v>
      </c>
    </row>
    <row r="879" spans="1:16" x14ac:dyDescent="0.3">
      <c r="A879" s="2" t="s">
        <v>1245</v>
      </c>
      <c r="B879" s="2" t="s">
        <v>333</v>
      </c>
      <c r="C879" s="19" t="s">
        <v>826</v>
      </c>
      <c r="D879" s="19" t="s">
        <v>88</v>
      </c>
      <c r="E879" s="19" t="s">
        <v>16</v>
      </c>
      <c r="F879" s="19" t="s">
        <v>32</v>
      </c>
      <c r="G879" s="19" t="s">
        <v>40</v>
      </c>
      <c r="H879" s="19" t="s">
        <v>33</v>
      </c>
      <c r="I879" s="19">
        <v>1</v>
      </c>
      <c r="J879" s="19">
        <v>1691</v>
      </c>
      <c r="K879" s="19">
        <v>9</v>
      </c>
      <c r="L879" s="19">
        <v>1538.81</v>
      </c>
      <c r="M879" s="19">
        <f t="shared" si="39"/>
        <v>111813.97000000004</v>
      </c>
      <c r="N879" s="20">
        <f t="shared" si="40"/>
        <v>909.05666666666707</v>
      </c>
      <c r="O879" s="19">
        <f t="shared" si="41"/>
        <v>236</v>
      </c>
      <c r="P879" s="19" t="str">
        <v>Low</v>
      </c>
    </row>
    <row r="880" spans="1:16" x14ac:dyDescent="0.3">
      <c r="A880" s="2" t="s">
        <v>1604</v>
      </c>
      <c r="B880" s="2" t="s">
        <v>1605</v>
      </c>
      <c r="C880" s="19" t="s">
        <v>936</v>
      </c>
      <c r="D880" s="19" t="s">
        <v>23</v>
      </c>
      <c r="E880" s="19" t="s">
        <v>79</v>
      </c>
      <c r="F880" s="19" t="s">
        <v>25</v>
      </c>
      <c r="G880" s="19" t="s">
        <v>62</v>
      </c>
      <c r="H880" s="19" t="s">
        <v>19</v>
      </c>
      <c r="I880" s="19">
        <v>1</v>
      </c>
      <c r="J880" s="19">
        <v>1589</v>
      </c>
      <c r="K880" s="19">
        <v>4</v>
      </c>
      <c r="L880" s="19">
        <v>1525.44</v>
      </c>
      <c r="M880" s="19">
        <f t="shared" si="39"/>
        <v>110275.16000000005</v>
      </c>
      <c r="N880" s="20">
        <f t="shared" si="40"/>
        <v>903.89475409836109</v>
      </c>
      <c r="O880" s="19">
        <f t="shared" si="41"/>
        <v>235</v>
      </c>
      <c r="P880" s="19" t="str">
        <v>Low</v>
      </c>
    </row>
    <row r="881" spans="1:16" x14ac:dyDescent="0.3">
      <c r="A881" s="2" t="s">
        <v>1541</v>
      </c>
      <c r="B881" s="2" t="s">
        <v>752</v>
      </c>
      <c r="C881" s="19" t="s">
        <v>719</v>
      </c>
      <c r="D881" s="19" t="s">
        <v>15</v>
      </c>
      <c r="E881" s="19" t="s">
        <v>16</v>
      </c>
      <c r="F881" s="19" t="s">
        <v>40</v>
      </c>
      <c r="G881" s="19" t="s">
        <v>54</v>
      </c>
      <c r="H881" s="19" t="s">
        <v>19</v>
      </c>
      <c r="I881" s="19">
        <v>3</v>
      </c>
      <c r="J881" s="19">
        <v>549</v>
      </c>
      <c r="K881" s="19">
        <v>8</v>
      </c>
      <c r="L881" s="19">
        <v>1515.24</v>
      </c>
      <c r="M881" s="19">
        <f t="shared" si="39"/>
        <v>108749.72000000003</v>
      </c>
      <c r="N881" s="20">
        <f t="shared" si="40"/>
        <v>898.75801652892585</v>
      </c>
      <c r="O881" s="19">
        <f t="shared" si="41"/>
        <v>234</v>
      </c>
      <c r="P881" s="19" t="str">
        <v>Low</v>
      </c>
    </row>
    <row r="882" spans="1:16" x14ac:dyDescent="0.3">
      <c r="A882" s="2" t="s">
        <v>391</v>
      </c>
      <c r="B882" s="2" t="s">
        <v>392</v>
      </c>
      <c r="C882" s="19" t="s">
        <v>393</v>
      </c>
      <c r="D882" s="19" t="s">
        <v>15</v>
      </c>
      <c r="E882" s="19" t="s">
        <v>31</v>
      </c>
      <c r="F882" s="19" t="s">
        <v>32</v>
      </c>
      <c r="G882" s="19" t="s">
        <v>54</v>
      </c>
      <c r="H882" s="19" t="s">
        <v>19</v>
      </c>
      <c r="I882" s="19">
        <v>2</v>
      </c>
      <c r="J882" s="19">
        <v>760</v>
      </c>
      <c r="K882" s="19">
        <v>1</v>
      </c>
      <c r="L882" s="19">
        <v>1504.8</v>
      </c>
      <c r="M882" s="19">
        <f t="shared" si="39"/>
        <v>107234.48000000004</v>
      </c>
      <c r="N882" s="20">
        <f t="shared" si="40"/>
        <v>893.62066666666703</v>
      </c>
      <c r="O882" s="19">
        <f t="shared" si="41"/>
        <v>231</v>
      </c>
      <c r="P882" s="19" t="str">
        <v>Low</v>
      </c>
    </row>
    <row r="883" spans="1:16" x14ac:dyDescent="0.3">
      <c r="A883" s="2" t="s">
        <v>279</v>
      </c>
      <c r="B883" s="2" t="s">
        <v>280</v>
      </c>
      <c r="C883" s="19" t="s">
        <v>281</v>
      </c>
      <c r="D883" s="19" t="s">
        <v>15</v>
      </c>
      <c r="E883" s="19" t="s">
        <v>31</v>
      </c>
      <c r="F883" s="19" t="s">
        <v>40</v>
      </c>
      <c r="G883" s="19" t="s">
        <v>40</v>
      </c>
      <c r="H883" s="19" t="s">
        <v>75</v>
      </c>
      <c r="I883" s="19">
        <v>3</v>
      </c>
      <c r="J883" s="19">
        <v>533</v>
      </c>
      <c r="K883" s="19">
        <v>6</v>
      </c>
      <c r="L883" s="19">
        <v>1503.06</v>
      </c>
      <c r="M883" s="19">
        <f t="shared" si="39"/>
        <v>105729.68000000005</v>
      </c>
      <c r="N883" s="20">
        <f t="shared" si="40"/>
        <v>888.48470588235341</v>
      </c>
      <c r="O883" s="19">
        <f t="shared" si="41"/>
        <v>229</v>
      </c>
      <c r="P883" s="19" t="str">
        <v>Low</v>
      </c>
    </row>
    <row r="884" spans="1:16" x14ac:dyDescent="0.3">
      <c r="A884" s="2" t="s">
        <v>289</v>
      </c>
      <c r="B884" s="2" t="s">
        <v>290</v>
      </c>
      <c r="C884" s="19" t="s">
        <v>291</v>
      </c>
      <c r="D884" s="19" t="s">
        <v>53</v>
      </c>
      <c r="E884" s="19" t="s">
        <v>48</v>
      </c>
      <c r="F884" s="19" t="s">
        <v>32</v>
      </c>
      <c r="G884" s="19" t="s">
        <v>18</v>
      </c>
      <c r="H884" s="19" t="s">
        <v>44</v>
      </c>
      <c r="I884" s="19">
        <v>1</v>
      </c>
      <c r="J884" s="19">
        <v>2028</v>
      </c>
      <c r="K884" s="19">
        <v>26</v>
      </c>
      <c r="L884" s="19">
        <v>1500.72</v>
      </c>
      <c r="M884" s="19">
        <f t="shared" si="39"/>
        <v>104226.62000000004</v>
      </c>
      <c r="N884" s="20">
        <f t="shared" si="40"/>
        <v>883.27644067796643</v>
      </c>
      <c r="O884" s="19">
        <f t="shared" si="41"/>
        <v>226</v>
      </c>
      <c r="P884" s="19" t="str">
        <v>Low</v>
      </c>
    </row>
    <row r="885" spans="1:16" x14ac:dyDescent="0.3">
      <c r="A885" s="2" t="s">
        <v>1409</v>
      </c>
      <c r="B885" s="2" t="s">
        <v>1410</v>
      </c>
      <c r="C885" s="19" t="s">
        <v>130</v>
      </c>
      <c r="D885" s="19" t="s">
        <v>30</v>
      </c>
      <c r="E885" s="19" t="s">
        <v>48</v>
      </c>
      <c r="F885" s="19" t="s">
        <v>40</v>
      </c>
      <c r="G885" s="19" t="s">
        <v>26</v>
      </c>
      <c r="H885" s="19" t="s">
        <v>33</v>
      </c>
      <c r="I885" s="19">
        <v>1</v>
      </c>
      <c r="J885" s="19">
        <v>2000</v>
      </c>
      <c r="K885" s="19">
        <v>25</v>
      </c>
      <c r="L885" s="19">
        <v>1500</v>
      </c>
      <c r="M885" s="19">
        <f t="shared" si="39"/>
        <v>102725.90000000004</v>
      </c>
      <c r="N885" s="20">
        <f t="shared" si="40"/>
        <v>877.99914529914565</v>
      </c>
      <c r="O885" s="19">
        <f t="shared" si="41"/>
        <v>225</v>
      </c>
      <c r="P885" s="19" t="str">
        <v>Low</v>
      </c>
    </row>
    <row r="886" spans="1:16" x14ac:dyDescent="0.3">
      <c r="A886" s="2" t="s">
        <v>975</v>
      </c>
      <c r="B886" s="2" t="s">
        <v>976</v>
      </c>
      <c r="C886" s="19" t="s">
        <v>977</v>
      </c>
      <c r="D886" s="19" t="s">
        <v>30</v>
      </c>
      <c r="E886" s="19" t="s">
        <v>24</v>
      </c>
      <c r="F886" s="19" t="s">
        <v>25</v>
      </c>
      <c r="G886" s="19" t="s">
        <v>26</v>
      </c>
      <c r="H886" s="19" t="s">
        <v>44</v>
      </c>
      <c r="I886" s="19">
        <v>1</v>
      </c>
      <c r="J886" s="19">
        <v>1562</v>
      </c>
      <c r="K886" s="19">
        <v>4</v>
      </c>
      <c r="L886" s="19">
        <v>1499.52</v>
      </c>
      <c r="M886" s="19">
        <f t="shared" si="39"/>
        <v>101225.90000000001</v>
      </c>
      <c r="N886" s="20">
        <f t="shared" si="40"/>
        <v>872.6370689655173</v>
      </c>
      <c r="O886" s="19">
        <f t="shared" si="41"/>
        <v>224</v>
      </c>
      <c r="P886" s="19" t="str">
        <v>Low</v>
      </c>
    </row>
    <row r="887" spans="1:16" x14ac:dyDescent="0.3">
      <c r="A887" s="2" t="s">
        <v>1493</v>
      </c>
      <c r="B887" s="2" t="s">
        <v>1494</v>
      </c>
      <c r="C887" s="19" t="s">
        <v>1004</v>
      </c>
      <c r="D887" s="19" t="s">
        <v>23</v>
      </c>
      <c r="E887" s="19" t="s">
        <v>79</v>
      </c>
      <c r="F887" s="19" t="s">
        <v>25</v>
      </c>
      <c r="G887" s="19" t="s">
        <v>40</v>
      </c>
      <c r="H887" s="19" t="s">
        <v>19</v>
      </c>
      <c r="I887" s="19">
        <v>1</v>
      </c>
      <c r="J887" s="19">
        <v>1718</v>
      </c>
      <c r="K887" s="19">
        <v>14</v>
      </c>
      <c r="L887" s="19">
        <v>1477.48</v>
      </c>
      <c r="M887" s="19">
        <f t="shared" si="39"/>
        <v>99726.380000000019</v>
      </c>
      <c r="N887" s="20">
        <f t="shared" si="40"/>
        <v>867.18591304347842</v>
      </c>
      <c r="O887" s="19">
        <f t="shared" si="41"/>
        <v>223</v>
      </c>
      <c r="P887" s="19" t="str">
        <v>Low</v>
      </c>
    </row>
    <row r="888" spans="1:16" x14ac:dyDescent="0.3">
      <c r="A888" s="2" t="s">
        <v>950</v>
      </c>
      <c r="B888" s="2" t="s">
        <v>182</v>
      </c>
      <c r="C888" s="19" t="s">
        <v>567</v>
      </c>
      <c r="D888" s="19" t="s">
        <v>53</v>
      </c>
      <c r="E888" s="19" t="s">
        <v>68</v>
      </c>
      <c r="F888" s="19" t="s">
        <v>40</v>
      </c>
      <c r="G888" s="19" t="s">
        <v>40</v>
      </c>
      <c r="H888" s="19" t="s">
        <v>19</v>
      </c>
      <c r="I888" s="19">
        <v>1</v>
      </c>
      <c r="J888" s="19">
        <v>1721</v>
      </c>
      <c r="K888" s="19">
        <v>15</v>
      </c>
      <c r="L888" s="19">
        <v>1462.85</v>
      </c>
      <c r="M888" s="19">
        <f t="shared" si="39"/>
        <v>98248.900000000023</v>
      </c>
      <c r="N888" s="20">
        <f t="shared" si="40"/>
        <v>861.83245614035104</v>
      </c>
      <c r="O888" s="19">
        <f t="shared" si="41"/>
        <v>222</v>
      </c>
      <c r="P888" s="19" t="str">
        <v>Low</v>
      </c>
    </row>
    <row r="889" spans="1:16" x14ac:dyDescent="0.3">
      <c r="A889" s="2" t="s">
        <v>778</v>
      </c>
      <c r="B889" s="2" t="s">
        <v>779</v>
      </c>
      <c r="C889" s="19" t="s">
        <v>780</v>
      </c>
      <c r="D889" s="19" t="s">
        <v>88</v>
      </c>
      <c r="E889" s="19" t="s">
        <v>16</v>
      </c>
      <c r="F889" s="19" t="s">
        <v>25</v>
      </c>
      <c r="G889" s="19" t="s">
        <v>26</v>
      </c>
      <c r="H889" s="19" t="s">
        <v>19</v>
      </c>
      <c r="I889" s="19">
        <v>5</v>
      </c>
      <c r="J889" s="19">
        <v>310</v>
      </c>
      <c r="K889" s="19">
        <v>6</v>
      </c>
      <c r="L889" s="19">
        <v>1457</v>
      </c>
      <c r="M889" s="19">
        <f t="shared" si="39"/>
        <v>96786.050000000017</v>
      </c>
      <c r="N889" s="20">
        <f t="shared" si="40"/>
        <v>856.51371681415947</v>
      </c>
      <c r="O889" s="19">
        <f t="shared" si="41"/>
        <v>221</v>
      </c>
      <c r="P889" s="19" t="str">
        <v>Low</v>
      </c>
    </row>
    <row r="890" spans="1:16" x14ac:dyDescent="0.3">
      <c r="A890" s="2" t="s">
        <v>1412</v>
      </c>
      <c r="B890" s="2" t="s">
        <v>542</v>
      </c>
      <c r="C890" s="19" t="s">
        <v>1404</v>
      </c>
      <c r="D890" s="19" t="s">
        <v>88</v>
      </c>
      <c r="E890" s="19" t="s">
        <v>68</v>
      </c>
      <c r="F890" s="19" t="s">
        <v>32</v>
      </c>
      <c r="G890" s="19" t="s">
        <v>40</v>
      </c>
      <c r="H890" s="19" t="s">
        <v>75</v>
      </c>
      <c r="I890" s="19">
        <v>3</v>
      </c>
      <c r="J890" s="19">
        <v>606</v>
      </c>
      <c r="K890" s="19">
        <v>20</v>
      </c>
      <c r="L890" s="19">
        <v>1454.4</v>
      </c>
      <c r="M890" s="19">
        <f t="shared" si="39"/>
        <v>95329.050000000017</v>
      </c>
      <c r="N890" s="20">
        <f t="shared" si="40"/>
        <v>851.15223214285732</v>
      </c>
      <c r="O890" s="19">
        <f t="shared" si="41"/>
        <v>216</v>
      </c>
      <c r="P890" s="19" t="str">
        <v>Low</v>
      </c>
    </row>
    <row r="891" spans="1:16" x14ac:dyDescent="0.3">
      <c r="A891" s="2" t="s">
        <v>1319</v>
      </c>
      <c r="B891" s="2" t="s">
        <v>613</v>
      </c>
      <c r="C891" s="19" t="s">
        <v>1280</v>
      </c>
      <c r="D891" s="19" t="s">
        <v>88</v>
      </c>
      <c r="E891" s="19" t="s">
        <v>79</v>
      </c>
      <c r="F891" s="19" t="s">
        <v>25</v>
      </c>
      <c r="G891" s="19" t="s">
        <v>40</v>
      </c>
      <c r="H891" s="19" t="s">
        <v>33</v>
      </c>
      <c r="I891" s="19">
        <v>1</v>
      </c>
      <c r="J891" s="19">
        <v>1730</v>
      </c>
      <c r="K891" s="19">
        <v>17</v>
      </c>
      <c r="L891" s="19">
        <v>1435.9</v>
      </c>
      <c r="M891" s="19">
        <f t="shared" si="39"/>
        <v>93874.650000000009</v>
      </c>
      <c r="N891" s="20">
        <f t="shared" si="40"/>
        <v>845.7175675675677</v>
      </c>
      <c r="O891" s="19">
        <f t="shared" si="41"/>
        <v>213</v>
      </c>
      <c r="P891" s="19" t="str">
        <v>Low</v>
      </c>
    </row>
    <row r="892" spans="1:16" x14ac:dyDescent="0.3">
      <c r="A892" s="2" t="s">
        <v>12</v>
      </c>
      <c r="B892" s="2" t="s">
        <v>13</v>
      </c>
      <c r="C892" s="19" t="s">
        <v>14</v>
      </c>
      <c r="D892" s="19" t="s">
        <v>15</v>
      </c>
      <c r="E892" s="19" t="s">
        <v>16</v>
      </c>
      <c r="F892" s="19" t="s">
        <v>17</v>
      </c>
      <c r="G892" s="19" t="s">
        <v>18</v>
      </c>
      <c r="H892" s="19" t="s">
        <v>19</v>
      </c>
      <c r="I892" s="19">
        <v>1</v>
      </c>
      <c r="J892" s="19">
        <v>1591</v>
      </c>
      <c r="K892" s="19">
        <v>12</v>
      </c>
      <c r="L892" s="19">
        <v>1400.08</v>
      </c>
      <c r="M892" s="19">
        <f t="shared" si="39"/>
        <v>92438.750000000015</v>
      </c>
      <c r="N892" s="20">
        <f t="shared" si="40"/>
        <v>840.35227272727286</v>
      </c>
      <c r="O892" s="19">
        <f t="shared" si="41"/>
        <v>212</v>
      </c>
      <c r="P892" s="19" t="str">
        <v>Low</v>
      </c>
    </row>
    <row r="893" spans="1:16" x14ac:dyDescent="0.3">
      <c r="A893" s="2" t="s">
        <v>957</v>
      </c>
      <c r="B893" s="2" t="s">
        <v>958</v>
      </c>
      <c r="C893" s="19" t="s">
        <v>416</v>
      </c>
      <c r="D893" s="19" t="s">
        <v>53</v>
      </c>
      <c r="E893" s="19" t="s">
        <v>68</v>
      </c>
      <c r="F893" s="19" t="s">
        <v>17</v>
      </c>
      <c r="G893" s="19" t="s">
        <v>62</v>
      </c>
      <c r="H893" s="19" t="s">
        <v>75</v>
      </c>
      <c r="I893" s="19">
        <v>3</v>
      </c>
      <c r="J893" s="19">
        <v>473</v>
      </c>
      <c r="K893" s="19">
        <v>2</v>
      </c>
      <c r="L893" s="19">
        <v>1390.62</v>
      </c>
      <c r="M893" s="19">
        <f t="shared" si="39"/>
        <v>91038.670000000013</v>
      </c>
      <c r="N893" s="20">
        <f t="shared" si="40"/>
        <v>835.21715596330284</v>
      </c>
      <c r="O893" s="19">
        <f t="shared" si="41"/>
        <v>211</v>
      </c>
      <c r="P893" s="19" t="str">
        <v>Low</v>
      </c>
    </row>
    <row r="894" spans="1:16" x14ac:dyDescent="0.3">
      <c r="A894" s="2" t="s">
        <v>1173</v>
      </c>
      <c r="B894" s="2" t="s">
        <v>252</v>
      </c>
      <c r="C894" s="19" t="s">
        <v>562</v>
      </c>
      <c r="D894" s="19" t="s">
        <v>15</v>
      </c>
      <c r="E894" s="19" t="s">
        <v>48</v>
      </c>
      <c r="F894" s="19" t="s">
        <v>25</v>
      </c>
      <c r="G894" s="19" t="s">
        <v>40</v>
      </c>
      <c r="H894" s="19" t="s">
        <v>33</v>
      </c>
      <c r="I894" s="19">
        <v>1</v>
      </c>
      <c r="J894" s="19">
        <v>1636</v>
      </c>
      <c r="K894" s="19">
        <v>15</v>
      </c>
      <c r="L894" s="19">
        <v>1390.6</v>
      </c>
      <c r="M894" s="19">
        <f t="shared" si="39"/>
        <v>89648.050000000017</v>
      </c>
      <c r="N894" s="20">
        <f t="shared" si="40"/>
        <v>830.0745370370372</v>
      </c>
      <c r="O894" s="19">
        <f t="shared" si="41"/>
        <v>208</v>
      </c>
      <c r="P894" s="19" t="str">
        <v>Low</v>
      </c>
    </row>
    <row r="895" spans="1:16" x14ac:dyDescent="0.3">
      <c r="A895" s="2" t="s">
        <v>583</v>
      </c>
      <c r="B895" s="2" t="s">
        <v>205</v>
      </c>
      <c r="C895" s="19" t="s">
        <v>328</v>
      </c>
      <c r="D895" s="19" t="s">
        <v>30</v>
      </c>
      <c r="E895" s="19" t="s">
        <v>58</v>
      </c>
      <c r="F895" s="19" t="s">
        <v>49</v>
      </c>
      <c r="G895" s="19" t="s">
        <v>40</v>
      </c>
      <c r="H895" s="19" t="s">
        <v>19</v>
      </c>
      <c r="I895" s="19">
        <v>2</v>
      </c>
      <c r="J895" s="19">
        <v>690</v>
      </c>
      <c r="K895" s="19">
        <v>0</v>
      </c>
      <c r="L895" s="19">
        <v>1380</v>
      </c>
      <c r="M895" s="19">
        <f t="shared" si="39"/>
        <v>88257.450000000012</v>
      </c>
      <c r="N895" s="20">
        <f t="shared" si="40"/>
        <v>824.83598130841131</v>
      </c>
      <c r="O895" s="19">
        <f t="shared" si="41"/>
        <v>207</v>
      </c>
      <c r="P895" s="19" t="str">
        <v>Low</v>
      </c>
    </row>
    <row r="896" spans="1:16" x14ac:dyDescent="0.3">
      <c r="A896" s="2" t="s">
        <v>1501</v>
      </c>
      <c r="B896" s="2" t="s">
        <v>90</v>
      </c>
      <c r="C896" s="19" t="s">
        <v>499</v>
      </c>
      <c r="D896" s="19" t="s">
        <v>23</v>
      </c>
      <c r="E896" s="19" t="s">
        <v>48</v>
      </c>
      <c r="F896" s="19" t="s">
        <v>40</v>
      </c>
      <c r="G896" s="19" t="s">
        <v>40</v>
      </c>
      <c r="H896" s="19" t="s">
        <v>75</v>
      </c>
      <c r="I896" s="19">
        <v>5</v>
      </c>
      <c r="J896" s="19">
        <v>376</v>
      </c>
      <c r="K896" s="19">
        <v>27</v>
      </c>
      <c r="L896" s="19">
        <v>1372.4</v>
      </c>
      <c r="M896" s="19">
        <f t="shared" si="39"/>
        <v>86877.450000000012</v>
      </c>
      <c r="N896" s="20">
        <f t="shared" si="40"/>
        <v>819.59858490566046</v>
      </c>
      <c r="O896" s="19">
        <f t="shared" si="41"/>
        <v>205</v>
      </c>
      <c r="P896" s="19" t="str">
        <v>Low</v>
      </c>
    </row>
    <row r="897" spans="1:16" x14ac:dyDescent="0.3">
      <c r="A897" s="2" t="s">
        <v>1509</v>
      </c>
      <c r="B897" s="2" t="s">
        <v>1153</v>
      </c>
      <c r="C897" s="19" t="s">
        <v>428</v>
      </c>
      <c r="D897" s="19" t="s">
        <v>23</v>
      </c>
      <c r="E897" s="19" t="s">
        <v>24</v>
      </c>
      <c r="F897" s="19" t="s">
        <v>32</v>
      </c>
      <c r="G897" s="19" t="s">
        <v>62</v>
      </c>
      <c r="H897" s="19" t="s">
        <v>19</v>
      </c>
      <c r="I897" s="19">
        <v>5</v>
      </c>
      <c r="J897" s="19">
        <v>276</v>
      </c>
      <c r="K897" s="19">
        <v>1</v>
      </c>
      <c r="L897" s="19">
        <v>1366.2</v>
      </c>
      <c r="M897" s="19">
        <f t="shared" si="39"/>
        <v>85505.050000000017</v>
      </c>
      <c r="N897" s="20">
        <f t="shared" si="40"/>
        <v>814.33380952380969</v>
      </c>
      <c r="O897" s="19">
        <f t="shared" si="41"/>
        <v>200</v>
      </c>
      <c r="P897" s="19" t="str">
        <v>Low</v>
      </c>
    </row>
    <row r="898" spans="1:16" x14ac:dyDescent="0.3">
      <c r="A898" s="2" t="s">
        <v>1392</v>
      </c>
      <c r="B898" s="2" t="s">
        <v>631</v>
      </c>
      <c r="C898" s="19" t="s">
        <v>771</v>
      </c>
      <c r="D898" s="19" t="s">
        <v>53</v>
      </c>
      <c r="E898" s="19" t="s">
        <v>79</v>
      </c>
      <c r="F898" s="19" t="s">
        <v>49</v>
      </c>
      <c r="G898" s="19" t="s">
        <v>40</v>
      </c>
      <c r="H898" s="19" t="s">
        <v>44</v>
      </c>
      <c r="I898" s="19">
        <v>2</v>
      </c>
      <c r="J898" s="19">
        <v>888</v>
      </c>
      <c r="K898" s="19">
        <v>25</v>
      </c>
      <c r="L898" s="19">
        <v>1332</v>
      </c>
      <c r="M898" s="19">
        <f t="shared" ref="M898:M961" si="42">SUM(L898:L1897)</f>
        <v>84138.85</v>
      </c>
      <c r="N898" s="20">
        <f t="shared" ref="N898:N961" si="43">AVERAGE(L898:L1897)</f>
        <v>809.0274038461539</v>
      </c>
      <c r="O898" s="19">
        <f t="shared" ref="O898:O961" si="44">SUM(I898:I1897)</f>
        <v>195</v>
      </c>
      <c r="P898" s="19" t="str">
        <v>Low</v>
      </c>
    </row>
    <row r="899" spans="1:16" x14ac:dyDescent="0.3">
      <c r="A899" s="2" t="s">
        <v>1471</v>
      </c>
      <c r="B899" s="2" t="s">
        <v>561</v>
      </c>
      <c r="C899" s="19" t="s">
        <v>325</v>
      </c>
      <c r="D899" s="19" t="s">
        <v>15</v>
      </c>
      <c r="E899" s="19" t="s">
        <v>79</v>
      </c>
      <c r="F899" s="19" t="s">
        <v>25</v>
      </c>
      <c r="G899" s="19" t="s">
        <v>18</v>
      </c>
      <c r="H899" s="19" t="s">
        <v>44</v>
      </c>
      <c r="I899" s="19">
        <v>1</v>
      </c>
      <c r="J899" s="19">
        <v>1461</v>
      </c>
      <c r="K899" s="19">
        <v>9</v>
      </c>
      <c r="L899" s="19">
        <v>1329.51</v>
      </c>
      <c r="M899" s="19">
        <f t="shared" si="42"/>
        <v>82806.850000000006</v>
      </c>
      <c r="N899" s="20">
        <f t="shared" si="43"/>
        <v>803.95</v>
      </c>
      <c r="O899" s="19">
        <f t="shared" si="44"/>
        <v>193</v>
      </c>
      <c r="P899" s="19" t="str">
        <v>Low</v>
      </c>
    </row>
    <row r="900" spans="1:16" x14ac:dyDescent="0.3">
      <c r="A900" s="2" t="s">
        <v>714</v>
      </c>
      <c r="B900" s="2" t="s">
        <v>647</v>
      </c>
      <c r="C900" s="19" t="s">
        <v>211</v>
      </c>
      <c r="D900" s="19" t="s">
        <v>15</v>
      </c>
      <c r="E900" s="19" t="s">
        <v>48</v>
      </c>
      <c r="F900" s="19" t="s">
        <v>32</v>
      </c>
      <c r="G900" s="19" t="s">
        <v>40</v>
      </c>
      <c r="H900" s="19" t="s">
        <v>33</v>
      </c>
      <c r="I900" s="19">
        <v>1</v>
      </c>
      <c r="J900" s="19">
        <v>1559</v>
      </c>
      <c r="K900" s="19">
        <v>16</v>
      </c>
      <c r="L900" s="19">
        <v>1309.56</v>
      </c>
      <c r="M900" s="19">
        <f t="shared" si="42"/>
        <v>81477.34</v>
      </c>
      <c r="N900" s="20">
        <f t="shared" si="43"/>
        <v>798.79745098039211</v>
      </c>
      <c r="O900" s="19">
        <f t="shared" si="44"/>
        <v>192</v>
      </c>
      <c r="P900" s="19" t="str">
        <v>Low</v>
      </c>
    </row>
    <row r="901" spans="1:16" x14ac:dyDescent="0.3">
      <c r="A901" s="2" t="s">
        <v>763</v>
      </c>
      <c r="B901" s="2" t="s">
        <v>764</v>
      </c>
      <c r="C901" s="19" t="s">
        <v>765</v>
      </c>
      <c r="D901" s="19" t="s">
        <v>53</v>
      </c>
      <c r="E901" s="19" t="s">
        <v>24</v>
      </c>
      <c r="F901" s="19" t="s">
        <v>25</v>
      </c>
      <c r="G901" s="19" t="s">
        <v>26</v>
      </c>
      <c r="H901" s="19" t="s">
        <v>75</v>
      </c>
      <c r="I901" s="19">
        <v>4</v>
      </c>
      <c r="J901" s="19">
        <v>343</v>
      </c>
      <c r="K901" s="19">
        <v>5</v>
      </c>
      <c r="L901" s="19">
        <v>1303.4000000000001</v>
      </c>
      <c r="M901" s="19">
        <f t="shared" si="42"/>
        <v>80167.780000000013</v>
      </c>
      <c r="N901" s="20">
        <f t="shared" si="43"/>
        <v>793.74039603960409</v>
      </c>
      <c r="O901" s="19">
        <f t="shared" si="44"/>
        <v>191</v>
      </c>
      <c r="P901" s="19" t="str">
        <v>Low</v>
      </c>
    </row>
    <row r="902" spans="1:16" x14ac:dyDescent="0.3">
      <c r="A902" s="2" t="s">
        <v>627</v>
      </c>
      <c r="B902" s="2" t="s">
        <v>153</v>
      </c>
      <c r="C902" s="19" t="s">
        <v>628</v>
      </c>
      <c r="D902" s="19" t="s">
        <v>53</v>
      </c>
      <c r="E902" s="19" t="s">
        <v>58</v>
      </c>
      <c r="F902" s="19" t="s">
        <v>32</v>
      </c>
      <c r="G902" s="19" t="s">
        <v>18</v>
      </c>
      <c r="H902" s="19" t="s">
        <v>19</v>
      </c>
      <c r="I902" s="19">
        <v>2</v>
      </c>
      <c r="J902" s="19">
        <v>650</v>
      </c>
      <c r="K902" s="19">
        <v>1</v>
      </c>
      <c r="L902" s="19">
        <v>1287</v>
      </c>
      <c r="M902" s="19">
        <f t="shared" si="42"/>
        <v>78864.38</v>
      </c>
      <c r="N902" s="20">
        <f t="shared" si="43"/>
        <v>788.64380000000006</v>
      </c>
      <c r="O902" s="19">
        <f t="shared" si="44"/>
        <v>187</v>
      </c>
      <c r="P902" s="19" t="str">
        <v>Low</v>
      </c>
    </row>
    <row r="903" spans="1:16" x14ac:dyDescent="0.3">
      <c r="A903" s="2" t="s">
        <v>624</v>
      </c>
      <c r="B903" s="2" t="s">
        <v>605</v>
      </c>
      <c r="C903" s="19" t="s">
        <v>510</v>
      </c>
      <c r="D903" s="19" t="s">
        <v>53</v>
      </c>
      <c r="E903" s="19" t="s">
        <v>16</v>
      </c>
      <c r="F903" s="19" t="s">
        <v>32</v>
      </c>
      <c r="G903" s="19" t="s">
        <v>54</v>
      </c>
      <c r="H903" s="19" t="s">
        <v>33</v>
      </c>
      <c r="I903" s="19">
        <v>4</v>
      </c>
      <c r="J903" s="19">
        <v>440</v>
      </c>
      <c r="K903" s="19">
        <v>29</v>
      </c>
      <c r="L903" s="19">
        <v>1249.5999999999999</v>
      </c>
      <c r="M903" s="19">
        <f t="shared" si="42"/>
        <v>77577.38</v>
      </c>
      <c r="N903" s="20">
        <f t="shared" si="43"/>
        <v>783.60989898989908</v>
      </c>
      <c r="O903" s="19">
        <f t="shared" si="44"/>
        <v>185</v>
      </c>
      <c r="P903" s="19" t="str">
        <v>Low</v>
      </c>
    </row>
    <row r="904" spans="1:16" x14ac:dyDescent="0.3">
      <c r="A904" s="2" t="s">
        <v>1606</v>
      </c>
      <c r="B904" s="2" t="s">
        <v>893</v>
      </c>
      <c r="C904" s="19" t="s">
        <v>880</v>
      </c>
      <c r="D904" s="19" t="s">
        <v>88</v>
      </c>
      <c r="E904" s="19" t="s">
        <v>68</v>
      </c>
      <c r="F904" s="19" t="s">
        <v>32</v>
      </c>
      <c r="G904" s="19" t="s">
        <v>26</v>
      </c>
      <c r="H904" s="19" t="s">
        <v>75</v>
      </c>
      <c r="I904" s="19">
        <v>1</v>
      </c>
      <c r="J904" s="19">
        <v>1438</v>
      </c>
      <c r="K904" s="19">
        <v>14</v>
      </c>
      <c r="L904" s="19">
        <v>1236.68</v>
      </c>
      <c r="M904" s="19">
        <f t="shared" si="42"/>
        <v>76327.779999999984</v>
      </c>
      <c r="N904" s="20">
        <f t="shared" si="43"/>
        <v>778.85489795918352</v>
      </c>
      <c r="O904" s="19">
        <f t="shared" si="44"/>
        <v>181</v>
      </c>
      <c r="P904" s="19" t="str">
        <v>Low</v>
      </c>
    </row>
    <row r="905" spans="1:16" x14ac:dyDescent="0.3">
      <c r="A905" s="2" t="s">
        <v>1588</v>
      </c>
      <c r="B905" s="2" t="s">
        <v>787</v>
      </c>
      <c r="C905" s="19" t="s">
        <v>652</v>
      </c>
      <c r="D905" s="19" t="s">
        <v>23</v>
      </c>
      <c r="E905" s="19" t="s">
        <v>16</v>
      </c>
      <c r="F905" s="19" t="s">
        <v>25</v>
      </c>
      <c r="G905" s="19" t="s">
        <v>18</v>
      </c>
      <c r="H905" s="19" t="s">
        <v>33</v>
      </c>
      <c r="I905" s="19">
        <v>3</v>
      </c>
      <c r="J905" s="19">
        <v>541</v>
      </c>
      <c r="K905" s="19">
        <v>25</v>
      </c>
      <c r="L905" s="19">
        <v>1217.25</v>
      </c>
      <c r="M905" s="19">
        <f t="shared" si="42"/>
        <v>75091.099999999991</v>
      </c>
      <c r="N905" s="20">
        <f t="shared" si="43"/>
        <v>774.13505154639165</v>
      </c>
      <c r="O905" s="19">
        <f t="shared" si="44"/>
        <v>180</v>
      </c>
      <c r="P905" s="19" t="str">
        <v>Low</v>
      </c>
    </row>
    <row r="906" spans="1:16" x14ac:dyDescent="0.3">
      <c r="A906" s="2" t="s">
        <v>741</v>
      </c>
      <c r="B906" s="2" t="s">
        <v>742</v>
      </c>
      <c r="C906" s="19" t="s">
        <v>743</v>
      </c>
      <c r="D906" s="19" t="s">
        <v>15</v>
      </c>
      <c r="E906" s="19" t="s">
        <v>68</v>
      </c>
      <c r="F906" s="19" t="s">
        <v>17</v>
      </c>
      <c r="G906" s="19" t="s">
        <v>54</v>
      </c>
      <c r="H906" s="19" t="s">
        <v>44</v>
      </c>
      <c r="I906" s="19">
        <v>2</v>
      </c>
      <c r="J906" s="19">
        <v>825</v>
      </c>
      <c r="K906" s="19">
        <v>27</v>
      </c>
      <c r="L906" s="19">
        <v>1204.5</v>
      </c>
      <c r="M906" s="19">
        <f t="shared" si="42"/>
        <v>73873.849999999991</v>
      </c>
      <c r="N906" s="20">
        <f t="shared" si="43"/>
        <v>769.51927083333328</v>
      </c>
      <c r="O906" s="19">
        <f t="shared" si="44"/>
        <v>177</v>
      </c>
      <c r="P906" s="19" t="str">
        <v>Low</v>
      </c>
    </row>
    <row r="907" spans="1:16" x14ac:dyDescent="0.3">
      <c r="A907" s="2" t="s">
        <v>1024</v>
      </c>
      <c r="B907" s="2" t="s">
        <v>1025</v>
      </c>
      <c r="C907" s="19" t="s">
        <v>660</v>
      </c>
      <c r="D907" s="19" t="s">
        <v>15</v>
      </c>
      <c r="E907" s="19" t="s">
        <v>58</v>
      </c>
      <c r="F907" s="19" t="s">
        <v>25</v>
      </c>
      <c r="G907" s="19" t="s">
        <v>18</v>
      </c>
      <c r="H907" s="19" t="s">
        <v>19</v>
      </c>
      <c r="I907" s="19">
        <v>3</v>
      </c>
      <c r="J907" s="19">
        <v>526</v>
      </c>
      <c r="K907" s="19">
        <v>24</v>
      </c>
      <c r="L907" s="19">
        <v>1199.28</v>
      </c>
      <c r="M907" s="19">
        <f t="shared" si="42"/>
        <v>72669.349999999991</v>
      </c>
      <c r="N907" s="20">
        <f t="shared" si="43"/>
        <v>764.94052631578938</v>
      </c>
      <c r="O907" s="19">
        <f t="shared" si="44"/>
        <v>175</v>
      </c>
      <c r="P907" s="19" t="str">
        <v>Low</v>
      </c>
    </row>
    <row r="908" spans="1:16" x14ac:dyDescent="0.3">
      <c r="A908" s="2" t="s">
        <v>995</v>
      </c>
      <c r="B908" s="2" t="s">
        <v>321</v>
      </c>
      <c r="C908" s="19" t="s">
        <v>996</v>
      </c>
      <c r="D908" s="19" t="s">
        <v>88</v>
      </c>
      <c r="E908" s="19" t="s">
        <v>48</v>
      </c>
      <c r="F908" s="19" t="s">
        <v>49</v>
      </c>
      <c r="G908" s="19" t="s">
        <v>26</v>
      </c>
      <c r="H908" s="19" t="s">
        <v>19</v>
      </c>
      <c r="I908" s="19">
        <v>1</v>
      </c>
      <c r="J908" s="19">
        <v>1468</v>
      </c>
      <c r="K908" s="19">
        <v>19</v>
      </c>
      <c r="L908" s="19">
        <v>1189.08</v>
      </c>
      <c r="M908" s="19">
        <f t="shared" si="42"/>
        <v>71470.069999999992</v>
      </c>
      <c r="N908" s="20">
        <f t="shared" si="43"/>
        <v>760.31989361702119</v>
      </c>
      <c r="O908" s="19">
        <f t="shared" si="44"/>
        <v>172</v>
      </c>
      <c r="P908" s="19" t="str">
        <v>Low</v>
      </c>
    </row>
    <row r="909" spans="1:16" x14ac:dyDescent="0.3">
      <c r="A909" s="2" t="s">
        <v>1272</v>
      </c>
      <c r="B909" s="2" t="s">
        <v>1273</v>
      </c>
      <c r="C909" s="19" t="s">
        <v>194</v>
      </c>
      <c r="D909" s="19" t="s">
        <v>23</v>
      </c>
      <c r="E909" s="19" t="s">
        <v>31</v>
      </c>
      <c r="F909" s="19" t="s">
        <v>17</v>
      </c>
      <c r="G909" s="19" t="s">
        <v>54</v>
      </c>
      <c r="H909" s="19" t="s">
        <v>19</v>
      </c>
      <c r="I909" s="19">
        <v>1</v>
      </c>
      <c r="J909" s="19">
        <v>1362</v>
      </c>
      <c r="K909" s="19">
        <v>13</v>
      </c>
      <c r="L909" s="19">
        <v>1184.94</v>
      </c>
      <c r="M909" s="19">
        <f t="shared" si="42"/>
        <v>70280.989999999991</v>
      </c>
      <c r="N909" s="20">
        <f t="shared" si="43"/>
        <v>755.70956989247304</v>
      </c>
      <c r="O909" s="19">
        <f t="shared" si="44"/>
        <v>171</v>
      </c>
      <c r="P909" s="19" t="str">
        <v>Low</v>
      </c>
    </row>
    <row r="910" spans="1:16" x14ac:dyDescent="0.3">
      <c r="A910" s="2" t="s">
        <v>1318</v>
      </c>
      <c r="B910" s="2" t="s">
        <v>779</v>
      </c>
      <c r="C910" s="19" t="s">
        <v>567</v>
      </c>
      <c r="D910" s="19" t="s">
        <v>88</v>
      </c>
      <c r="E910" s="19" t="s">
        <v>24</v>
      </c>
      <c r="F910" s="19" t="s">
        <v>49</v>
      </c>
      <c r="G910" s="19" t="s">
        <v>54</v>
      </c>
      <c r="H910" s="19" t="s">
        <v>44</v>
      </c>
      <c r="I910" s="19">
        <v>2</v>
      </c>
      <c r="J910" s="19">
        <v>596</v>
      </c>
      <c r="K910" s="19">
        <v>1</v>
      </c>
      <c r="L910" s="19">
        <v>1180.08</v>
      </c>
      <c r="M910" s="19">
        <f t="shared" si="42"/>
        <v>69096.05</v>
      </c>
      <c r="N910" s="20">
        <f t="shared" si="43"/>
        <v>751.04402173913047</v>
      </c>
      <c r="O910" s="19">
        <f t="shared" si="44"/>
        <v>170</v>
      </c>
      <c r="P910" s="19" t="str">
        <v>Low</v>
      </c>
    </row>
    <row r="911" spans="1:16" x14ac:dyDescent="0.3">
      <c r="A911" s="2" t="s">
        <v>745</v>
      </c>
      <c r="B911" s="2" t="s">
        <v>746</v>
      </c>
      <c r="C911" s="19" t="s">
        <v>390</v>
      </c>
      <c r="D911" s="19" t="s">
        <v>23</v>
      </c>
      <c r="E911" s="19" t="s">
        <v>48</v>
      </c>
      <c r="F911" s="19" t="s">
        <v>32</v>
      </c>
      <c r="G911" s="19" t="s">
        <v>54</v>
      </c>
      <c r="H911" s="19" t="s">
        <v>44</v>
      </c>
      <c r="I911" s="19">
        <v>3</v>
      </c>
      <c r="J911" s="19">
        <v>474</v>
      </c>
      <c r="K911" s="19">
        <v>18</v>
      </c>
      <c r="L911" s="19">
        <v>1166.04</v>
      </c>
      <c r="M911" s="19">
        <f t="shared" si="42"/>
        <v>67915.97</v>
      </c>
      <c r="N911" s="20">
        <f t="shared" si="43"/>
        <v>746.32934065934069</v>
      </c>
      <c r="O911" s="19">
        <f t="shared" si="44"/>
        <v>168</v>
      </c>
      <c r="P911" s="19" t="str">
        <v>Low</v>
      </c>
    </row>
    <row r="912" spans="1:16" x14ac:dyDescent="0.3">
      <c r="A912" s="2" t="s">
        <v>633</v>
      </c>
      <c r="B912" s="2" t="s">
        <v>634</v>
      </c>
      <c r="C912" s="19" t="s">
        <v>635</v>
      </c>
      <c r="D912" s="19" t="s">
        <v>30</v>
      </c>
      <c r="E912" s="19" t="s">
        <v>31</v>
      </c>
      <c r="F912" s="19" t="s">
        <v>17</v>
      </c>
      <c r="G912" s="19" t="s">
        <v>26</v>
      </c>
      <c r="H912" s="19" t="s">
        <v>33</v>
      </c>
      <c r="I912" s="19">
        <v>1</v>
      </c>
      <c r="J912" s="19">
        <v>1651</v>
      </c>
      <c r="K912" s="19">
        <v>30</v>
      </c>
      <c r="L912" s="19">
        <v>1155.7</v>
      </c>
      <c r="M912" s="19">
        <f t="shared" si="42"/>
        <v>66749.929999999993</v>
      </c>
      <c r="N912" s="20">
        <f t="shared" si="43"/>
        <v>741.66588888888884</v>
      </c>
      <c r="O912" s="19">
        <f t="shared" si="44"/>
        <v>165</v>
      </c>
      <c r="P912" s="19" t="str">
        <v>Low</v>
      </c>
    </row>
    <row r="913" spans="1:16" x14ac:dyDescent="0.3">
      <c r="A913" s="2" t="s">
        <v>1467</v>
      </c>
      <c r="B913" s="2" t="s">
        <v>132</v>
      </c>
      <c r="C913" s="19" t="s">
        <v>160</v>
      </c>
      <c r="D913" s="19" t="s">
        <v>88</v>
      </c>
      <c r="E913" s="19" t="s">
        <v>16</v>
      </c>
      <c r="F913" s="19" t="s">
        <v>49</v>
      </c>
      <c r="G913" s="19" t="s">
        <v>40</v>
      </c>
      <c r="H913" s="19" t="s">
        <v>33</v>
      </c>
      <c r="I913" s="19">
        <v>1</v>
      </c>
      <c r="J913" s="19">
        <v>1279</v>
      </c>
      <c r="K913" s="19">
        <v>10</v>
      </c>
      <c r="L913" s="19">
        <v>1151.0999999999999</v>
      </c>
      <c r="M913" s="19">
        <f t="shared" si="42"/>
        <v>65594.229999999967</v>
      </c>
      <c r="N913" s="20">
        <f t="shared" si="43"/>
        <v>737.01382022471876</v>
      </c>
      <c r="O913" s="19">
        <f t="shared" si="44"/>
        <v>164</v>
      </c>
      <c r="P913" s="19" t="str">
        <v>Low</v>
      </c>
    </row>
    <row r="914" spans="1:16" x14ac:dyDescent="0.3">
      <c r="A914" s="2" t="s">
        <v>601</v>
      </c>
      <c r="B914" s="2" t="s">
        <v>602</v>
      </c>
      <c r="C914" s="19" t="s">
        <v>428</v>
      </c>
      <c r="D914" s="19" t="s">
        <v>15</v>
      </c>
      <c r="E914" s="19" t="s">
        <v>16</v>
      </c>
      <c r="F914" s="19" t="s">
        <v>17</v>
      </c>
      <c r="G914" s="19" t="s">
        <v>54</v>
      </c>
      <c r="H914" s="19" t="s">
        <v>33</v>
      </c>
      <c r="I914" s="19">
        <v>2</v>
      </c>
      <c r="J914" s="19">
        <v>722</v>
      </c>
      <c r="K914" s="19">
        <v>21</v>
      </c>
      <c r="L914" s="19">
        <v>1140.76</v>
      </c>
      <c r="M914" s="19">
        <f t="shared" si="42"/>
        <v>64443.129999999976</v>
      </c>
      <c r="N914" s="20">
        <f t="shared" si="43"/>
        <v>732.30829545454515</v>
      </c>
      <c r="O914" s="19">
        <f t="shared" si="44"/>
        <v>163</v>
      </c>
      <c r="P914" s="19" t="str">
        <v>Low</v>
      </c>
    </row>
    <row r="915" spans="1:16" x14ac:dyDescent="0.3">
      <c r="A915" s="2" t="s">
        <v>1000</v>
      </c>
      <c r="B915" s="2" t="s">
        <v>304</v>
      </c>
      <c r="C915" s="19" t="s">
        <v>860</v>
      </c>
      <c r="D915" s="19" t="s">
        <v>23</v>
      </c>
      <c r="E915" s="19" t="s">
        <v>48</v>
      </c>
      <c r="F915" s="19" t="s">
        <v>17</v>
      </c>
      <c r="G915" s="19" t="s">
        <v>62</v>
      </c>
      <c r="H915" s="19" t="s">
        <v>19</v>
      </c>
      <c r="I915" s="19">
        <v>3</v>
      </c>
      <c r="J915" s="19">
        <v>465</v>
      </c>
      <c r="K915" s="19">
        <v>19</v>
      </c>
      <c r="L915" s="19">
        <v>1129.95</v>
      </c>
      <c r="M915" s="19">
        <f t="shared" si="42"/>
        <v>63302.369999999981</v>
      </c>
      <c r="N915" s="20">
        <f t="shared" si="43"/>
        <v>727.61344827586186</v>
      </c>
      <c r="O915" s="19">
        <f t="shared" si="44"/>
        <v>161</v>
      </c>
      <c r="P915" s="19" t="str">
        <v>Low</v>
      </c>
    </row>
    <row r="916" spans="1:16" x14ac:dyDescent="0.3">
      <c r="A916" s="2" t="s">
        <v>1136</v>
      </c>
      <c r="B916" s="2" t="s">
        <v>1137</v>
      </c>
      <c r="C916" s="19" t="s">
        <v>535</v>
      </c>
      <c r="D916" s="19" t="s">
        <v>30</v>
      </c>
      <c r="E916" s="19" t="s">
        <v>16</v>
      </c>
      <c r="F916" s="19" t="s">
        <v>40</v>
      </c>
      <c r="G916" s="19" t="s">
        <v>18</v>
      </c>
      <c r="H916" s="19" t="s">
        <v>33</v>
      </c>
      <c r="I916" s="19">
        <v>2</v>
      </c>
      <c r="J916" s="19">
        <v>587</v>
      </c>
      <c r="K916" s="19">
        <v>5</v>
      </c>
      <c r="L916" s="19">
        <v>1115.3</v>
      </c>
      <c r="M916" s="19">
        <f t="shared" si="42"/>
        <v>62172.419999999976</v>
      </c>
      <c r="N916" s="20">
        <f t="shared" si="43"/>
        <v>722.93511627906946</v>
      </c>
      <c r="O916" s="19">
        <f t="shared" si="44"/>
        <v>158</v>
      </c>
      <c r="P916" s="19" t="str">
        <v>Low</v>
      </c>
    </row>
    <row r="917" spans="1:16" x14ac:dyDescent="0.3">
      <c r="A917" s="2" t="s">
        <v>489</v>
      </c>
      <c r="B917" s="2" t="s">
        <v>490</v>
      </c>
      <c r="C917" s="19" t="s">
        <v>491</v>
      </c>
      <c r="D917" s="19" t="s">
        <v>23</v>
      </c>
      <c r="E917" s="19" t="s">
        <v>68</v>
      </c>
      <c r="F917" s="19" t="s">
        <v>17</v>
      </c>
      <c r="G917" s="19" t="s">
        <v>54</v>
      </c>
      <c r="H917" s="19" t="s">
        <v>19</v>
      </c>
      <c r="I917" s="19">
        <v>2</v>
      </c>
      <c r="J917" s="19">
        <v>612</v>
      </c>
      <c r="K917" s="19">
        <v>9</v>
      </c>
      <c r="L917" s="19">
        <v>1113.8399999999999</v>
      </c>
      <c r="M917" s="19">
        <f t="shared" si="42"/>
        <v>61057.119999999981</v>
      </c>
      <c r="N917" s="20">
        <f t="shared" si="43"/>
        <v>718.31905882352919</v>
      </c>
      <c r="O917" s="19">
        <f t="shared" si="44"/>
        <v>156</v>
      </c>
      <c r="P917" s="19" t="str">
        <v>Low</v>
      </c>
    </row>
    <row r="918" spans="1:16" x14ac:dyDescent="0.3">
      <c r="A918" s="2" t="s">
        <v>948</v>
      </c>
      <c r="B918" s="2" t="s">
        <v>949</v>
      </c>
      <c r="C918" s="19" t="s">
        <v>721</v>
      </c>
      <c r="D918" s="19" t="s">
        <v>15</v>
      </c>
      <c r="E918" s="19" t="s">
        <v>68</v>
      </c>
      <c r="F918" s="19" t="s">
        <v>32</v>
      </c>
      <c r="G918" s="19" t="s">
        <v>40</v>
      </c>
      <c r="H918" s="19" t="s">
        <v>75</v>
      </c>
      <c r="I918" s="19">
        <v>4</v>
      </c>
      <c r="J918" s="19">
        <v>322</v>
      </c>
      <c r="K918" s="19">
        <v>14</v>
      </c>
      <c r="L918" s="19">
        <v>1107.68</v>
      </c>
      <c r="M918" s="19">
        <f t="shared" si="42"/>
        <v>59943.279999999977</v>
      </c>
      <c r="N918" s="20">
        <f t="shared" si="43"/>
        <v>713.61047619047588</v>
      </c>
      <c r="O918" s="19">
        <f t="shared" si="44"/>
        <v>154</v>
      </c>
      <c r="P918" s="19" t="str">
        <v>Low</v>
      </c>
    </row>
    <row r="919" spans="1:16" x14ac:dyDescent="0.3">
      <c r="A919" s="2" t="s">
        <v>896</v>
      </c>
      <c r="B919" s="2" t="s">
        <v>897</v>
      </c>
      <c r="C919" s="19" t="s">
        <v>367</v>
      </c>
      <c r="D919" s="19" t="s">
        <v>88</v>
      </c>
      <c r="E919" s="19" t="s">
        <v>48</v>
      </c>
      <c r="F919" s="19" t="s">
        <v>17</v>
      </c>
      <c r="G919" s="19" t="s">
        <v>18</v>
      </c>
      <c r="H919" s="19" t="s">
        <v>75</v>
      </c>
      <c r="I919" s="19">
        <v>2</v>
      </c>
      <c r="J919" s="19">
        <v>727</v>
      </c>
      <c r="K919" s="19">
        <v>24</v>
      </c>
      <c r="L919" s="19">
        <v>1105.04</v>
      </c>
      <c r="M919" s="19">
        <f t="shared" si="42"/>
        <v>58835.599999999977</v>
      </c>
      <c r="N919" s="20">
        <f t="shared" si="43"/>
        <v>708.8626506024093</v>
      </c>
      <c r="O919" s="19">
        <f t="shared" si="44"/>
        <v>150</v>
      </c>
      <c r="P919" s="19" t="str">
        <v>Low</v>
      </c>
    </row>
    <row r="920" spans="1:16" x14ac:dyDescent="0.3">
      <c r="A920" s="2" t="s">
        <v>301</v>
      </c>
      <c r="B920" s="2" t="s">
        <v>302</v>
      </c>
      <c r="C920" s="19" t="s">
        <v>296</v>
      </c>
      <c r="D920" s="19" t="s">
        <v>15</v>
      </c>
      <c r="E920" s="19" t="s">
        <v>24</v>
      </c>
      <c r="F920" s="19" t="s">
        <v>49</v>
      </c>
      <c r="G920" s="19" t="s">
        <v>18</v>
      </c>
      <c r="H920" s="19" t="s">
        <v>33</v>
      </c>
      <c r="I920" s="19">
        <v>1</v>
      </c>
      <c r="J920" s="19">
        <v>1427</v>
      </c>
      <c r="K920" s="19">
        <v>23</v>
      </c>
      <c r="L920" s="19">
        <v>1098.79</v>
      </c>
      <c r="M920" s="19">
        <f t="shared" si="42"/>
        <v>57730.559999999976</v>
      </c>
      <c r="N920" s="20">
        <f t="shared" si="43"/>
        <v>704.03121951219487</v>
      </c>
      <c r="O920" s="19">
        <f t="shared" si="44"/>
        <v>148</v>
      </c>
      <c r="P920" s="19" t="str">
        <v>Low</v>
      </c>
    </row>
    <row r="921" spans="1:16" x14ac:dyDescent="0.3">
      <c r="A921" s="2" t="s">
        <v>685</v>
      </c>
      <c r="B921" s="2" t="s">
        <v>585</v>
      </c>
      <c r="C921" s="19" t="s">
        <v>225</v>
      </c>
      <c r="D921" s="19" t="s">
        <v>30</v>
      </c>
      <c r="E921" s="19" t="s">
        <v>31</v>
      </c>
      <c r="F921" s="19" t="s">
        <v>32</v>
      </c>
      <c r="G921" s="19" t="s">
        <v>54</v>
      </c>
      <c r="H921" s="19" t="s">
        <v>33</v>
      </c>
      <c r="I921" s="19">
        <v>2</v>
      </c>
      <c r="J921" s="19">
        <v>712</v>
      </c>
      <c r="K921" s="19">
        <v>23</v>
      </c>
      <c r="L921" s="19">
        <v>1096.48</v>
      </c>
      <c r="M921" s="19">
        <f t="shared" si="42"/>
        <v>56631.769999999975</v>
      </c>
      <c r="N921" s="20">
        <f t="shared" si="43"/>
        <v>699.15765432098738</v>
      </c>
      <c r="O921" s="19">
        <f t="shared" si="44"/>
        <v>147</v>
      </c>
      <c r="P921" s="19" t="str">
        <v>Low</v>
      </c>
    </row>
    <row r="922" spans="1:16" x14ac:dyDescent="0.3">
      <c r="A922" s="2" t="s">
        <v>1612</v>
      </c>
      <c r="B922" s="2" t="s">
        <v>575</v>
      </c>
      <c r="C922" s="19" t="s">
        <v>105</v>
      </c>
      <c r="D922" s="19" t="s">
        <v>88</v>
      </c>
      <c r="E922" s="19" t="s">
        <v>68</v>
      </c>
      <c r="F922" s="19" t="s">
        <v>49</v>
      </c>
      <c r="G922" s="19" t="s">
        <v>54</v>
      </c>
      <c r="H922" s="19" t="s">
        <v>19</v>
      </c>
      <c r="I922" s="19">
        <v>2</v>
      </c>
      <c r="J922" s="19">
        <v>771</v>
      </c>
      <c r="K922" s="19">
        <v>29</v>
      </c>
      <c r="L922" s="19">
        <v>1094.82</v>
      </c>
      <c r="M922" s="19">
        <f t="shared" si="42"/>
        <v>55535.289999999972</v>
      </c>
      <c r="N922" s="20">
        <f t="shared" si="43"/>
        <v>694.1911249999996</v>
      </c>
      <c r="O922" s="19">
        <f t="shared" si="44"/>
        <v>145</v>
      </c>
      <c r="P922" s="19" t="str">
        <v>Low</v>
      </c>
    </row>
    <row r="923" spans="1:16" x14ac:dyDescent="0.3">
      <c r="A923" s="2" t="s">
        <v>1438</v>
      </c>
      <c r="B923" s="2" t="s">
        <v>341</v>
      </c>
      <c r="C923" s="19" t="s">
        <v>558</v>
      </c>
      <c r="D923" s="19" t="s">
        <v>53</v>
      </c>
      <c r="E923" s="19" t="s">
        <v>16</v>
      </c>
      <c r="F923" s="19" t="s">
        <v>49</v>
      </c>
      <c r="G923" s="19" t="s">
        <v>62</v>
      </c>
      <c r="H923" s="19" t="s">
        <v>75</v>
      </c>
      <c r="I923" s="19">
        <v>1</v>
      </c>
      <c r="J923" s="19">
        <v>1459</v>
      </c>
      <c r="K923" s="19">
        <v>25</v>
      </c>
      <c r="L923" s="19">
        <v>1094.25</v>
      </c>
      <c r="M923" s="19">
        <f t="shared" si="42"/>
        <v>54440.469999999972</v>
      </c>
      <c r="N923" s="20">
        <f t="shared" si="43"/>
        <v>689.11987341772112</v>
      </c>
      <c r="O923" s="19">
        <f t="shared" si="44"/>
        <v>143</v>
      </c>
      <c r="P923" s="19" t="str">
        <v>Low</v>
      </c>
    </row>
    <row r="924" spans="1:16" x14ac:dyDescent="0.3">
      <c r="A924" s="2" t="s">
        <v>1092</v>
      </c>
      <c r="B924" s="2" t="s">
        <v>501</v>
      </c>
      <c r="C924" s="19" t="s">
        <v>284</v>
      </c>
      <c r="D924" s="19" t="s">
        <v>30</v>
      </c>
      <c r="E924" s="19" t="s">
        <v>48</v>
      </c>
      <c r="F924" s="19" t="s">
        <v>49</v>
      </c>
      <c r="G924" s="19" t="s">
        <v>26</v>
      </c>
      <c r="H924" s="19" t="s">
        <v>44</v>
      </c>
      <c r="I924" s="19">
        <v>1</v>
      </c>
      <c r="J924" s="19">
        <v>1267</v>
      </c>
      <c r="K924" s="19">
        <v>14</v>
      </c>
      <c r="L924" s="19">
        <v>1089.6199999999999</v>
      </c>
      <c r="M924" s="19">
        <f t="shared" si="42"/>
        <v>53346.219999999972</v>
      </c>
      <c r="N924" s="20">
        <f t="shared" si="43"/>
        <v>683.92589743589713</v>
      </c>
      <c r="O924" s="19">
        <f t="shared" si="44"/>
        <v>142</v>
      </c>
      <c r="P924" s="19" t="str">
        <v>Low</v>
      </c>
    </row>
    <row r="925" spans="1:16" x14ac:dyDescent="0.3">
      <c r="A925" s="2" t="s">
        <v>934</v>
      </c>
      <c r="B925" s="2" t="s">
        <v>889</v>
      </c>
      <c r="C925" s="19" t="s">
        <v>454</v>
      </c>
      <c r="D925" s="19" t="s">
        <v>53</v>
      </c>
      <c r="E925" s="19" t="s">
        <v>24</v>
      </c>
      <c r="F925" s="19" t="s">
        <v>25</v>
      </c>
      <c r="G925" s="19" t="s">
        <v>40</v>
      </c>
      <c r="H925" s="19" t="s">
        <v>33</v>
      </c>
      <c r="I925" s="19">
        <v>2</v>
      </c>
      <c r="J925" s="19">
        <v>598</v>
      </c>
      <c r="K925" s="19">
        <v>10</v>
      </c>
      <c r="L925" s="19">
        <v>1076.4000000000001</v>
      </c>
      <c r="M925" s="19">
        <f t="shared" si="42"/>
        <v>52256.599999999969</v>
      </c>
      <c r="N925" s="20">
        <f t="shared" si="43"/>
        <v>678.6571428571425</v>
      </c>
      <c r="O925" s="19">
        <f t="shared" si="44"/>
        <v>141</v>
      </c>
      <c r="P925" s="19" t="str">
        <v>Low</v>
      </c>
    </row>
    <row r="926" spans="1:16" x14ac:dyDescent="0.3">
      <c r="A926" s="2" t="s">
        <v>630</v>
      </c>
      <c r="B926" s="2" t="s">
        <v>631</v>
      </c>
      <c r="C926" s="19" t="s">
        <v>632</v>
      </c>
      <c r="D926" s="19" t="s">
        <v>30</v>
      </c>
      <c r="E926" s="19" t="s">
        <v>79</v>
      </c>
      <c r="F926" s="19" t="s">
        <v>17</v>
      </c>
      <c r="G926" s="19" t="s">
        <v>40</v>
      </c>
      <c r="H926" s="19" t="s">
        <v>19</v>
      </c>
      <c r="I926" s="19">
        <v>1</v>
      </c>
      <c r="J926" s="19">
        <v>1079</v>
      </c>
      <c r="K926" s="19">
        <v>3</v>
      </c>
      <c r="L926" s="19">
        <v>1046.6300000000001</v>
      </c>
      <c r="M926" s="19">
        <f t="shared" si="42"/>
        <v>51180.199999999968</v>
      </c>
      <c r="N926" s="20">
        <f t="shared" si="43"/>
        <v>673.42368421052595</v>
      </c>
      <c r="O926" s="19">
        <f t="shared" si="44"/>
        <v>139</v>
      </c>
      <c r="P926" s="19" t="str">
        <v>Low</v>
      </c>
    </row>
    <row r="927" spans="1:16" x14ac:dyDescent="0.3">
      <c r="A927" s="2" t="s">
        <v>842</v>
      </c>
      <c r="B927" s="2" t="s">
        <v>843</v>
      </c>
      <c r="C927" s="19" t="s">
        <v>491</v>
      </c>
      <c r="D927" s="19" t="s">
        <v>88</v>
      </c>
      <c r="E927" s="19" t="s">
        <v>24</v>
      </c>
      <c r="F927" s="19" t="s">
        <v>17</v>
      </c>
      <c r="G927" s="19" t="s">
        <v>26</v>
      </c>
      <c r="H927" s="19" t="s">
        <v>44</v>
      </c>
      <c r="I927" s="19">
        <v>2</v>
      </c>
      <c r="J927" s="19">
        <v>669</v>
      </c>
      <c r="K927" s="19">
        <v>22</v>
      </c>
      <c r="L927" s="19">
        <v>1043.6400000000001</v>
      </c>
      <c r="M927" s="19">
        <f t="shared" si="42"/>
        <v>50133.569999999971</v>
      </c>
      <c r="N927" s="20">
        <f t="shared" si="43"/>
        <v>668.44759999999962</v>
      </c>
      <c r="O927" s="19">
        <f t="shared" si="44"/>
        <v>138</v>
      </c>
      <c r="P927" s="19" t="str">
        <v>Low</v>
      </c>
    </row>
    <row r="928" spans="1:16" x14ac:dyDescent="0.3">
      <c r="A928" s="2" t="s">
        <v>1225</v>
      </c>
      <c r="B928" s="2" t="s">
        <v>392</v>
      </c>
      <c r="C928" s="19" t="s">
        <v>1190</v>
      </c>
      <c r="D928" s="19" t="s">
        <v>88</v>
      </c>
      <c r="E928" s="19" t="s">
        <v>48</v>
      </c>
      <c r="F928" s="19" t="s">
        <v>49</v>
      </c>
      <c r="G928" s="19" t="s">
        <v>54</v>
      </c>
      <c r="H928" s="19" t="s">
        <v>44</v>
      </c>
      <c r="I928" s="19">
        <v>4</v>
      </c>
      <c r="J928" s="19">
        <v>361</v>
      </c>
      <c r="K928" s="19">
        <v>28</v>
      </c>
      <c r="L928" s="19">
        <v>1039.68</v>
      </c>
      <c r="M928" s="19">
        <f t="shared" si="42"/>
        <v>49089.929999999978</v>
      </c>
      <c r="N928" s="20">
        <f t="shared" si="43"/>
        <v>663.3774324324321</v>
      </c>
      <c r="O928" s="19">
        <f t="shared" si="44"/>
        <v>136</v>
      </c>
      <c r="P928" s="19" t="str">
        <v>Low</v>
      </c>
    </row>
    <row r="929" spans="1:16" x14ac:dyDescent="0.3">
      <c r="A929" s="2" t="s">
        <v>1595</v>
      </c>
      <c r="B929" s="2" t="s">
        <v>1596</v>
      </c>
      <c r="C929" s="19" t="s">
        <v>61</v>
      </c>
      <c r="D929" s="19" t="s">
        <v>88</v>
      </c>
      <c r="E929" s="19" t="s">
        <v>68</v>
      </c>
      <c r="F929" s="19" t="s">
        <v>32</v>
      </c>
      <c r="G929" s="19" t="s">
        <v>18</v>
      </c>
      <c r="H929" s="19" t="s">
        <v>44</v>
      </c>
      <c r="I929" s="19">
        <v>1</v>
      </c>
      <c r="J929" s="19">
        <v>1392</v>
      </c>
      <c r="K929" s="19">
        <v>26</v>
      </c>
      <c r="L929" s="19">
        <v>1030.08</v>
      </c>
      <c r="M929" s="19">
        <f t="shared" si="42"/>
        <v>48050.249999999978</v>
      </c>
      <c r="N929" s="20">
        <f t="shared" si="43"/>
        <v>658.22260273972574</v>
      </c>
      <c r="O929" s="19">
        <f t="shared" si="44"/>
        <v>132</v>
      </c>
      <c r="P929" s="19" t="str">
        <v>Low</v>
      </c>
    </row>
    <row r="930" spans="1:16" x14ac:dyDescent="0.3">
      <c r="A930" s="2" t="s">
        <v>1128</v>
      </c>
      <c r="B930" s="2" t="s">
        <v>1129</v>
      </c>
      <c r="C930" s="19" t="s">
        <v>1130</v>
      </c>
      <c r="D930" s="19" t="s">
        <v>23</v>
      </c>
      <c r="E930" s="19" t="s">
        <v>68</v>
      </c>
      <c r="F930" s="19" t="s">
        <v>49</v>
      </c>
      <c r="G930" s="19" t="s">
        <v>54</v>
      </c>
      <c r="H930" s="19" t="s">
        <v>75</v>
      </c>
      <c r="I930" s="19">
        <v>4</v>
      </c>
      <c r="J930" s="19">
        <v>301</v>
      </c>
      <c r="K930" s="19">
        <v>15</v>
      </c>
      <c r="L930" s="19">
        <v>1023.4</v>
      </c>
      <c r="M930" s="19">
        <f t="shared" si="42"/>
        <v>47020.169999999969</v>
      </c>
      <c r="N930" s="20">
        <f t="shared" si="43"/>
        <v>653.05791666666619</v>
      </c>
      <c r="O930" s="19">
        <f t="shared" si="44"/>
        <v>131</v>
      </c>
      <c r="P930" s="19" t="str">
        <v>Low</v>
      </c>
    </row>
    <row r="931" spans="1:16" x14ac:dyDescent="0.3">
      <c r="A931" s="2" t="s">
        <v>703</v>
      </c>
      <c r="B931" s="2" t="s">
        <v>704</v>
      </c>
      <c r="C931" s="19" t="s">
        <v>705</v>
      </c>
      <c r="D931" s="19" t="s">
        <v>15</v>
      </c>
      <c r="E931" s="19" t="s">
        <v>24</v>
      </c>
      <c r="F931" s="19" t="s">
        <v>25</v>
      </c>
      <c r="G931" s="19" t="s">
        <v>62</v>
      </c>
      <c r="H931" s="19" t="s">
        <v>19</v>
      </c>
      <c r="I931" s="19">
        <v>2</v>
      </c>
      <c r="J931" s="19">
        <v>533</v>
      </c>
      <c r="K931" s="19">
        <v>4</v>
      </c>
      <c r="L931" s="19">
        <v>1023.36</v>
      </c>
      <c r="M931" s="19">
        <f t="shared" si="42"/>
        <v>45996.769999999975</v>
      </c>
      <c r="N931" s="20">
        <f t="shared" si="43"/>
        <v>647.84183098591518</v>
      </c>
      <c r="O931" s="19">
        <f t="shared" si="44"/>
        <v>127</v>
      </c>
      <c r="P931" s="19" t="str">
        <v>Low</v>
      </c>
    </row>
    <row r="932" spans="1:16" x14ac:dyDescent="0.3">
      <c r="A932" s="2" t="s">
        <v>361</v>
      </c>
      <c r="B932" s="2" t="s">
        <v>362</v>
      </c>
      <c r="C932" s="19" t="s">
        <v>363</v>
      </c>
      <c r="D932" s="19" t="s">
        <v>88</v>
      </c>
      <c r="E932" s="19" t="s">
        <v>48</v>
      </c>
      <c r="F932" s="19" t="s">
        <v>40</v>
      </c>
      <c r="G932" s="19" t="s">
        <v>18</v>
      </c>
      <c r="H932" s="19" t="s">
        <v>44</v>
      </c>
      <c r="I932" s="19">
        <v>3</v>
      </c>
      <c r="J932" s="19">
        <v>381</v>
      </c>
      <c r="K932" s="19">
        <v>11</v>
      </c>
      <c r="L932" s="19">
        <v>1017.27</v>
      </c>
      <c r="M932" s="19">
        <f t="shared" si="42"/>
        <v>44973.409999999974</v>
      </c>
      <c r="N932" s="20">
        <f t="shared" si="43"/>
        <v>642.47728571428536</v>
      </c>
      <c r="O932" s="19">
        <f t="shared" si="44"/>
        <v>125</v>
      </c>
      <c r="P932" s="19" t="str">
        <v>Low</v>
      </c>
    </row>
    <row r="933" spans="1:16" x14ac:dyDescent="0.3">
      <c r="A933" s="2" t="s">
        <v>905</v>
      </c>
      <c r="B933" s="2" t="s">
        <v>906</v>
      </c>
      <c r="C933" s="19" t="s">
        <v>36</v>
      </c>
      <c r="D933" s="19" t="s">
        <v>23</v>
      </c>
      <c r="E933" s="19" t="s">
        <v>16</v>
      </c>
      <c r="F933" s="19" t="s">
        <v>32</v>
      </c>
      <c r="G933" s="19" t="s">
        <v>40</v>
      </c>
      <c r="H933" s="19" t="s">
        <v>19</v>
      </c>
      <c r="I933" s="19">
        <v>3</v>
      </c>
      <c r="J933" s="19">
        <v>413</v>
      </c>
      <c r="K933" s="19">
        <v>18</v>
      </c>
      <c r="L933" s="19">
        <v>1015.98</v>
      </c>
      <c r="M933" s="19">
        <f t="shared" si="42"/>
        <v>43956.139999999978</v>
      </c>
      <c r="N933" s="20">
        <f t="shared" si="43"/>
        <v>637.04550724637647</v>
      </c>
      <c r="O933" s="19">
        <f t="shared" si="44"/>
        <v>122</v>
      </c>
      <c r="P933" s="19" t="str">
        <v>Low</v>
      </c>
    </row>
    <row r="934" spans="1:16" x14ac:dyDescent="0.3">
      <c r="A934" s="2" t="s">
        <v>494</v>
      </c>
      <c r="B934" s="2" t="s">
        <v>495</v>
      </c>
      <c r="C934" s="19" t="s">
        <v>496</v>
      </c>
      <c r="D934" s="19" t="s">
        <v>30</v>
      </c>
      <c r="E934" s="19" t="s">
        <v>58</v>
      </c>
      <c r="F934" s="19" t="s">
        <v>40</v>
      </c>
      <c r="G934" s="19" t="s">
        <v>54</v>
      </c>
      <c r="H934" s="19" t="s">
        <v>75</v>
      </c>
      <c r="I934" s="19">
        <v>5</v>
      </c>
      <c r="J934" s="19">
        <v>288</v>
      </c>
      <c r="K934" s="19">
        <v>30</v>
      </c>
      <c r="L934" s="19">
        <v>1008</v>
      </c>
      <c r="M934" s="19">
        <f t="shared" si="42"/>
        <v>42940.159999999967</v>
      </c>
      <c r="N934" s="20">
        <f t="shared" si="43"/>
        <v>631.47294117647016</v>
      </c>
      <c r="O934" s="19">
        <f t="shared" si="44"/>
        <v>119</v>
      </c>
      <c r="P934" s="19" t="str">
        <v>Low</v>
      </c>
    </row>
    <row r="935" spans="1:16" x14ac:dyDescent="0.3">
      <c r="A935" s="2" t="s">
        <v>1336</v>
      </c>
      <c r="B935" s="2" t="s">
        <v>101</v>
      </c>
      <c r="C935" s="19" t="s">
        <v>936</v>
      </c>
      <c r="D935" s="19" t="s">
        <v>30</v>
      </c>
      <c r="E935" s="19" t="s">
        <v>68</v>
      </c>
      <c r="F935" s="19" t="s">
        <v>32</v>
      </c>
      <c r="G935" s="19" t="s">
        <v>54</v>
      </c>
      <c r="H935" s="19" t="s">
        <v>75</v>
      </c>
      <c r="I935" s="19">
        <v>5</v>
      </c>
      <c r="J935" s="19">
        <v>201</v>
      </c>
      <c r="K935" s="19">
        <v>0</v>
      </c>
      <c r="L935" s="19">
        <v>1005</v>
      </c>
      <c r="M935" s="19">
        <f t="shared" si="42"/>
        <v>41932.159999999974</v>
      </c>
      <c r="N935" s="20">
        <f t="shared" si="43"/>
        <v>625.85313432835778</v>
      </c>
      <c r="O935" s="19">
        <f t="shared" si="44"/>
        <v>114</v>
      </c>
      <c r="P935" s="19" t="str">
        <v>Low</v>
      </c>
    </row>
    <row r="936" spans="1:16" x14ac:dyDescent="0.3">
      <c r="A936" s="2" t="s">
        <v>584</v>
      </c>
      <c r="B936" s="2" t="s">
        <v>585</v>
      </c>
      <c r="C936" s="19" t="s">
        <v>436</v>
      </c>
      <c r="D936" s="19" t="s">
        <v>53</v>
      </c>
      <c r="E936" s="19" t="s">
        <v>68</v>
      </c>
      <c r="F936" s="19" t="s">
        <v>32</v>
      </c>
      <c r="G936" s="19" t="s">
        <v>62</v>
      </c>
      <c r="H936" s="19" t="s">
        <v>33</v>
      </c>
      <c r="I936" s="19">
        <v>3</v>
      </c>
      <c r="J936" s="19">
        <v>400</v>
      </c>
      <c r="K936" s="19">
        <v>17</v>
      </c>
      <c r="L936" s="19">
        <v>996</v>
      </c>
      <c r="M936" s="19">
        <f t="shared" si="42"/>
        <v>40927.159999999974</v>
      </c>
      <c r="N936" s="20">
        <f t="shared" si="43"/>
        <v>620.10848484848441</v>
      </c>
      <c r="O936" s="19">
        <f t="shared" si="44"/>
        <v>109</v>
      </c>
      <c r="P936" s="19" t="str">
        <v>Low</v>
      </c>
    </row>
    <row r="937" spans="1:16" x14ac:dyDescent="0.3">
      <c r="A937" s="2" t="s">
        <v>1264</v>
      </c>
      <c r="B937" s="2" t="s">
        <v>1265</v>
      </c>
      <c r="C937" s="19" t="s">
        <v>1266</v>
      </c>
      <c r="D937" s="19" t="s">
        <v>88</v>
      </c>
      <c r="E937" s="19" t="s">
        <v>31</v>
      </c>
      <c r="F937" s="19" t="s">
        <v>40</v>
      </c>
      <c r="G937" s="19" t="s">
        <v>26</v>
      </c>
      <c r="H937" s="19" t="s">
        <v>44</v>
      </c>
      <c r="I937" s="19">
        <v>2</v>
      </c>
      <c r="J937" s="19">
        <v>655</v>
      </c>
      <c r="K937" s="19">
        <v>25</v>
      </c>
      <c r="L937" s="19">
        <v>982.5</v>
      </c>
      <c r="M937" s="19">
        <f t="shared" si="42"/>
        <v>39931.159999999974</v>
      </c>
      <c r="N937" s="20">
        <f t="shared" si="43"/>
        <v>614.32553846153803</v>
      </c>
      <c r="O937" s="19">
        <f t="shared" si="44"/>
        <v>106</v>
      </c>
      <c r="P937" s="19" t="str">
        <v>Low</v>
      </c>
    </row>
    <row r="938" spans="1:16" x14ac:dyDescent="0.3">
      <c r="A938" s="2" t="s">
        <v>821</v>
      </c>
      <c r="B938" s="2" t="s">
        <v>208</v>
      </c>
      <c r="C938" s="19" t="s">
        <v>160</v>
      </c>
      <c r="D938" s="19" t="s">
        <v>88</v>
      </c>
      <c r="E938" s="19" t="s">
        <v>16</v>
      </c>
      <c r="F938" s="19" t="s">
        <v>17</v>
      </c>
      <c r="G938" s="19" t="s">
        <v>54</v>
      </c>
      <c r="H938" s="19" t="s">
        <v>19</v>
      </c>
      <c r="I938" s="19">
        <v>1</v>
      </c>
      <c r="J938" s="19">
        <v>1097</v>
      </c>
      <c r="K938" s="19">
        <v>11</v>
      </c>
      <c r="L938" s="19">
        <v>976.33</v>
      </c>
      <c r="M938" s="19">
        <f t="shared" si="42"/>
        <v>38948.659999999974</v>
      </c>
      <c r="N938" s="20">
        <f t="shared" si="43"/>
        <v>608.5728124999996</v>
      </c>
      <c r="O938" s="19">
        <f t="shared" si="44"/>
        <v>104</v>
      </c>
      <c r="P938" s="19" t="str">
        <v>Low</v>
      </c>
    </row>
    <row r="939" spans="1:16" x14ac:dyDescent="0.3">
      <c r="A939" s="2" t="s">
        <v>354</v>
      </c>
      <c r="B939" s="2" t="s">
        <v>355</v>
      </c>
      <c r="C939" s="19" t="s">
        <v>356</v>
      </c>
      <c r="D939" s="19" t="s">
        <v>30</v>
      </c>
      <c r="E939" s="19" t="s">
        <v>31</v>
      </c>
      <c r="F939" s="19" t="s">
        <v>32</v>
      </c>
      <c r="G939" s="19" t="s">
        <v>40</v>
      </c>
      <c r="H939" s="19" t="s">
        <v>75</v>
      </c>
      <c r="I939" s="19">
        <v>1</v>
      </c>
      <c r="J939" s="19">
        <v>1038</v>
      </c>
      <c r="K939" s="19">
        <v>8</v>
      </c>
      <c r="L939" s="19">
        <v>954.96</v>
      </c>
      <c r="M939" s="19">
        <f t="shared" si="42"/>
        <v>37972.32999999998</v>
      </c>
      <c r="N939" s="20">
        <f t="shared" si="43"/>
        <v>602.73539682539649</v>
      </c>
      <c r="O939" s="19">
        <f t="shared" si="44"/>
        <v>103</v>
      </c>
      <c r="P939" s="19" t="str">
        <v>Low</v>
      </c>
    </row>
    <row r="940" spans="1:16" x14ac:dyDescent="0.3">
      <c r="A940" s="2" t="s">
        <v>877</v>
      </c>
      <c r="B940" s="2" t="s">
        <v>840</v>
      </c>
      <c r="C940" s="19" t="s">
        <v>878</v>
      </c>
      <c r="D940" s="19" t="s">
        <v>30</v>
      </c>
      <c r="E940" s="19" t="s">
        <v>31</v>
      </c>
      <c r="F940" s="19" t="s">
        <v>40</v>
      </c>
      <c r="G940" s="19" t="s">
        <v>54</v>
      </c>
      <c r="H940" s="19" t="s">
        <v>19</v>
      </c>
      <c r="I940" s="19">
        <v>2</v>
      </c>
      <c r="J940" s="19">
        <v>499</v>
      </c>
      <c r="K940" s="19">
        <v>5</v>
      </c>
      <c r="L940" s="19">
        <v>948.1</v>
      </c>
      <c r="M940" s="19">
        <f t="shared" si="42"/>
        <v>37017.369999999988</v>
      </c>
      <c r="N940" s="20">
        <f t="shared" si="43"/>
        <v>597.05435483870951</v>
      </c>
      <c r="O940" s="19">
        <f t="shared" si="44"/>
        <v>102</v>
      </c>
      <c r="P940" s="19" t="str">
        <v>Low</v>
      </c>
    </row>
    <row r="941" spans="1:16" x14ac:dyDescent="0.3">
      <c r="A941" s="2" t="s">
        <v>1013</v>
      </c>
      <c r="B941" s="2" t="s">
        <v>1014</v>
      </c>
      <c r="C941" s="19" t="s">
        <v>298</v>
      </c>
      <c r="D941" s="19" t="s">
        <v>30</v>
      </c>
      <c r="E941" s="19" t="s">
        <v>48</v>
      </c>
      <c r="F941" s="19" t="s">
        <v>49</v>
      </c>
      <c r="G941" s="19" t="s">
        <v>54</v>
      </c>
      <c r="H941" s="19" t="s">
        <v>33</v>
      </c>
      <c r="I941" s="19">
        <v>3</v>
      </c>
      <c r="J941" s="19">
        <v>346</v>
      </c>
      <c r="K941" s="19">
        <v>9</v>
      </c>
      <c r="L941" s="19">
        <v>944.58</v>
      </c>
      <c r="M941" s="19">
        <f t="shared" si="42"/>
        <v>36069.26999999999</v>
      </c>
      <c r="N941" s="20">
        <f t="shared" si="43"/>
        <v>591.29950819672115</v>
      </c>
      <c r="O941" s="19">
        <f t="shared" si="44"/>
        <v>100</v>
      </c>
      <c r="P941" s="19" t="str">
        <v>Low</v>
      </c>
    </row>
    <row r="942" spans="1:16" x14ac:dyDescent="0.3">
      <c r="A942" s="2" t="s">
        <v>1315</v>
      </c>
      <c r="B942" s="2" t="s">
        <v>257</v>
      </c>
      <c r="C942" s="19" t="s">
        <v>836</v>
      </c>
      <c r="D942" s="19" t="s">
        <v>23</v>
      </c>
      <c r="E942" s="19" t="s">
        <v>68</v>
      </c>
      <c r="F942" s="19" t="s">
        <v>17</v>
      </c>
      <c r="G942" s="19" t="s">
        <v>40</v>
      </c>
      <c r="H942" s="19" t="s">
        <v>44</v>
      </c>
      <c r="I942" s="19">
        <v>2</v>
      </c>
      <c r="J942" s="19">
        <v>493</v>
      </c>
      <c r="K942" s="19">
        <v>6</v>
      </c>
      <c r="L942" s="19">
        <v>926.84</v>
      </c>
      <c r="M942" s="19">
        <f t="shared" si="42"/>
        <v>35124.689999999995</v>
      </c>
      <c r="N942" s="20">
        <f t="shared" si="43"/>
        <v>585.41149999999993</v>
      </c>
      <c r="O942" s="19">
        <f t="shared" si="44"/>
        <v>97</v>
      </c>
      <c r="P942" s="19" t="str">
        <v>Low</v>
      </c>
    </row>
    <row r="943" spans="1:16" x14ac:dyDescent="0.3">
      <c r="A943" s="2" t="s">
        <v>1472</v>
      </c>
      <c r="B943" s="2" t="s">
        <v>534</v>
      </c>
      <c r="C943" s="19" t="s">
        <v>942</v>
      </c>
      <c r="D943" s="19" t="s">
        <v>30</v>
      </c>
      <c r="E943" s="19" t="s">
        <v>79</v>
      </c>
      <c r="F943" s="19" t="s">
        <v>17</v>
      </c>
      <c r="G943" s="19" t="s">
        <v>62</v>
      </c>
      <c r="H943" s="19" t="s">
        <v>75</v>
      </c>
      <c r="I943" s="19">
        <v>1</v>
      </c>
      <c r="J943" s="19">
        <v>1000</v>
      </c>
      <c r="K943" s="19">
        <v>8</v>
      </c>
      <c r="L943" s="19">
        <v>920</v>
      </c>
      <c r="M943" s="19">
        <f t="shared" si="42"/>
        <v>34197.85</v>
      </c>
      <c r="N943" s="20">
        <f t="shared" si="43"/>
        <v>579.62457627118647</v>
      </c>
      <c r="O943" s="19">
        <f t="shared" si="44"/>
        <v>95</v>
      </c>
      <c r="P943" s="19" t="str">
        <v>Low</v>
      </c>
    </row>
    <row r="944" spans="1:16" x14ac:dyDescent="0.3">
      <c r="A944" s="2" t="s">
        <v>1162</v>
      </c>
      <c r="B944" s="2" t="s">
        <v>1163</v>
      </c>
      <c r="C944" s="19" t="s">
        <v>748</v>
      </c>
      <c r="D944" s="19" t="s">
        <v>15</v>
      </c>
      <c r="E944" s="19" t="s">
        <v>58</v>
      </c>
      <c r="F944" s="19" t="s">
        <v>32</v>
      </c>
      <c r="G944" s="19" t="s">
        <v>18</v>
      </c>
      <c r="H944" s="19" t="s">
        <v>33</v>
      </c>
      <c r="I944" s="19">
        <v>1</v>
      </c>
      <c r="J944" s="19">
        <v>1159</v>
      </c>
      <c r="K944" s="19">
        <v>21</v>
      </c>
      <c r="L944" s="19">
        <v>915.61</v>
      </c>
      <c r="M944" s="19">
        <f t="shared" si="42"/>
        <v>33277.85</v>
      </c>
      <c r="N944" s="20">
        <f t="shared" si="43"/>
        <v>573.75603448275865</v>
      </c>
      <c r="O944" s="19">
        <f t="shared" si="44"/>
        <v>94</v>
      </c>
      <c r="P944" s="19" t="str">
        <v>Low</v>
      </c>
    </row>
    <row r="945" spans="1:16" x14ac:dyDescent="0.3">
      <c r="A945" s="2" t="s">
        <v>720</v>
      </c>
      <c r="B945" s="2" t="s">
        <v>406</v>
      </c>
      <c r="C945" s="19" t="s">
        <v>721</v>
      </c>
      <c r="D945" s="19" t="s">
        <v>15</v>
      </c>
      <c r="E945" s="19" t="s">
        <v>48</v>
      </c>
      <c r="F945" s="19" t="s">
        <v>40</v>
      </c>
      <c r="G945" s="19" t="s">
        <v>26</v>
      </c>
      <c r="H945" s="19" t="s">
        <v>19</v>
      </c>
      <c r="I945" s="19">
        <v>5</v>
      </c>
      <c r="J945" s="19">
        <v>235</v>
      </c>
      <c r="K945" s="19">
        <v>23</v>
      </c>
      <c r="L945" s="19">
        <v>904.75</v>
      </c>
      <c r="M945" s="19">
        <f t="shared" si="42"/>
        <v>32362.239999999998</v>
      </c>
      <c r="N945" s="20">
        <f t="shared" si="43"/>
        <v>567.75859649122799</v>
      </c>
      <c r="O945" s="19">
        <f t="shared" si="44"/>
        <v>93</v>
      </c>
      <c r="P945" s="19" t="str">
        <v>Low</v>
      </c>
    </row>
    <row r="946" spans="1:16" x14ac:dyDescent="0.3">
      <c r="A946" s="2" t="s">
        <v>1148</v>
      </c>
      <c r="B946" s="2" t="s">
        <v>406</v>
      </c>
      <c r="C946" s="19" t="s">
        <v>78</v>
      </c>
      <c r="D946" s="19" t="s">
        <v>53</v>
      </c>
      <c r="E946" s="19" t="s">
        <v>79</v>
      </c>
      <c r="F946" s="19" t="s">
        <v>32</v>
      </c>
      <c r="G946" s="19" t="s">
        <v>40</v>
      </c>
      <c r="H946" s="19" t="s">
        <v>44</v>
      </c>
      <c r="I946" s="19">
        <v>4</v>
      </c>
      <c r="J946" s="19">
        <v>269</v>
      </c>
      <c r="K946" s="19">
        <v>16</v>
      </c>
      <c r="L946" s="19">
        <v>903.84</v>
      </c>
      <c r="M946" s="19">
        <f t="shared" si="42"/>
        <v>31457.489999999998</v>
      </c>
      <c r="N946" s="20">
        <f t="shared" si="43"/>
        <v>561.74089285714285</v>
      </c>
      <c r="O946" s="19">
        <f t="shared" si="44"/>
        <v>88</v>
      </c>
      <c r="P946" s="19" t="str">
        <v>Low</v>
      </c>
    </row>
    <row r="947" spans="1:16" x14ac:dyDescent="0.3">
      <c r="A947" s="2" t="s">
        <v>1534</v>
      </c>
      <c r="B947" s="2" t="s">
        <v>369</v>
      </c>
      <c r="C947" s="19" t="s">
        <v>407</v>
      </c>
      <c r="D947" s="19" t="s">
        <v>23</v>
      </c>
      <c r="E947" s="19" t="s">
        <v>48</v>
      </c>
      <c r="F947" s="19" t="s">
        <v>17</v>
      </c>
      <c r="G947" s="19" t="s">
        <v>62</v>
      </c>
      <c r="H947" s="19" t="s">
        <v>44</v>
      </c>
      <c r="I947" s="19">
        <v>2</v>
      </c>
      <c r="J947" s="19">
        <v>451</v>
      </c>
      <c r="K947" s="19">
        <v>0</v>
      </c>
      <c r="L947" s="19">
        <v>902</v>
      </c>
      <c r="M947" s="19">
        <f t="shared" si="42"/>
        <v>30553.649999999994</v>
      </c>
      <c r="N947" s="20">
        <f t="shared" si="43"/>
        <v>555.52090909090896</v>
      </c>
      <c r="O947" s="19">
        <f t="shared" si="44"/>
        <v>84</v>
      </c>
      <c r="P947" s="19" t="str">
        <v>Low</v>
      </c>
    </row>
    <row r="948" spans="1:16" x14ac:dyDescent="0.3">
      <c r="A948" s="2" t="s">
        <v>1665</v>
      </c>
      <c r="B948" s="2" t="s">
        <v>739</v>
      </c>
      <c r="C948" s="19" t="s">
        <v>247</v>
      </c>
      <c r="D948" s="19" t="s">
        <v>53</v>
      </c>
      <c r="E948" s="19" t="s">
        <v>79</v>
      </c>
      <c r="F948" s="19" t="s">
        <v>32</v>
      </c>
      <c r="G948" s="19" t="s">
        <v>54</v>
      </c>
      <c r="H948" s="19" t="s">
        <v>19</v>
      </c>
      <c r="I948" s="19">
        <v>1</v>
      </c>
      <c r="J948" s="19">
        <v>1111</v>
      </c>
      <c r="K948" s="19">
        <v>20</v>
      </c>
      <c r="L948" s="19">
        <v>888.8</v>
      </c>
      <c r="M948" s="19">
        <f t="shared" si="42"/>
        <v>29651.649999999998</v>
      </c>
      <c r="N948" s="20">
        <f t="shared" si="43"/>
        <v>549.10462962962958</v>
      </c>
      <c r="O948" s="19">
        <f t="shared" si="44"/>
        <v>82</v>
      </c>
      <c r="P948" s="19" t="str">
        <v>Low</v>
      </c>
    </row>
    <row r="949" spans="1:16" x14ac:dyDescent="0.3">
      <c r="A949" s="2" t="s">
        <v>1360</v>
      </c>
      <c r="B949" s="2" t="s">
        <v>208</v>
      </c>
      <c r="C949" s="19" t="s">
        <v>284</v>
      </c>
      <c r="D949" s="19" t="s">
        <v>30</v>
      </c>
      <c r="E949" s="19" t="s">
        <v>16</v>
      </c>
      <c r="F949" s="19" t="s">
        <v>49</v>
      </c>
      <c r="G949" s="19" t="s">
        <v>40</v>
      </c>
      <c r="H949" s="19" t="s">
        <v>33</v>
      </c>
      <c r="I949" s="19">
        <v>5</v>
      </c>
      <c r="J949" s="19">
        <v>253</v>
      </c>
      <c r="K949" s="19">
        <v>30</v>
      </c>
      <c r="L949" s="19">
        <v>885.5</v>
      </c>
      <c r="M949" s="19">
        <f t="shared" si="42"/>
        <v>28762.849999999995</v>
      </c>
      <c r="N949" s="20">
        <f t="shared" si="43"/>
        <v>542.69528301886783</v>
      </c>
      <c r="O949" s="19">
        <f t="shared" si="44"/>
        <v>81</v>
      </c>
      <c r="P949" s="19" t="str">
        <v>Low</v>
      </c>
    </row>
    <row r="950" spans="1:16" x14ac:dyDescent="0.3">
      <c r="A950" s="2" t="s">
        <v>34</v>
      </c>
      <c r="B950" s="2" t="s">
        <v>35</v>
      </c>
      <c r="C950" s="19" t="s">
        <v>36</v>
      </c>
      <c r="D950" s="19" t="s">
        <v>30</v>
      </c>
      <c r="E950" s="19" t="s">
        <v>16</v>
      </c>
      <c r="F950" s="19" t="s">
        <v>17</v>
      </c>
      <c r="G950" s="19" t="s">
        <v>18</v>
      </c>
      <c r="H950" s="19" t="s">
        <v>19</v>
      </c>
      <c r="I950" s="19">
        <v>1</v>
      </c>
      <c r="J950" s="19">
        <v>1151</v>
      </c>
      <c r="K950" s="19">
        <v>25</v>
      </c>
      <c r="L950" s="19">
        <v>863.25</v>
      </c>
      <c r="M950" s="19">
        <f t="shared" si="42"/>
        <v>27877.349999999995</v>
      </c>
      <c r="N950" s="20">
        <f t="shared" si="43"/>
        <v>536.10288461538448</v>
      </c>
      <c r="O950" s="19">
        <f t="shared" si="44"/>
        <v>76</v>
      </c>
      <c r="P950" s="19" t="str">
        <v>Low</v>
      </c>
    </row>
    <row r="951" spans="1:16" x14ac:dyDescent="0.3">
      <c r="A951" s="2" t="s">
        <v>984</v>
      </c>
      <c r="B951" s="2" t="s">
        <v>985</v>
      </c>
      <c r="C951" s="19" t="s">
        <v>194</v>
      </c>
      <c r="D951" s="19" t="s">
        <v>15</v>
      </c>
      <c r="E951" s="19" t="s">
        <v>58</v>
      </c>
      <c r="F951" s="19" t="s">
        <v>17</v>
      </c>
      <c r="G951" s="19" t="s">
        <v>18</v>
      </c>
      <c r="H951" s="19" t="s">
        <v>75</v>
      </c>
      <c r="I951" s="19">
        <v>4</v>
      </c>
      <c r="J951" s="19">
        <v>264</v>
      </c>
      <c r="K951" s="19">
        <v>19</v>
      </c>
      <c r="L951" s="19">
        <v>855.36</v>
      </c>
      <c r="M951" s="19">
        <f t="shared" si="42"/>
        <v>27014.099999999995</v>
      </c>
      <c r="N951" s="20">
        <f t="shared" si="43"/>
        <v>529.68823529411759</v>
      </c>
      <c r="O951" s="19">
        <f t="shared" si="44"/>
        <v>75</v>
      </c>
      <c r="P951" s="19" t="str">
        <v>Low</v>
      </c>
    </row>
    <row r="952" spans="1:16" x14ac:dyDescent="0.3">
      <c r="A952" s="2" t="s">
        <v>1354</v>
      </c>
      <c r="B952" s="2" t="s">
        <v>1355</v>
      </c>
      <c r="C952" s="19" t="s">
        <v>996</v>
      </c>
      <c r="D952" s="19" t="s">
        <v>23</v>
      </c>
      <c r="E952" s="19" t="s">
        <v>58</v>
      </c>
      <c r="F952" s="19" t="s">
        <v>49</v>
      </c>
      <c r="G952" s="19" t="s">
        <v>26</v>
      </c>
      <c r="H952" s="19" t="s">
        <v>44</v>
      </c>
      <c r="I952" s="19">
        <v>1</v>
      </c>
      <c r="J952" s="19">
        <v>935</v>
      </c>
      <c r="K952" s="19">
        <v>12</v>
      </c>
      <c r="L952" s="19">
        <v>822.8</v>
      </c>
      <c r="M952" s="19">
        <f t="shared" si="42"/>
        <v>26158.739999999994</v>
      </c>
      <c r="N952" s="20">
        <f t="shared" si="43"/>
        <v>523.17479999999989</v>
      </c>
      <c r="O952" s="19">
        <f t="shared" si="44"/>
        <v>71</v>
      </c>
      <c r="P952" s="19" t="str">
        <v>Low</v>
      </c>
    </row>
    <row r="953" spans="1:16" x14ac:dyDescent="0.3">
      <c r="A953" s="2" t="s">
        <v>1401</v>
      </c>
      <c r="B953" s="2" t="s">
        <v>1402</v>
      </c>
      <c r="C953" s="19" t="s">
        <v>678</v>
      </c>
      <c r="D953" s="19" t="s">
        <v>30</v>
      </c>
      <c r="E953" s="19" t="s">
        <v>16</v>
      </c>
      <c r="F953" s="19" t="s">
        <v>25</v>
      </c>
      <c r="G953" s="19" t="s">
        <v>40</v>
      </c>
      <c r="H953" s="19" t="s">
        <v>19</v>
      </c>
      <c r="I953" s="19">
        <v>1</v>
      </c>
      <c r="J953" s="19">
        <v>1047</v>
      </c>
      <c r="K953" s="19">
        <v>23</v>
      </c>
      <c r="L953" s="19">
        <v>806.19</v>
      </c>
      <c r="M953" s="19">
        <f t="shared" si="42"/>
        <v>25335.939999999995</v>
      </c>
      <c r="N953" s="20">
        <f t="shared" si="43"/>
        <v>517.05999999999995</v>
      </c>
      <c r="O953" s="19">
        <f t="shared" si="44"/>
        <v>70</v>
      </c>
      <c r="P953" s="19" t="str">
        <v>Low</v>
      </c>
    </row>
    <row r="954" spans="1:16" x14ac:dyDescent="0.3">
      <c r="A954" s="2" t="s">
        <v>772</v>
      </c>
      <c r="B954" s="2" t="s">
        <v>773</v>
      </c>
      <c r="C954" s="19" t="s">
        <v>719</v>
      </c>
      <c r="D954" s="19" t="s">
        <v>88</v>
      </c>
      <c r="E954" s="19" t="s">
        <v>24</v>
      </c>
      <c r="F954" s="19" t="s">
        <v>49</v>
      </c>
      <c r="G954" s="19" t="s">
        <v>26</v>
      </c>
      <c r="H954" s="19" t="s">
        <v>44</v>
      </c>
      <c r="I954" s="19">
        <v>5</v>
      </c>
      <c r="J954" s="19">
        <v>225</v>
      </c>
      <c r="K954" s="19">
        <v>29</v>
      </c>
      <c r="L954" s="19">
        <v>798.75</v>
      </c>
      <c r="M954" s="19">
        <f t="shared" si="42"/>
        <v>24529.749999999996</v>
      </c>
      <c r="N954" s="20">
        <f t="shared" si="43"/>
        <v>511.03645833333326</v>
      </c>
      <c r="O954" s="19">
        <f t="shared" si="44"/>
        <v>69</v>
      </c>
      <c r="P954" s="19" t="str">
        <v>Low</v>
      </c>
    </row>
    <row r="955" spans="1:16" x14ac:dyDescent="0.3">
      <c r="A955" s="2" t="s">
        <v>164</v>
      </c>
      <c r="B955" s="2" t="s">
        <v>165</v>
      </c>
      <c r="C955" s="19" t="s">
        <v>166</v>
      </c>
      <c r="D955" s="19" t="s">
        <v>88</v>
      </c>
      <c r="E955" s="19" t="s">
        <v>79</v>
      </c>
      <c r="F955" s="19" t="s">
        <v>32</v>
      </c>
      <c r="G955" s="19" t="s">
        <v>40</v>
      </c>
      <c r="H955" s="19" t="s">
        <v>44</v>
      </c>
      <c r="I955" s="19">
        <v>1</v>
      </c>
      <c r="J955" s="19">
        <v>991</v>
      </c>
      <c r="K955" s="19">
        <v>20</v>
      </c>
      <c r="L955" s="19">
        <v>792.8</v>
      </c>
      <c r="M955" s="19">
        <f t="shared" si="42"/>
        <v>23731</v>
      </c>
      <c r="N955" s="20">
        <f t="shared" si="43"/>
        <v>504.91489361702128</v>
      </c>
      <c r="O955" s="19">
        <f t="shared" si="44"/>
        <v>64</v>
      </c>
      <c r="P955" s="19" t="str">
        <v>Low</v>
      </c>
    </row>
    <row r="956" spans="1:16" x14ac:dyDescent="0.3">
      <c r="A956" s="2" t="s">
        <v>1034</v>
      </c>
      <c r="B956" s="2" t="s">
        <v>897</v>
      </c>
      <c r="C956" s="19" t="s">
        <v>698</v>
      </c>
      <c r="D956" s="19" t="s">
        <v>30</v>
      </c>
      <c r="E956" s="19" t="s">
        <v>48</v>
      </c>
      <c r="F956" s="19" t="s">
        <v>32</v>
      </c>
      <c r="G956" s="19" t="s">
        <v>26</v>
      </c>
      <c r="H956" s="19" t="s">
        <v>75</v>
      </c>
      <c r="I956" s="19">
        <v>1</v>
      </c>
      <c r="J956" s="19">
        <v>864</v>
      </c>
      <c r="K956" s="19">
        <v>10</v>
      </c>
      <c r="L956" s="19">
        <v>777.6</v>
      </c>
      <c r="M956" s="19">
        <f t="shared" si="42"/>
        <v>22938.2</v>
      </c>
      <c r="N956" s="20">
        <f t="shared" si="43"/>
        <v>498.65652173913043</v>
      </c>
      <c r="O956" s="19">
        <f t="shared" si="44"/>
        <v>63</v>
      </c>
      <c r="P956" s="19" t="str">
        <v>Low</v>
      </c>
    </row>
    <row r="957" spans="1:16" x14ac:dyDescent="0.3">
      <c r="A957" s="2" t="s">
        <v>1131</v>
      </c>
      <c r="B957" s="2" t="s">
        <v>182</v>
      </c>
      <c r="C957" s="19" t="s">
        <v>814</v>
      </c>
      <c r="D957" s="19" t="s">
        <v>23</v>
      </c>
      <c r="E957" s="19" t="s">
        <v>68</v>
      </c>
      <c r="F957" s="19" t="s">
        <v>40</v>
      </c>
      <c r="G957" s="19" t="s">
        <v>26</v>
      </c>
      <c r="H957" s="19" t="s">
        <v>33</v>
      </c>
      <c r="I957" s="19">
        <v>1</v>
      </c>
      <c r="J957" s="19">
        <v>852</v>
      </c>
      <c r="K957" s="19">
        <v>9</v>
      </c>
      <c r="L957" s="19">
        <v>775.32</v>
      </c>
      <c r="M957" s="19">
        <f t="shared" si="42"/>
        <v>22160.600000000002</v>
      </c>
      <c r="N957" s="20">
        <f t="shared" si="43"/>
        <v>492.45777777777784</v>
      </c>
      <c r="O957" s="19">
        <f t="shared" si="44"/>
        <v>62</v>
      </c>
      <c r="P957" s="19" t="str">
        <v>Low</v>
      </c>
    </row>
    <row r="958" spans="1:16" x14ac:dyDescent="0.3">
      <c r="A958" s="2" t="s">
        <v>434</v>
      </c>
      <c r="B958" s="2" t="s">
        <v>435</v>
      </c>
      <c r="C958" s="19" t="s">
        <v>436</v>
      </c>
      <c r="D958" s="19" t="s">
        <v>88</v>
      </c>
      <c r="E958" s="19" t="s">
        <v>68</v>
      </c>
      <c r="F958" s="19" t="s">
        <v>40</v>
      </c>
      <c r="G958" s="19" t="s">
        <v>54</v>
      </c>
      <c r="H958" s="19" t="s">
        <v>33</v>
      </c>
      <c r="I958" s="19">
        <v>2</v>
      </c>
      <c r="J958" s="19">
        <v>393</v>
      </c>
      <c r="K958" s="19">
        <v>4</v>
      </c>
      <c r="L958" s="19">
        <v>754.56</v>
      </c>
      <c r="M958" s="19">
        <f t="shared" si="42"/>
        <v>21385.280000000002</v>
      </c>
      <c r="N958" s="20">
        <f t="shared" si="43"/>
        <v>486.02909090909094</v>
      </c>
      <c r="O958" s="19">
        <f t="shared" si="44"/>
        <v>61</v>
      </c>
      <c r="P958" s="19" t="str">
        <v>Low</v>
      </c>
    </row>
    <row r="959" spans="1:16" x14ac:dyDescent="0.3">
      <c r="A959" s="2" t="s">
        <v>1224</v>
      </c>
      <c r="B959" s="2" t="s">
        <v>897</v>
      </c>
      <c r="C959" s="19" t="s">
        <v>133</v>
      </c>
      <c r="D959" s="19" t="s">
        <v>53</v>
      </c>
      <c r="E959" s="19" t="s">
        <v>79</v>
      </c>
      <c r="F959" s="19" t="s">
        <v>17</v>
      </c>
      <c r="G959" s="19" t="s">
        <v>62</v>
      </c>
      <c r="H959" s="19" t="s">
        <v>19</v>
      </c>
      <c r="I959" s="19">
        <v>2</v>
      </c>
      <c r="J959" s="19">
        <v>486</v>
      </c>
      <c r="K959" s="19">
        <v>26</v>
      </c>
      <c r="L959" s="19">
        <v>719.28</v>
      </c>
      <c r="M959" s="19">
        <f t="shared" si="42"/>
        <v>20630.719999999998</v>
      </c>
      <c r="N959" s="20">
        <f t="shared" si="43"/>
        <v>479.78418604651159</v>
      </c>
      <c r="O959" s="19">
        <f t="shared" si="44"/>
        <v>59</v>
      </c>
      <c r="P959" s="19" t="str">
        <v>Low</v>
      </c>
    </row>
    <row r="960" spans="1:16" x14ac:dyDescent="0.3">
      <c r="A960" s="2" t="s">
        <v>55</v>
      </c>
      <c r="B960" s="2" t="s">
        <v>56</v>
      </c>
      <c r="C960" s="19" t="s">
        <v>57</v>
      </c>
      <c r="D960" s="19" t="s">
        <v>23</v>
      </c>
      <c r="E960" s="19" t="s">
        <v>58</v>
      </c>
      <c r="F960" s="19" t="s">
        <v>40</v>
      </c>
      <c r="G960" s="19" t="s">
        <v>26</v>
      </c>
      <c r="H960" s="19" t="s">
        <v>33</v>
      </c>
      <c r="I960" s="19">
        <v>1</v>
      </c>
      <c r="J960" s="19">
        <v>785</v>
      </c>
      <c r="K960" s="19">
        <v>9</v>
      </c>
      <c r="L960" s="19">
        <v>714.35</v>
      </c>
      <c r="M960" s="19">
        <f t="shared" si="42"/>
        <v>19911.439999999999</v>
      </c>
      <c r="N960" s="20">
        <f t="shared" si="43"/>
        <v>474.08190476190475</v>
      </c>
      <c r="O960" s="19">
        <f t="shared" si="44"/>
        <v>57</v>
      </c>
      <c r="P960" s="19" t="str">
        <v>Low</v>
      </c>
    </row>
    <row r="961" spans="1:16" x14ac:dyDescent="0.3">
      <c r="A961" s="2" t="s">
        <v>156</v>
      </c>
      <c r="B961" s="2" t="s">
        <v>104</v>
      </c>
      <c r="C961" s="19" t="s">
        <v>157</v>
      </c>
      <c r="D961" s="19" t="s">
        <v>53</v>
      </c>
      <c r="E961" s="19" t="s">
        <v>58</v>
      </c>
      <c r="F961" s="19" t="s">
        <v>40</v>
      </c>
      <c r="G961" s="19" t="s">
        <v>26</v>
      </c>
      <c r="H961" s="19" t="s">
        <v>44</v>
      </c>
      <c r="I961" s="19">
        <v>2</v>
      </c>
      <c r="J961" s="19">
        <v>473</v>
      </c>
      <c r="K961" s="19">
        <v>25</v>
      </c>
      <c r="L961" s="19">
        <v>709.5</v>
      </c>
      <c r="M961" s="19">
        <f t="shared" si="42"/>
        <v>19197.089999999997</v>
      </c>
      <c r="N961" s="20">
        <f t="shared" si="43"/>
        <v>468.22170731707308</v>
      </c>
      <c r="O961" s="19">
        <f t="shared" si="44"/>
        <v>56</v>
      </c>
      <c r="P961" s="19" t="str">
        <v>Low</v>
      </c>
    </row>
    <row r="962" spans="1:16" x14ac:dyDescent="0.3">
      <c r="A962" s="2" t="s">
        <v>394</v>
      </c>
      <c r="B962" s="2" t="s">
        <v>395</v>
      </c>
      <c r="C962" s="19" t="s">
        <v>396</v>
      </c>
      <c r="D962" s="19" t="s">
        <v>30</v>
      </c>
      <c r="E962" s="19" t="s">
        <v>31</v>
      </c>
      <c r="F962" s="19" t="s">
        <v>32</v>
      </c>
      <c r="G962" s="19" t="s">
        <v>40</v>
      </c>
      <c r="H962" s="19" t="s">
        <v>75</v>
      </c>
      <c r="I962" s="19">
        <v>2</v>
      </c>
      <c r="J962" s="19">
        <v>358</v>
      </c>
      <c r="K962" s="19">
        <v>5</v>
      </c>
      <c r="L962" s="19">
        <v>680.2</v>
      </c>
      <c r="M962" s="19">
        <f t="shared" ref="M962:M1001" si="45">SUM(L962:L1961)</f>
        <v>18487.589999999997</v>
      </c>
      <c r="N962" s="20">
        <f t="shared" ref="N962:N1001" si="46">AVERAGE(L962:L1961)</f>
        <v>462.18974999999989</v>
      </c>
      <c r="O962" s="19">
        <f t="shared" ref="O962:O1001" si="47">SUM(I962:I1961)</f>
        <v>54</v>
      </c>
      <c r="P962" s="19" t="str">
        <v>Low</v>
      </c>
    </row>
    <row r="963" spans="1:16" x14ac:dyDescent="0.3">
      <c r="A963" s="2" t="s">
        <v>1257</v>
      </c>
      <c r="B963" s="2" t="s">
        <v>830</v>
      </c>
      <c r="C963" s="19" t="s">
        <v>858</v>
      </c>
      <c r="D963" s="19" t="s">
        <v>53</v>
      </c>
      <c r="E963" s="19" t="s">
        <v>24</v>
      </c>
      <c r="F963" s="19" t="s">
        <v>25</v>
      </c>
      <c r="G963" s="19" t="s">
        <v>62</v>
      </c>
      <c r="H963" s="19" t="s">
        <v>44</v>
      </c>
      <c r="I963" s="19">
        <v>1</v>
      </c>
      <c r="J963" s="19">
        <v>769</v>
      </c>
      <c r="K963" s="19">
        <v>12</v>
      </c>
      <c r="L963" s="19">
        <v>676.72</v>
      </c>
      <c r="M963" s="19">
        <f t="shared" si="45"/>
        <v>17807.39</v>
      </c>
      <c r="N963" s="20">
        <f t="shared" si="46"/>
        <v>456.59974358974358</v>
      </c>
      <c r="O963" s="19">
        <f t="shared" si="47"/>
        <v>52</v>
      </c>
      <c r="P963" s="19" t="str">
        <v>Low</v>
      </c>
    </row>
    <row r="964" spans="1:16" x14ac:dyDescent="0.3">
      <c r="A964" s="2" t="s">
        <v>1564</v>
      </c>
      <c r="B964" s="2" t="s">
        <v>307</v>
      </c>
      <c r="C964" s="19" t="s">
        <v>1080</v>
      </c>
      <c r="D964" s="19" t="s">
        <v>23</v>
      </c>
      <c r="E964" s="19" t="s">
        <v>31</v>
      </c>
      <c r="F964" s="19" t="s">
        <v>25</v>
      </c>
      <c r="G964" s="19" t="s">
        <v>18</v>
      </c>
      <c r="H964" s="19" t="s">
        <v>33</v>
      </c>
      <c r="I964" s="19">
        <v>1</v>
      </c>
      <c r="J964" s="19">
        <v>803</v>
      </c>
      <c r="K964" s="19">
        <v>16</v>
      </c>
      <c r="L964" s="19">
        <v>674.52</v>
      </c>
      <c r="M964" s="19">
        <f t="shared" si="45"/>
        <v>17130.670000000002</v>
      </c>
      <c r="N964" s="20">
        <f t="shared" si="46"/>
        <v>450.80710526315795</v>
      </c>
      <c r="O964" s="19">
        <f t="shared" si="47"/>
        <v>51</v>
      </c>
      <c r="P964" s="19" t="str">
        <v>Low</v>
      </c>
    </row>
    <row r="965" spans="1:16" x14ac:dyDescent="0.3">
      <c r="A965" s="2" t="s">
        <v>1145</v>
      </c>
      <c r="B965" s="2" t="s">
        <v>1146</v>
      </c>
      <c r="C965" s="19" t="s">
        <v>1041</v>
      </c>
      <c r="D965" s="19" t="s">
        <v>30</v>
      </c>
      <c r="E965" s="19" t="s">
        <v>31</v>
      </c>
      <c r="F965" s="19" t="s">
        <v>49</v>
      </c>
      <c r="G965" s="19" t="s">
        <v>62</v>
      </c>
      <c r="H965" s="19" t="s">
        <v>33</v>
      </c>
      <c r="I965" s="19">
        <v>1</v>
      </c>
      <c r="J965" s="19">
        <v>952</v>
      </c>
      <c r="K965" s="19">
        <v>30</v>
      </c>
      <c r="L965" s="19">
        <v>666.4</v>
      </c>
      <c r="M965" s="19">
        <f t="shared" si="45"/>
        <v>16456.150000000001</v>
      </c>
      <c r="N965" s="20">
        <f t="shared" si="46"/>
        <v>444.76081081081082</v>
      </c>
      <c r="O965" s="19">
        <f t="shared" si="47"/>
        <v>50</v>
      </c>
      <c r="P965" s="19" t="str">
        <v>Low</v>
      </c>
    </row>
    <row r="966" spans="1:16" x14ac:dyDescent="0.3">
      <c r="A966" s="2" t="s">
        <v>1115</v>
      </c>
      <c r="B966" s="2" t="s">
        <v>369</v>
      </c>
      <c r="C966" s="19" t="s">
        <v>1047</v>
      </c>
      <c r="D966" s="19" t="s">
        <v>15</v>
      </c>
      <c r="E966" s="19" t="s">
        <v>48</v>
      </c>
      <c r="F966" s="19" t="s">
        <v>17</v>
      </c>
      <c r="G966" s="19" t="s">
        <v>62</v>
      </c>
      <c r="H966" s="19" t="s">
        <v>19</v>
      </c>
      <c r="I966" s="19">
        <v>1</v>
      </c>
      <c r="J966" s="19">
        <v>808</v>
      </c>
      <c r="K966" s="19">
        <v>19</v>
      </c>
      <c r="L966" s="19">
        <v>654.48</v>
      </c>
      <c r="M966" s="19">
        <f t="shared" si="45"/>
        <v>15789.749999999998</v>
      </c>
      <c r="N966" s="20">
        <f t="shared" si="46"/>
        <v>438.60416666666663</v>
      </c>
      <c r="O966" s="19">
        <f t="shared" si="47"/>
        <v>49</v>
      </c>
      <c r="P966" s="19" t="str">
        <v>Low</v>
      </c>
    </row>
    <row r="967" spans="1:16" x14ac:dyDescent="0.3">
      <c r="A967" s="2" t="s">
        <v>892</v>
      </c>
      <c r="B967" s="2" t="s">
        <v>893</v>
      </c>
      <c r="C967" s="19" t="s">
        <v>477</v>
      </c>
      <c r="D967" s="19" t="s">
        <v>53</v>
      </c>
      <c r="E967" s="19" t="s">
        <v>58</v>
      </c>
      <c r="F967" s="19" t="s">
        <v>17</v>
      </c>
      <c r="G967" s="19" t="s">
        <v>18</v>
      </c>
      <c r="H967" s="19" t="s">
        <v>33</v>
      </c>
      <c r="I967" s="19">
        <v>2</v>
      </c>
      <c r="J967" s="19">
        <v>330</v>
      </c>
      <c r="K967" s="19">
        <v>2</v>
      </c>
      <c r="L967" s="19">
        <v>646.79999999999995</v>
      </c>
      <c r="M967" s="19">
        <f t="shared" si="45"/>
        <v>15135.269999999999</v>
      </c>
      <c r="N967" s="20">
        <f t="shared" si="46"/>
        <v>432.4362857142857</v>
      </c>
      <c r="O967" s="19">
        <f t="shared" si="47"/>
        <v>48</v>
      </c>
      <c r="P967" s="19" t="str">
        <v>Low</v>
      </c>
    </row>
    <row r="968" spans="1:16" x14ac:dyDescent="0.3">
      <c r="A968" s="2" t="s">
        <v>420</v>
      </c>
      <c r="B968" s="2" t="s">
        <v>86</v>
      </c>
      <c r="C968" s="19" t="s">
        <v>421</v>
      </c>
      <c r="D968" s="19" t="s">
        <v>15</v>
      </c>
      <c r="E968" s="19" t="s">
        <v>79</v>
      </c>
      <c r="F968" s="19" t="s">
        <v>40</v>
      </c>
      <c r="G968" s="19" t="s">
        <v>40</v>
      </c>
      <c r="H968" s="19" t="s">
        <v>75</v>
      </c>
      <c r="I968" s="19">
        <v>1</v>
      </c>
      <c r="J968" s="19">
        <v>717</v>
      </c>
      <c r="K968" s="19">
        <v>11</v>
      </c>
      <c r="L968" s="19">
        <v>638.13</v>
      </c>
      <c r="M968" s="19">
        <f t="shared" si="45"/>
        <v>14488.47</v>
      </c>
      <c r="N968" s="20">
        <f t="shared" si="46"/>
        <v>426.13147058823529</v>
      </c>
      <c r="O968" s="19">
        <f t="shared" si="47"/>
        <v>46</v>
      </c>
      <c r="P968" s="19" t="str">
        <v>Low</v>
      </c>
    </row>
    <row r="969" spans="1:16" x14ac:dyDescent="0.3">
      <c r="A969" s="2" t="s">
        <v>340</v>
      </c>
      <c r="B969" s="2" t="s">
        <v>341</v>
      </c>
      <c r="C969" s="19" t="s">
        <v>342</v>
      </c>
      <c r="D969" s="19" t="s">
        <v>88</v>
      </c>
      <c r="E969" s="19" t="s">
        <v>31</v>
      </c>
      <c r="F969" s="19" t="s">
        <v>40</v>
      </c>
      <c r="G969" s="19" t="s">
        <v>26</v>
      </c>
      <c r="H969" s="19" t="s">
        <v>75</v>
      </c>
      <c r="I969" s="19">
        <v>1</v>
      </c>
      <c r="J969" s="19">
        <v>816</v>
      </c>
      <c r="K969" s="19">
        <v>23</v>
      </c>
      <c r="L969" s="19">
        <v>628.32000000000005</v>
      </c>
      <c r="M969" s="19">
        <f t="shared" si="45"/>
        <v>13850.339999999998</v>
      </c>
      <c r="N969" s="20">
        <f t="shared" si="46"/>
        <v>419.70727272727265</v>
      </c>
      <c r="O969" s="19">
        <f t="shared" si="47"/>
        <v>45</v>
      </c>
      <c r="P969" s="19" t="str">
        <v>Low</v>
      </c>
    </row>
    <row r="970" spans="1:16" x14ac:dyDescent="0.3">
      <c r="A970" s="2" t="s">
        <v>661</v>
      </c>
      <c r="B970" s="2" t="s">
        <v>662</v>
      </c>
      <c r="C970" s="19" t="s">
        <v>663</v>
      </c>
      <c r="D970" s="19" t="s">
        <v>30</v>
      </c>
      <c r="E970" s="19" t="s">
        <v>48</v>
      </c>
      <c r="F970" s="19" t="s">
        <v>32</v>
      </c>
      <c r="G970" s="19" t="s">
        <v>18</v>
      </c>
      <c r="H970" s="19" t="s">
        <v>33</v>
      </c>
      <c r="I970" s="19">
        <v>3</v>
      </c>
      <c r="J970" s="19">
        <v>222</v>
      </c>
      <c r="K970" s="19">
        <v>8</v>
      </c>
      <c r="L970" s="19">
        <v>612.72</v>
      </c>
      <c r="M970" s="19">
        <f t="shared" si="45"/>
        <v>13222.02</v>
      </c>
      <c r="N970" s="20">
        <f t="shared" si="46"/>
        <v>413.18812500000001</v>
      </c>
      <c r="O970" s="19">
        <f t="shared" si="47"/>
        <v>44</v>
      </c>
      <c r="P970" s="19" t="str">
        <v>Low</v>
      </c>
    </row>
    <row r="971" spans="1:16" x14ac:dyDescent="0.3">
      <c r="A971" s="2" t="s">
        <v>444</v>
      </c>
      <c r="B971" s="2" t="s">
        <v>213</v>
      </c>
      <c r="C971" s="19" t="s">
        <v>36</v>
      </c>
      <c r="D971" s="19" t="s">
        <v>15</v>
      </c>
      <c r="E971" s="19" t="s">
        <v>79</v>
      </c>
      <c r="F971" s="19" t="s">
        <v>40</v>
      </c>
      <c r="G971" s="19" t="s">
        <v>26</v>
      </c>
      <c r="H971" s="19" t="s">
        <v>33</v>
      </c>
      <c r="I971" s="19">
        <v>1</v>
      </c>
      <c r="J971" s="19">
        <v>812</v>
      </c>
      <c r="K971" s="19">
        <v>25</v>
      </c>
      <c r="L971" s="19">
        <v>609</v>
      </c>
      <c r="M971" s="19">
        <f t="shared" si="45"/>
        <v>12609.3</v>
      </c>
      <c r="N971" s="20">
        <f t="shared" si="46"/>
        <v>406.7516129032258</v>
      </c>
      <c r="O971" s="19">
        <f t="shared" si="47"/>
        <v>41</v>
      </c>
      <c r="P971" s="19" t="str">
        <v>Low</v>
      </c>
    </row>
    <row r="972" spans="1:16" x14ac:dyDescent="0.3">
      <c r="A972" s="2" t="s">
        <v>100</v>
      </c>
      <c r="B972" s="2" t="s">
        <v>101</v>
      </c>
      <c r="C972" s="19" t="s">
        <v>102</v>
      </c>
      <c r="D972" s="19" t="s">
        <v>15</v>
      </c>
      <c r="E972" s="19" t="s">
        <v>16</v>
      </c>
      <c r="F972" s="19" t="s">
        <v>40</v>
      </c>
      <c r="G972" s="19" t="s">
        <v>18</v>
      </c>
      <c r="H972" s="19" t="s">
        <v>44</v>
      </c>
      <c r="I972" s="19">
        <v>1</v>
      </c>
      <c r="J972" s="19">
        <v>637</v>
      </c>
      <c r="K972" s="19">
        <v>9</v>
      </c>
      <c r="L972" s="19">
        <v>579.66999999999996</v>
      </c>
      <c r="M972" s="19">
        <f t="shared" si="45"/>
        <v>12000.3</v>
      </c>
      <c r="N972" s="20">
        <f t="shared" si="46"/>
        <v>400.01</v>
      </c>
      <c r="O972" s="19">
        <f t="shared" si="47"/>
        <v>40</v>
      </c>
      <c r="P972" s="19" t="str">
        <v>Low</v>
      </c>
    </row>
    <row r="973" spans="1:16" x14ac:dyDescent="0.3">
      <c r="A973" s="2" t="s">
        <v>92</v>
      </c>
      <c r="B973" s="2" t="s">
        <v>93</v>
      </c>
      <c r="C973" s="19" t="s">
        <v>94</v>
      </c>
      <c r="D973" s="19" t="s">
        <v>53</v>
      </c>
      <c r="E973" s="19" t="s">
        <v>31</v>
      </c>
      <c r="F973" s="19" t="s">
        <v>40</v>
      </c>
      <c r="G973" s="19" t="s">
        <v>40</v>
      </c>
      <c r="H973" s="19" t="s">
        <v>44</v>
      </c>
      <c r="I973" s="19">
        <v>2</v>
      </c>
      <c r="J973" s="19">
        <v>293</v>
      </c>
      <c r="K973" s="19">
        <v>2</v>
      </c>
      <c r="L973" s="19">
        <v>574.28</v>
      </c>
      <c r="M973" s="19">
        <f t="shared" si="45"/>
        <v>11420.63</v>
      </c>
      <c r="N973" s="20">
        <f t="shared" si="46"/>
        <v>393.81482758620689</v>
      </c>
      <c r="O973" s="19">
        <f t="shared" si="47"/>
        <v>39</v>
      </c>
      <c r="P973" s="19" t="str">
        <v>Low</v>
      </c>
    </row>
    <row r="974" spans="1:16" x14ac:dyDescent="0.3">
      <c r="A974" s="2" t="s">
        <v>1207</v>
      </c>
      <c r="B974" s="2" t="s">
        <v>1151</v>
      </c>
      <c r="C974" s="19" t="s">
        <v>1208</v>
      </c>
      <c r="D974" s="19" t="s">
        <v>30</v>
      </c>
      <c r="E974" s="19" t="s">
        <v>68</v>
      </c>
      <c r="F974" s="19" t="s">
        <v>49</v>
      </c>
      <c r="G974" s="19" t="s">
        <v>26</v>
      </c>
      <c r="H974" s="19" t="s">
        <v>44</v>
      </c>
      <c r="I974" s="19">
        <v>1</v>
      </c>
      <c r="J974" s="19">
        <v>573</v>
      </c>
      <c r="K974" s="19">
        <v>0</v>
      </c>
      <c r="L974" s="19">
        <v>573</v>
      </c>
      <c r="M974" s="19">
        <f t="shared" si="45"/>
        <v>10846.35</v>
      </c>
      <c r="N974" s="20">
        <f t="shared" si="46"/>
        <v>387.36964285714288</v>
      </c>
      <c r="O974" s="19">
        <f t="shared" si="47"/>
        <v>37</v>
      </c>
      <c r="P974" s="19" t="str">
        <v>Low</v>
      </c>
    </row>
    <row r="975" spans="1:16" x14ac:dyDescent="0.3">
      <c r="A975" s="2" t="s">
        <v>894</v>
      </c>
      <c r="B975" s="2" t="s">
        <v>895</v>
      </c>
      <c r="C975" s="19" t="s">
        <v>692</v>
      </c>
      <c r="D975" s="19" t="s">
        <v>15</v>
      </c>
      <c r="E975" s="19" t="s">
        <v>58</v>
      </c>
      <c r="F975" s="19" t="s">
        <v>25</v>
      </c>
      <c r="G975" s="19" t="s">
        <v>18</v>
      </c>
      <c r="H975" s="19" t="s">
        <v>33</v>
      </c>
      <c r="I975" s="19">
        <v>3</v>
      </c>
      <c r="J975" s="19">
        <v>218</v>
      </c>
      <c r="K975" s="19">
        <v>15</v>
      </c>
      <c r="L975" s="19">
        <v>555.9</v>
      </c>
      <c r="M975" s="19">
        <f t="shared" si="45"/>
        <v>10273.349999999999</v>
      </c>
      <c r="N975" s="20">
        <f t="shared" si="46"/>
        <v>380.49444444444441</v>
      </c>
      <c r="O975" s="19">
        <f t="shared" si="47"/>
        <v>36</v>
      </c>
      <c r="P975" s="19" t="str">
        <v>Low</v>
      </c>
    </row>
    <row r="976" spans="1:16" x14ac:dyDescent="0.3">
      <c r="A976" s="2" t="s">
        <v>1167</v>
      </c>
      <c r="B976" s="2" t="s">
        <v>249</v>
      </c>
      <c r="C976" s="19" t="s">
        <v>325</v>
      </c>
      <c r="D976" s="19" t="s">
        <v>23</v>
      </c>
      <c r="E976" s="19" t="s">
        <v>16</v>
      </c>
      <c r="F976" s="19" t="s">
        <v>49</v>
      </c>
      <c r="G976" s="19" t="s">
        <v>54</v>
      </c>
      <c r="H976" s="19" t="s">
        <v>75</v>
      </c>
      <c r="I976" s="19">
        <v>2</v>
      </c>
      <c r="J976" s="19">
        <v>307</v>
      </c>
      <c r="K976" s="19">
        <v>10</v>
      </c>
      <c r="L976" s="19">
        <v>552.6</v>
      </c>
      <c r="M976" s="19">
        <f t="shared" si="45"/>
        <v>9717.4499999999989</v>
      </c>
      <c r="N976" s="20">
        <f t="shared" si="46"/>
        <v>373.74807692307689</v>
      </c>
      <c r="O976" s="19">
        <f t="shared" si="47"/>
        <v>33</v>
      </c>
      <c r="P976" s="19" t="str">
        <v>Low</v>
      </c>
    </row>
    <row r="977" spans="1:16" x14ac:dyDescent="0.3">
      <c r="A977" s="2" t="s">
        <v>768</v>
      </c>
      <c r="B977" s="2" t="s">
        <v>769</v>
      </c>
      <c r="C977" s="19" t="s">
        <v>552</v>
      </c>
      <c r="D977" s="19" t="s">
        <v>88</v>
      </c>
      <c r="E977" s="19" t="s">
        <v>68</v>
      </c>
      <c r="F977" s="19" t="s">
        <v>32</v>
      </c>
      <c r="G977" s="19" t="s">
        <v>26</v>
      </c>
      <c r="H977" s="19" t="s">
        <v>75</v>
      </c>
      <c r="I977" s="19">
        <v>1</v>
      </c>
      <c r="J977" s="19">
        <v>666</v>
      </c>
      <c r="K977" s="19">
        <v>21</v>
      </c>
      <c r="L977" s="19">
        <v>526.14</v>
      </c>
      <c r="M977" s="19">
        <f t="shared" si="45"/>
        <v>9164.85</v>
      </c>
      <c r="N977" s="20">
        <f t="shared" si="46"/>
        <v>366.59399999999999</v>
      </c>
      <c r="O977" s="19">
        <f t="shared" si="47"/>
        <v>31</v>
      </c>
      <c r="P977" s="19" t="str">
        <v>Low</v>
      </c>
    </row>
    <row r="978" spans="1:16" x14ac:dyDescent="0.3">
      <c r="A978" s="2" t="s">
        <v>1142</v>
      </c>
      <c r="B978" s="2" t="s">
        <v>221</v>
      </c>
      <c r="C978" s="19" t="s">
        <v>858</v>
      </c>
      <c r="D978" s="19" t="s">
        <v>15</v>
      </c>
      <c r="E978" s="19" t="s">
        <v>58</v>
      </c>
      <c r="F978" s="19" t="s">
        <v>32</v>
      </c>
      <c r="G978" s="19" t="s">
        <v>18</v>
      </c>
      <c r="H978" s="19" t="s">
        <v>19</v>
      </c>
      <c r="I978" s="19">
        <v>1</v>
      </c>
      <c r="J978" s="19">
        <v>706</v>
      </c>
      <c r="K978" s="19">
        <v>26</v>
      </c>
      <c r="L978" s="19">
        <v>522.44000000000005</v>
      </c>
      <c r="M978" s="19">
        <f t="shared" si="45"/>
        <v>8638.7099999999991</v>
      </c>
      <c r="N978" s="20">
        <f t="shared" si="46"/>
        <v>359.94624999999996</v>
      </c>
      <c r="O978" s="19">
        <f t="shared" si="47"/>
        <v>30</v>
      </c>
      <c r="P978" s="19" t="str">
        <v>Low</v>
      </c>
    </row>
    <row r="979" spans="1:16" x14ac:dyDescent="0.3">
      <c r="A979" s="2" t="s">
        <v>1012</v>
      </c>
      <c r="B979" s="2" t="s">
        <v>760</v>
      </c>
      <c r="C979" s="19" t="s">
        <v>43</v>
      </c>
      <c r="D979" s="19" t="s">
        <v>88</v>
      </c>
      <c r="E979" s="19" t="s">
        <v>31</v>
      </c>
      <c r="F979" s="19" t="s">
        <v>49</v>
      </c>
      <c r="G979" s="19" t="s">
        <v>62</v>
      </c>
      <c r="H979" s="19" t="s">
        <v>19</v>
      </c>
      <c r="I979" s="19">
        <v>1</v>
      </c>
      <c r="J979" s="19">
        <v>720</v>
      </c>
      <c r="K979" s="19">
        <v>29</v>
      </c>
      <c r="L979" s="19">
        <v>511.2</v>
      </c>
      <c r="M979" s="19">
        <f t="shared" si="45"/>
        <v>8116.27</v>
      </c>
      <c r="N979" s="20">
        <f t="shared" si="46"/>
        <v>352.88130434782613</v>
      </c>
      <c r="O979" s="19">
        <f t="shared" si="47"/>
        <v>29</v>
      </c>
      <c r="P979" s="19" t="str">
        <v>Low</v>
      </c>
    </row>
    <row r="980" spans="1:16" x14ac:dyDescent="0.3">
      <c r="A980" s="2" t="s">
        <v>1231</v>
      </c>
      <c r="B980" s="2" t="s">
        <v>521</v>
      </c>
      <c r="C980" s="19" t="s">
        <v>1232</v>
      </c>
      <c r="D980" s="19" t="s">
        <v>30</v>
      </c>
      <c r="E980" s="19" t="s">
        <v>79</v>
      </c>
      <c r="F980" s="19" t="s">
        <v>49</v>
      </c>
      <c r="G980" s="19" t="s">
        <v>54</v>
      </c>
      <c r="H980" s="19" t="s">
        <v>33</v>
      </c>
      <c r="I980" s="19">
        <v>1</v>
      </c>
      <c r="J980" s="19">
        <v>560</v>
      </c>
      <c r="K980" s="19">
        <v>9</v>
      </c>
      <c r="L980" s="19">
        <v>509.6</v>
      </c>
      <c r="M980" s="19">
        <f t="shared" si="45"/>
        <v>7605.0700000000006</v>
      </c>
      <c r="N980" s="20">
        <f t="shared" si="46"/>
        <v>345.685</v>
      </c>
      <c r="O980" s="19">
        <f t="shared" si="47"/>
        <v>28</v>
      </c>
      <c r="P980" s="19" t="str">
        <v>Low</v>
      </c>
    </row>
    <row r="981" spans="1:16" x14ac:dyDescent="0.3">
      <c r="A981" s="2" t="s">
        <v>245</v>
      </c>
      <c r="B981" s="2" t="s">
        <v>246</v>
      </c>
      <c r="C981" s="19" t="s">
        <v>247</v>
      </c>
      <c r="D981" s="19" t="s">
        <v>15</v>
      </c>
      <c r="E981" s="19" t="s">
        <v>48</v>
      </c>
      <c r="F981" s="19" t="s">
        <v>17</v>
      </c>
      <c r="G981" s="19" t="s">
        <v>26</v>
      </c>
      <c r="H981" s="19" t="s">
        <v>75</v>
      </c>
      <c r="I981" s="19">
        <v>2</v>
      </c>
      <c r="J981" s="19">
        <v>323</v>
      </c>
      <c r="K981" s="19">
        <v>26</v>
      </c>
      <c r="L981" s="19">
        <v>478.04</v>
      </c>
      <c r="M981" s="19">
        <f t="shared" si="45"/>
        <v>7095.47</v>
      </c>
      <c r="N981" s="20">
        <f t="shared" si="46"/>
        <v>337.87952380952385</v>
      </c>
      <c r="O981" s="19">
        <f t="shared" si="47"/>
        <v>27</v>
      </c>
      <c r="P981" s="19" t="str">
        <v>Low</v>
      </c>
    </row>
    <row r="982" spans="1:16" x14ac:dyDescent="0.3">
      <c r="A982" s="2" t="s">
        <v>1028</v>
      </c>
      <c r="B982" s="2" t="s">
        <v>42</v>
      </c>
      <c r="C982" s="19" t="s">
        <v>1029</v>
      </c>
      <c r="D982" s="19" t="s">
        <v>53</v>
      </c>
      <c r="E982" s="19" t="s">
        <v>31</v>
      </c>
      <c r="F982" s="19" t="s">
        <v>17</v>
      </c>
      <c r="G982" s="19" t="s">
        <v>54</v>
      </c>
      <c r="H982" s="19" t="s">
        <v>44</v>
      </c>
      <c r="I982" s="19">
        <v>1</v>
      </c>
      <c r="J982" s="19">
        <v>537</v>
      </c>
      <c r="K982" s="19">
        <v>12</v>
      </c>
      <c r="L982" s="19">
        <v>472.56</v>
      </c>
      <c r="M982" s="19">
        <f t="shared" si="45"/>
        <v>6617.43</v>
      </c>
      <c r="N982" s="20">
        <f t="shared" si="46"/>
        <v>330.87150000000003</v>
      </c>
      <c r="O982" s="19">
        <f t="shared" si="47"/>
        <v>25</v>
      </c>
      <c r="P982" s="19" t="str">
        <v>Low</v>
      </c>
    </row>
    <row r="983" spans="1:16" x14ac:dyDescent="0.3">
      <c r="A983" s="2" t="s">
        <v>1453</v>
      </c>
      <c r="B983" s="2" t="s">
        <v>750</v>
      </c>
      <c r="C983" s="19" t="s">
        <v>1374</v>
      </c>
      <c r="D983" s="19" t="s">
        <v>88</v>
      </c>
      <c r="E983" s="19" t="s">
        <v>31</v>
      </c>
      <c r="F983" s="19" t="s">
        <v>49</v>
      </c>
      <c r="G983" s="19" t="s">
        <v>62</v>
      </c>
      <c r="H983" s="19" t="s">
        <v>44</v>
      </c>
      <c r="I983" s="19">
        <v>1</v>
      </c>
      <c r="J983" s="19">
        <v>556</v>
      </c>
      <c r="K983" s="19">
        <v>18</v>
      </c>
      <c r="L983" s="19">
        <v>455.92</v>
      </c>
      <c r="M983" s="19">
        <f t="shared" si="45"/>
        <v>6144.87</v>
      </c>
      <c r="N983" s="20">
        <f t="shared" si="46"/>
        <v>323.4142105263158</v>
      </c>
      <c r="O983" s="19">
        <f t="shared" si="47"/>
        <v>24</v>
      </c>
      <c r="P983" s="19" t="str">
        <v>Low</v>
      </c>
    </row>
    <row r="984" spans="1:16" x14ac:dyDescent="0.3">
      <c r="A984" s="2" t="s">
        <v>1267</v>
      </c>
      <c r="B984" s="2" t="s">
        <v>1268</v>
      </c>
      <c r="C984" s="19" t="s">
        <v>499</v>
      </c>
      <c r="D984" s="19" t="s">
        <v>30</v>
      </c>
      <c r="E984" s="19" t="s">
        <v>48</v>
      </c>
      <c r="F984" s="19" t="s">
        <v>32</v>
      </c>
      <c r="G984" s="19" t="s">
        <v>18</v>
      </c>
      <c r="H984" s="19" t="s">
        <v>75</v>
      </c>
      <c r="I984" s="19">
        <v>2</v>
      </c>
      <c r="J984" s="19">
        <v>292</v>
      </c>
      <c r="K984" s="19">
        <v>24</v>
      </c>
      <c r="L984" s="19">
        <v>443.84</v>
      </c>
      <c r="M984" s="19">
        <f t="shared" si="45"/>
        <v>5688.95</v>
      </c>
      <c r="N984" s="20">
        <f t="shared" si="46"/>
        <v>316.05277777777775</v>
      </c>
      <c r="O984" s="19">
        <f t="shared" si="47"/>
        <v>23</v>
      </c>
      <c r="P984" s="19" t="str">
        <v>Low</v>
      </c>
    </row>
    <row r="985" spans="1:16" x14ac:dyDescent="0.3">
      <c r="A985" s="2" t="s">
        <v>1447</v>
      </c>
      <c r="B985" s="2" t="s">
        <v>324</v>
      </c>
      <c r="C985" s="19" t="s">
        <v>1179</v>
      </c>
      <c r="D985" s="19" t="s">
        <v>30</v>
      </c>
      <c r="E985" s="19" t="s">
        <v>16</v>
      </c>
      <c r="F985" s="19" t="s">
        <v>40</v>
      </c>
      <c r="G985" s="19" t="s">
        <v>18</v>
      </c>
      <c r="H985" s="19" t="s">
        <v>44</v>
      </c>
      <c r="I985" s="19">
        <v>2</v>
      </c>
      <c r="J985" s="19">
        <v>274</v>
      </c>
      <c r="K985" s="19">
        <v>20</v>
      </c>
      <c r="L985" s="19">
        <v>438.4</v>
      </c>
      <c r="M985" s="19">
        <f t="shared" si="45"/>
        <v>5245.11</v>
      </c>
      <c r="N985" s="20">
        <f t="shared" si="46"/>
        <v>308.53588235294114</v>
      </c>
      <c r="O985" s="19">
        <f t="shared" si="47"/>
        <v>21</v>
      </c>
      <c r="P985" s="19" t="str">
        <v>Low</v>
      </c>
    </row>
    <row r="986" spans="1:16" x14ac:dyDescent="0.3">
      <c r="A986" s="2" t="s">
        <v>1550</v>
      </c>
      <c r="B986" s="2" t="s">
        <v>498</v>
      </c>
      <c r="C986" s="19" t="s">
        <v>350</v>
      </c>
      <c r="D986" s="19" t="s">
        <v>30</v>
      </c>
      <c r="E986" s="19" t="s">
        <v>48</v>
      </c>
      <c r="F986" s="19" t="s">
        <v>32</v>
      </c>
      <c r="G986" s="19" t="s">
        <v>40</v>
      </c>
      <c r="H986" s="19" t="s">
        <v>44</v>
      </c>
      <c r="I986" s="19">
        <v>1</v>
      </c>
      <c r="J986" s="19">
        <v>604</v>
      </c>
      <c r="K986" s="19">
        <v>28</v>
      </c>
      <c r="L986" s="19">
        <v>434.88</v>
      </c>
      <c r="M986" s="19">
        <f t="shared" si="45"/>
        <v>4806.71</v>
      </c>
      <c r="N986" s="20">
        <f t="shared" si="46"/>
        <v>300.419375</v>
      </c>
      <c r="O986" s="19">
        <f t="shared" si="47"/>
        <v>19</v>
      </c>
      <c r="P986" s="19" t="str">
        <v>Low</v>
      </c>
    </row>
    <row r="987" spans="1:16" x14ac:dyDescent="0.3">
      <c r="A987" s="2" t="s">
        <v>1645</v>
      </c>
      <c r="B987" s="2" t="s">
        <v>561</v>
      </c>
      <c r="C987" s="19" t="s">
        <v>1646</v>
      </c>
      <c r="D987" s="19" t="s">
        <v>53</v>
      </c>
      <c r="E987" s="19" t="s">
        <v>31</v>
      </c>
      <c r="F987" s="19" t="s">
        <v>17</v>
      </c>
      <c r="G987" s="19" t="s">
        <v>26</v>
      </c>
      <c r="H987" s="19" t="s">
        <v>33</v>
      </c>
      <c r="I987" s="19">
        <v>1</v>
      </c>
      <c r="J987" s="19">
        <v>568</v>
      </c>
      <c r="K987" s="19">
        <v>29</v>
      </c>
      <c r="L987" s="19">
        <v>403.28</v>
      </c>
      <c r="M987" s="19">
        <f t="shared" si="45"/>
        <v>4371.829999999999</v>
      </c>
      <c r="N987" s="20">
        <f t="shared" si="46"/>
        <v>291.45533333333327</v>
      </c>
      <c r="O987" s="19">
        <f t="shared" si="47"/>
        <v>18</v>
      </c>
      <c r="P987" s="19" t="str">
        <v>Low</v>
      </c>
    </row>
    <row r="988" spans="1:16" x14ac:dyDescent="0.3">
      <c r="A988" s="2" t="s">
        <v>513</v>
      </c>
      <c r="B988" s="2" t="s">
        <v>514</v>
      </c>
      <c r="C988" s="19" t="s">
        <v>515</v>
      </c>
      <c r="D988" s="19" t="s">
        <v>88</v>
      </c>
      <c r="E988" s="19" t="s">
        <v>79</v>
      </c>
      <c r="F988" s="19" t="s">
        <v>17</v>
      </c>
      <c r="G988" s="19" t="s">
        <v>26</v>
      </c>
      <c r="H988" s="19" t="s">
        <v>44</v>
      </c>
      <c r="I988" s="19">
        <v>1</v>
      </c>
      <c r="J988" s="19">
        <v>570</v>
      </c>
      <c r="K988" s="19">
        <v>30</v>
      </c>
      <c r="L988" s="19">
        <v>399</v>
      </c>
      <c r="M988" s="19">
        <f t="shared" si="45"/>
        <v>3968.55</v>
      </c>
      <c r="N988" s="20">
        <f t="shared" si="46"/>
        <v>283.46785714285716</v>
      </c>
      <c r="O988" s="19">
        <f t="shared" si="47"/>
        <v>17</v>
      </c>
      <c r="P988" s="19" t="str">
        <v>Low</v>
      </c>
    </row>
    <row r="989" spans="1:16" x14ac:dyDescent="0.3">
      <c r="A989" s="2" t="s">
        <v>1063</v>
      </c>
      <c r="B989" s="2" t="s">
        <v>427</v>
      </c>
      <c r="C989" s="19" t="s">
        <v>47</v>
      </c>
      <c r="D989" s="19" t="s">
        <v>88</v>
      </c>
      <c r="E989" s="19" t="s">
        <v>79</v>
      </c>
      <c r="F989" s="19" t="s">
        <v>32</v>
      </c>
      <c r="G989" s="19" t="s">
        <v>62</v>
      </c>
      <c r="H989" s="19" t="s">
        <v>19</v>
      </c>
      <c r="I989" s="19">
        <v>2</v>
      </c>
      <c r="J989" s="19">
        <v>265</v>
      </c>
      <c r="K989" s="19">
        <v>27</v>
      </c>
      <c r="L989" s="19">
        <v>386.9</v>
      </c>
      <c r="M989" s="19">
        <f t="shared" si="45"/>
        <v>3569.55</v>
      </c>
      <c r="N989" s="20">
        <f t="shared" si="46"/>
        <v>274.58076923076925</v>
      </c>
      <c r="O989" s="19">
        <f t="shared" si="47"/>
        <v>16</v>
      </c>
      <c r="P989" s="19" t="str">
        <v>Low</v>
      </c>
    </row>
    <row r="990" spans="1:16" x14ac:dyDescent="0.3">
      <c r="A990" s="2" t="s">
        <v>1487</v>
      </c>
      <c r="B990" s="2" t="s">
        <v>889</v>
      </c>
      <c r="C990" s="19" t="s">
        <v>441</v>
      </c>
      <c r="D990" s="19" t="s">
        <v>30</v>
      </c>
      <c r="E990" s="19" t="s">
        <v>79</v>
      </c>
      <c r="F990" s="19" t="s">
        <v>17</v>
      </c>
      <c r="G990" s="19" t="s">
        <v>54</v>
      </c>
      <c r="H990" s="19" t="s">
        <v>19</v>
      </c>
      <c r="I990" s="19">
        <v>1</v>
      </c>
      <c r="J990" s="19">
        <v>439</v>
      </c>
      <c r="K990" s="19">
        <v>13</v>
      </c>
      <c r="L990" s="19">
        <v>381.93</v>
      </c>
      <c r="M990" s="19">
        <f t="shared" si="45"/>
        <v>3182.6500000000005</v>
      </c>
      <c r="N990" s="20">
        <f t="shared" si="46"/>
        <v>265.22083333333336</v>
      </c>
      <c r="O990" s="19">
        <f t="shared" si="47"/>
        <v>14</v>
      </c>
      <c r="P990" s="19" t="str">
        <v>Low</v>
      </c>
    </row>
    <row r="991" spans="1:16" x14ac:dyDescent="0.3">
      <c r="A991" s="2" t="s">
        <v>608</v>
      </c>
      <c r="B991" s="2" t="s">
        <v>66</v>
      </c>
      <c r="C991" s="19" t="s">
        <v>609</v>
      </c>
      <c r="D991" s="19" t="s">
        <v>15</v>
      </c>
      <c r="E991" s="19" t="s">
        <v>31</v>
      </c>
      <c r="F991" s="19" t="s">
        <v>49</v>
      </c>
      <c r="G991" s="19" t="s">
        <v>18</v>
      </c>
      <c r="H991" s="19" t="s">
        <v>19</v>
      </c>
      <c r="I991" s="19">
        <v>2</v>
      </c>
      <c r="J991" s="19">
        <v>203</v>
      </c>
      <c r="K991" s="19">
        <v>21</v>
      </c>
      <c r="L991" s="19">
        <v>320.74</v>
      </c>
      <c r="M991" s="19">
        <f t="shared" si="45"/>
        <v>2800.7200000000003</v>
      </c>
      <c r="N991" s="20">
        <f t="shared" si="46"/>
        <v>254.6109090909091</v>
      </c>
      <c r="O991" s="19">
        <f t="shared" si="47"/>
        <v>13</v>
      </c>
      <c r="P991" s="19" t="str">
        <v>Low</v>
      </c>
    </row>
    <row r="992" spans="1:16" x14ac:dyDescent="0.3">
      <c r="A992" s="2" t="s">
        <v>192</v>
      </c>
      <c r="B992" s="2" t="s">
        <v>193</v>
      </c>
      <c r="C992" s="19" t="s">
        <v>194</v>
      </c>
      <c r="D992" s="19" t="s">
        <v>30</v>
      </c>
      <c r="E992" s="19" t="s">
        <v>68</v>
      </c>
      <c r="F992" s="19" t="s">
        <v>40</v>
      </c>
      <c r="G992" s="19" t="s">
        <v>40</v>
      </c>
      <c r="H992" s="19" t="s">
        <v>44</v>
      </c>
      <c r="I992" s="19">
        <v>2</v>
      </c>
      <c r="J992" s="19">
        <v>213</v>
      </c>
      <c r="K992" s="19">
        <v>26</v>
      </c>
      <c r="L992" s="19">
        <v>315.24</v>
      </c>
      <c r="M992" s="19">
        <f t="shared" si="45"/>
        <v>2479.98</v>
      </c>
      <c r="N992" s="20">
        <f t="shared" si="46"/>
        <v>247.99799999999999</v>
      </c>
      <c r="O992" s="19">
        <f t="shared" si="47"/>
        <v>11</v>
      </c>
      <c r="P992" s="19" t="str">
        <v>Low</v>
      </c>
    </row>
    <row r="993" spans="1:16" x14ac:dyDescent="0.3">
      <c r="A993" s="2" t="s">
        <v>1420</v>
      </c>
      <c r="B993" s="2" t="s">
        <v>1421</v>
      </c>
      <c r="C993" s="19" t="s">
        <v>945</v>
      </c>
      <c r="D993" s="19" t="s">
        <v>53</v>
      </c>
      <c r="E993" s="19" t="s">
        <v>58</v>
      </c>
      <c r="F993" s="19" t="s">
        <v>49</v>
      </c>
      <c r="G993" s="19" t="s">
        <v>26</v>
      </c>
      <c r="H993" s="19" t="s">
        <v>19</v>
      </c>
      <c r="I993" s="19">
        <v>1</v>
      </c>
      <c r="J993" s="19">
        <v>353</v>
      </c>
      <c r="K993" s="19">
        <v>11</v>
      </c>
      <c r="L993" s="19">
        <v>314.17</v>
      </c>
      <c r="M993" s="19">
        <f t="shared" si="45"/>
        <v>2164.7400000000002</v>
      </c>
      <c r="N993" s="20">
        <f t="shared" si="46"/>
        <v>240.5266666666667</v>
      </c>
      <c r="O993" s="19">
        <f t="shared" si="47"/>
        <v>9</v>
      </c>
      <c r="P993" s="19" t="str">
        <v>Low</v>
      </c>
    </row>
    <row r="994" spans="1:16" x14ac:dyDescent="0.3">
      <c r="A994" s="2" t="s">
        <v>82</v>
      </c>
      <c r="B994" s="2" t="s">
        <v>83</v>
      </c>
      <c r="C994" s="19" t="s">
        <v>84</v>
      </c>
      <c r="D994" s="19" t="s">
        <v>23</v>
      </c>
      <c r="E994" s="19" t="s">
        <v>31</v>
      </c>
      <c r="F994" s="19" t="s">
        <v>17</v>
      </c>
      <c r="G994" s="19" t="s">
        <v>18</v>
      </c>
      <c r="H994" s="19" t="s">
        <v>44</v>
      </c>
      <c r="I994" s="19">
        <v>1</v>
      </c>
      <c r="J994" s="19">
        <v>340</v>
      </c>
      <c r="K994" s="19">
        <v>16</v>
      </c>
      <c r="L994" s="19">
        <v>285.60000000000002</v>
      </c>
      <c r="M994" s="19">
        <f t="shared" si="45"/>
        <v>1850.5700000000002</v>
      </c>
      <c r="N994" s="20">
        <f t="shared" si="46"/>
        <v>231.32125000000002</v>
      </c>
      <c r="O994" s="19">
        <f t="shared" si="47"/>
        <v>8</v>
      </c>
      <c r="P994" s="19" t="str">
        <v>Low</v>
      </c>
    </row>
    <row r="995" spans="1:16" x14ac:dyDescent="0.3">
      <c r="A995" s="2" t="s">
        <v>448</v>
      </c>
      <c r="B995" s="2" t="s">
        <v>449</v>
      </c>
      <c r="C995" s="19" t="s">
        <v>219</v>
      </c>
      <c r="D995" s="19" t="s">
        <v>23</v>
      </c>
      <c r="E995" s="19" t="s">
        <v>79</v>
      </c>
      <c r="F995" s="19" t="s">
        <v>17</v>
      </c>
      <c r="G995" s="19" t="s">
        <v>62</v>
      </c>
      <c r="H995" s="19" t="s">
        <v>33</v>
      </c>
      <c r="I995" s="19">
        <v>1</v>
      </c>
      <c r="J995" s="19">
        <v>383</v>
      </c>
      <c r="K995" s="19">
        <v>26</v>
      </c>
      <c r="L995" s="19">
        <v>283.42</v>
      </c>
      <c r="M995" s="19">
        <f t="shared" si="45"/>
        <v>1564.9700000000003</v>
      </c>
      <c r="N995" s="20">
        <f t="shared" si="46"/>
        <v>223.5671428571429</v>
      </c>
      <c r="O995" s="19">
        <f t="shared" si="47"/>
        <v>7</v>
      </c>
      <c r="P995" s="19" t="str">
        <v>Low</v>
      </c>
    </row>
    <row r="996" spans="1:16" x14ac:dyDescent="0.3">
      <c r="A996" s="2" t="s">
        <v>1138</v>
      </c>
      <c r="B996" s="2" t="s">
        <v>295</v>
      </c>
      <c r="C996" s="19" t="s">
        <v>87</v>
      </c>
      <c r="D996" s="19" t="s">
        <v>53</v>
      </c>
      <c r="E996" s="19" t="s">
        <v>79</v>
      </c>
      <c r="F996" s="19" t="s">
        <v>25</v>
      </c>
      <c r="G996" s="19" t="s">
        <v>18</v>
      </c>
      <c r="H996" s="19" t="s">
        <v>44</v>
      </c>
      <c r="I996" s="19">
        <v>1</v>
      </c>
      <c r="J996" s="19">
        <v>311</v>
      </c>
      <c r="K996" s="19">
        <v>9</v>
      </c>
      <c r="L996" s="19">
        <v>283.01</v>
      </c>
      <c r="M996" s="19">
        <f t="shared" si="45"/>
        <v>1281.5499999999997</v>
      </c>
      <c r="N996" s="20">
        <f t="shared" si="46"/>
        <v>213.59166666666661</v>
      </c>
      <c r="O996" s="19">
        <f t="shared" si="47"/>
        <v>6</v>
      </c>
      <c r="P996" s="19" t="str">
        <v>Low</v>
      </c>
    </row>
    <row r="997" spans="1:16" x14ac:dyDescent="0.3">
      <c r="A997" s="2" t="s">
        <v>1592</v>
      </c>
      <c r="B997" s="2" t="s">
        <v>667</v>
      </c>
      <c r="C997" s="19" t="s">
        <v>157</v>
      </c>
      <c r="D997" s="19" t="s">
        <v>23</v>
      </c>
      <c r="E997" s="19" t="s">
        <v>58</v>
      </c>
      <c r="F997" s="19" t="s">
        <v>40</v>
      </c>
      <c r="G997" s="19" t="s">
        <v>54</v>
      </c>
      <c r="H997" s="19" t="s">
        <v>33</v>
      </c>
      <c r="I997" s="19">
        <v>1</v>
      </c>
      <c r="J997" s="19">
        <v>291</v>
      </c>
      <c r="K997" s="19">
        <v>21</v>
      </c>
      <c r="L997" s="19">
        <v>229.89</v>
      </c>
      <c r="M997" s="19">
        <f t="shared" si="45"/>
        <v>998.54000000000008</v>
      </c>
      <c r="N997" s="20">
        <f t="shared" si="46"/>
        <v>199.70800000000003</v>
      </c>
      <c r="O997" s="19">
        <f t="shared" si="47"/>
        <v>5</v>
      </c>
      <c r="P997" s="19" t="str">
        <v>Low</v>
      </c>
    </row>
    <row r="998" spans="1:16" x14ac:dyDescent="0.3">
      <c r="A998" s="2" t="s">
        <v>656</v>
      </c>
      <c r="B998" s="2" t="s">
        <v>657</v>
      </c>
      <c r="C998" s="19" t="s">
        <v>658</v>
      </c>
      <c r="D998" s="19" t="s">
        <v>53</v>
      </c>
      <c r="E998" s="19" t="s">
        <v>24</v>
      </c>
      <c r="F998" s="19" t="s">
        <v>32</v>
      </c>
      <c r="G998" s="19" t="s">
        <v>40</v>
      </c>
      <c r="H998" s="19" t="s">
        <v>33</v>
      </c>
      <c r="I998" s="19">
        <v>1</v>
      </c>
      <c r="J998" s="19">
        <v>296</v>
      </c>
      <c r="K998" s="19">
        <v>30</v>
      </c>
      <c r="L998" s="19">
        <v>207.2</v>
      </c>
      <c r="M998" s="19">
        <f t="shared" si="45"/>
        <v>768.65</v>
      </c>
      <c r="N998" s="20">
        <f t="shared" si="46"/>
        <v>192.16249999999999</v>
      </c>
      <c r="O998" s="19">
        <f t="shared" si="47"/>
        <v>4</v>
      </c>
      <c r="P998" s="19" t="str">
        <v>Low</v>
      </c>
    </row>
    <row r="999" spans="1:16" x14ac:dyDescent="0.3">
      <c r="A999" s="2" t="s">
        <v>1547</v>
      </c>
      <c r="B999" s="2" t="s">
        <v>21</v>
      </c>
      <c r="C999" s="19" t="s">
        <v>1133</v>
      </c>
      <c r="D999" s="19" t="s">
        <v>88</v>
      </c>
      <c r="E999" s="19" t="s">
        <v>79</v>
      </c>
      <c r="F999" s="19" t="s">
        <v>25</v>
      </c>
      <c r="G999" s="19" t="s">
        <v>26</v>
      </c>
      <c r="H999" s="19" t="s">
        <v>19</v>
      </c>
      <c r="I999" s="19">
        <v>1</v>
      </c>
      <c r="J999" s="19">
        <v>281</v>
      </c>
      <c r="K999" s="19">
        <v>27</v>
      </c>
      <c r="L999" s="19">
        <v>205.13</v>
      </c>
      <c r="M999" s="19">
        <f t="shared" si="45"/>
        <v>561.45000000000005</v>
      </c>
      <c r="N999" s="20">
        <f t="shared" si="46"/>
        <v>187.15</v>
      </c>
      <c r="O999" s="19">
        <f t="shared" si="47"/>
        <v>3</v>
      </c>
      <c r="P999" s="19" t="str">
        <v>Low</v>
      </c>
    </row>
    <row r="1000" spans="1:16" x14ac:dyDescent="0.3">
      <c r="A1000" s="2" t="s">
        <v>963</v>
      </c>
      <c r="B1000" s="2" t="s">
        <v>592</v>
      </c>
      <c r="C1000" s="19" t="s">
        <v>477</v>
      </c>
      <c r="D1000" s="19" t="s">
        <v>88</v>
      </c>
      <c r="E1000" s="19" t="s">
        <v>31</v>
      </c>
      <c r="F1000" s="19" t="s">
        <v>17</v>
      </c>
      <c r="G1000" s="19" t="s">
        <v>26</v>
      </c>
      <c r="H1000" s="19" t="s">
        <v>44</v>
      </c>
      <c r="I1000" s="19">
        <v>1</v>
      </c>
      <c r="J1000" s="19">
        <v>248</v>
      </c>
      <c r="K1000" s="19">
        <v>23</v>
      </c>
      <c r="L1000" s="19">
        <v>190.96</v>
      </c>
      <c r="M1000" s="19">
        <f t="shared" si="45"/>
        <v>356.32000000000005</v>
      </c>
      <c r="N1000" s="20">
        <f t="shared" si="46"/>
        <v>178.16000000000003</v>
      </c>
      <c r="O1000" s="19">
        <f t="shared" si="47"/>
        <v>2</v>
      </c>
      <c r="P1000" s="19" t="str">
        <v>Low</v>
      </c>
    </row>
    <row r="1001" spans="1:16" x14ac:dyDescent="0.3">
      <c r="A1001" s="2" t="s">
        <v>1376</v>
      </c>
      <c r="B1001" s="2" t="s">
        <v>1265</v>
      </c>
      <c r="C1001" s="19" t="s">
        <v>273</v>
      </c>
      <c r="D1001" s="19" t="s">
        <v>15</v>
      </c>
      <c r="E1001" s="19" t="s">
        <v>79</v>
      </c>
      <c r="F1001" s="19" t="s">
        <v>17</v>
      </c>
      <c r="G1001" s="19" t="s">
        <v>18</v>
      </c>
      <c r="H1001" s="19" t="s">
        <v>33</v>
      </c>
      <c r="I1001" s="19">
        <v>1</v>
      </c>
      <c r="J1001" s="19">
        <v>212</v>
      </c>
      <c r="K1001" s="19">
        <v>22</v>
      </c>
      <c r="L1001" s="19">
        <v>165.36</v>
      </c>
      <c r="M1001" s="19">
        <f t="shared" si="45"/>
        <v>165.36</v>
      </c>
      <c r="N1001" s="20">
        <f t="shared" si="46"/>
        <v>165.36</v>
      </c>
      <c r="O1001" s="19">
        <f t="shared" si="47"/>
        <v>1</v>
      </c>
      <c r="P1001" s="19" t="str">
        <v>Low</v>
      </c>
    </row>
  </sheetData>
  <sortState xmlns:xlrd2="http://schemas.microsoft.com/office/spreadsheetml/2017/richdata2" ref="A2:P1001">
    <sortCondition descending="1" ref="L2:L1001"/>
  </sortState>
  <conditionalFormatting sqref="K2:K1001">
    <cfRule type="cellIs" dxfId="3" priority="2" operator="greaterThan">
      <formula>0.2</formula>
    </cfRule>
    <cfRule type="cellIs" dxfId="2" priority="3" operator="greaterThan">
      <formula>0.2</formula>
    </cfRule>
  </conditionalFormatting>
  <conditionalFormatting sqref="L2:L1001">
    <cfRule type="top10" dxfId="1" priority="1" rank="10"/>
    <cfRule type="cellIs" dxfId="0" priority="4" operator="greaterThan">
      <formula>2500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1CC4-C3B0-40FC-874E-ECE345F3E06F}">
  <dimension ref="A2:I30"/>
  <sheetViews>
    <sheetView workbookViewId="0">
      <selection activeCell="L16" sqref="L16"/>
    </sheetView>
  </sheetViews>
  <sheetFormatPr defaultRowHeight="14.4" x14ac:dyDescent="0.3"/>
  <sheetData>
    <row r="2" spans="1:9" x14ac:dyDescent="0.3">
      <c r="A2" s="21" t="s">
        <v>1680</v>
      </c>
      <c r="B2" s="22"/>
      <c r="C2" s="22"/>
      <c r="D2" s="22"/>
      <c r="E2" s="22"/>
      <c r="F2" s="22"/>
      <c r="G2" s="22"/>
      <c r="H2" s="22"/>
      <c r="I2" s="22"/>
    </row>
    <row r="3" spans="1:9" x14ac:dyDescent="0.3">
      <c r="A3" s="21" t="s">
        <v>1681</v>
      </c>
      <c r="B3" s="22"/>
      <c r="C3" s="22"/>
      <c r="D3" s="22"/>
      <c r="E3" s="22"/>
      <c r="F3" s="22"/>
      <c r="G3" s="22"/>
      <c r="H3" s="22"/>
      <c r="I3" s="22"/>
    </row>
    <row r="4" spans="1:9" x14ac:dyDescent="0.3">
      <c r="A4" s="21" t="s">
        <v>1682</v>
      </c>
      <c r="B4" s="22"/>
      <c r="C4" s="22"/>
      <c r="D4" s="22"/>
      <c r="E4" s="22"/>
      <c r="F4" s="22"/>
      <c r="G4" s="22"/>
      <c r="H4" s="22"/>
      <c r="I4" s="22"/>
    </row>
    <row r="5" spans="1:9" x14ac:dyDescent="0.3">
      <c r="A5" s="21" t="s">
        <v>1683</v>
      </c>
      <c r="B5" s="22"/>
      <c r="C5" s="22"/>
      <c r="D5" s="22"/>
      <c r="E5" s="22"/>
      <c r="F5" s="22"/>
      <c r="G5" s="22"/>
      <c r="H5" s="22"/>
      <c r="I5" s="22"/>
    </row>
    <row r="6" spans="1:9" x14ac:dyDescent="0.3">
      <c r="A6" s="22" t="s">
        <v>1684</v>
      </c>
      <c r="B6" s="22"/>
      <c r="C6" s="22"/>
      <c r="D6" s="22"/>
      <c r="E6" s="22"/>
      <c r="F6" s="22"/>
      <c r="G6" s="22"/>
      <c r="H6" s="22"/>
      <c r="I6" s="22"/>
    </row>
    <row r="7" spans="1:9" x14ac:dyDescent="0.3">
      <c r="A7" s="21" t="s">
        <v>1685</v>
      </c>
      <c r="B7" s="22"/>
      <c r="C7" s="22"/>
      <c r="D7" s="22"/>
      <c r="E7" s="22"/>
      <c r="F7" s="22"/>
      <c r="G7" s="22"/>
      <c r="H7" s="22"/>
      <c r="I7" s="22"/>
    </row>
    <row r="8" spans="1:9" x14ac:dyDescent="0.3">
      <c r="A8" s="21" t="s">
        <v>1686</v>
      </c>
      <c r="B8" s="22"/>
      <c r="C8" s="22"/>
      <c r="D8" s="22"/>
      <c r="E8" s="22"/>
      <c r="F8" s="22"/>
      <c r="G8" s="22"/>
      <c r="H8" s="22"/>
      <c r="I8" s="22"/>
    </row>
    <row r="9" spans="1:9" x14ac:dyDescent="0.3">
      <c r="A9" s="22"/>
      <c r="B9" s="22"/>
      <c r="C9" s="22"/>
      <c r="D9" s="22"/>
      <c r="E9" s="22"/>
      <c r="F9" s="22"/>
      <c r="G9" s="22"/>
      <c r="H9" s="22"/>
      <c r="I9" s="22"/>
    </row>
    <row r="10" spans="1:9" x14ac:dyDescent="0.3">
      <c r="A10" s="21" t="s">
        <v>1687</v>
      </c>
      <c r="B10" s="22"/>
      <c r="C10" s="22"/>
      <c r="D10" s="22"/>
      <c r="E10" s="22"/>
      <c r="F10" s="22"/>
      <c r="G10" s="22"/>
      <c r="H10" s="22"/>
      <c r="I10" s="22"/>
    </row>
    <row r="11" spans="1:9" x14ac:dyDescent="0.3">
      <c r="A11" s="22"/>
      <c r="B11" s="22"/>
      <c r="C11" s="22"/>
      <c r="D11" s="22"/>
      <c r="E11" s="22"/>
      <c r="F11" s="22"/>
      <c r="G11" s="22"/>
      <c r="H11" s="22"/>
      <c r="I11" s="22"/>
    </row>
    <row r="12" spans="1:9" x14ac:dyDescent="0.3">
      <c r="A12" s="21" t="s">
        <v>1688</v>
      </c>
      <c r="B12" s="22"/>
      <c r="C12" s="22"/>
      <c r="D12" s="22"/>
      <c r="E12" s="22"/>
      <c r="F12" s="22"/>
      <c r="G12" s="22"/>
      <c r="H12" s="22"/>
      <c r="I12" s="22"/>
    </row>
    <row r="13" spans="1:9" x14ac:dyDescent="0.3">
      <c r="A13" s="22"/>
      <c r="B13" s="22"/>
      <c r="C13" s="22"/>
      <c r="D13" s="22"/>
      <c r="E13" s="22"/>
      <c r="F13" s="22"/>
      <c r="G13" s="22"/>
      <c r="H13" s="22"/>
      <c r="I13" s="22"/>
    </row>
    <row r="14" spans="1:9" x14ac:dyDescent="0.3">
      <c r="A14" s="21" t="s">
        <v>1689</v>
      </c>
      <c r="B14" s="22"/>
      <c r="C14" s="22"/>
      <c r="D14" s="22"/>
      <c r="E14" s="22"/>
      <c r="F14" s="22"/>
      <c r="G14" s="22"/>
      <c r="H14" s="22"/>
      <c r="I14" s="22"/>
    </row>
    <row r="15" spans="1:9" x14ac:dyDescent="0.3">
      <c r="A15" s="22"/>
      <c r="B15" s="22"/>
      <c r="C15" s="22"/>
      <c r="D15" s="22"/>
      <c r="E15" s="22"/>
      <c r="F15" s="22"/>
      <c r="G15" s="22"/>
      <c r="H15" s="22"/>
      <c r="I15" s="22"/>
    </row>
    <row r="16" spans="1:9" x14ac:dyDescent="0.3">
      <c r="A16" s="22">
        <v>11</v>
      </c>
      <c r="B16" s="22" t="s">
        <v>1690</v>
      </c>
      <c r="C16" s="22"/>
      <c r="D16" s="22"/>
      <c r="E16" s="22"/>
      <c r="F16" s="22"/>
      <c r="G16" s="22"/>
      <c r="H16" s="22"/>
      <c r="I16" s="22"/>
    </row>
    <row r="17" spans="1:9" x14ac:dyDescent="0.3">
      <c r="A17" s="22"/>
      <c r="B17" s="22"/>
      <c r="C17" s="22"/>
      <c r="D17" s="22"/>
      <c r="E17" s="22"/>
      <c r="F17" s="22"/>
      <c r="G17" s="22"/>
      <c r="H17" s="22"/>
      <c r="I17" s="22"/>
    </row>
    <row r="21" spans="1:9" x14ac:dyDescent="0.3">
      <c r="A21" s="1"/>
    </row>
    <row r="22" spans="1:9" x14ac:dyDescent="0.3">
      <c r="A22" s="1"/>
    </row>
    <row r="24" spans="1:9" x14ac:dyDescent="0.3">
      <c r="A24" s="1"/>
    </row>
    <row r="26" spans="1:9" x14ac:dyDescent="0.3">
      <c r="A26" s="1"/>
    </row>
    <row r="28" spans="1:9" x14ac:dyDescent="0.3">
      <c r="A28" s="1"/>
    </row>
    <row r="30" spans="1:9" x14ac:dyDescent="0.3">
      <c r="A3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7CC82-D233-4F99-A842-EC6F50F93178}">
  <dimension ref="A3:P38"/>
  <sheetViews>
    <sheetView tabSelected="1" zoomScale="88" zoomScaleNormal="88" workbookViewId="0">
      <selection activeCell="D20" sqref="D20"/>
    </sheetView>
  </sheetViews>
  <sheetFormatPr defaultRowHeight="14.4" x14ac:dyDescent="0.3"/>
  <cols>
    <col min="1" max="1" width="12.5546875" bestFit="1" customWidth="1"/>
  </cols>
  <sheetData>
    <row r="3" spans="1:3" x14ac:dyDescent="0.3">
      <c r="A3" s="5"/>
      <c r="B3" s="6"/>
      <c r="C3" s="7"/>
    </row>
    <row r="4" spans="1:3" x14ac:dyDescent="0.3">
      <c r="A4" s="8"/>
      <c r="B4" s="9"/>
      <c r="C4" s="10"/>
    </row>
    <row r="5" spans="1:3" x14ac:dyDescent="0.3">
      <c r="A5" s="8"/>
      <c r="B5" s="9"/>
      <c r="C5" s="10"/>
    </row>
    <row r="6" spans="1:3" x14ac:dyDescent="0.3">
      <c r="A6" s="8"/>
      <c r="B6" s="9"/>
      <c r="C6" s="10"/>
    </row>
    <row r="7" spans="1:3" x14ac:dyDescent="0.3">
      <c r="A7" s="8"/>
      <c r="B7" s="9"/>
      <c r="C7" s="10"/>
    </row>
    <row r="8" spans="1:3" x14ac:dyDescent="0.3">
      <c r="A8" s="8"/>
      <c r="B8" s="9"/>
      <c r="C8" s="10"/>
    </row>
    <row r="9" spans="1:3" x14ac:dyDescent="0.3">
      <c r="A9" s="8"/>
      <c r="B9" s="9"/>
      <c r="C9" s="10"/>
    </row>
    <row r="10" spans="1:3" x14ac:dyDescent="0.3">
      <c r="A10" s="8"/>
      <c r="B10" s="9"/>
      <c r="C10" s="10"/>
    </row>
    <row r="11" spans="1:3" x14ac:dyDescent="0.3">
      <c r="A11" s="8"/>
      <c r="B11" s="9"/>
      <c r="C11" s="10"/>
    </row>
    <row r="12" spans="1:3" x14ac:dyDescent="0.3">
      <c r="A12" s="8"/>
      <c r="B12" s="9"/>
      <c r="C12" s="10"/>
    </row>
    <row r="13" spans="1:3" x14ac:dyDescent="0.3">
      <c r="A13" s="8"/>
      <c r="B13" s="9"/>
      <c r="C13" s="10"/>
    </row>
    <row r="14" spans="1:3" x14ac:dyDescent="0.3">
      <c r="A14" s="8"/>
      <c r="B14" s="9"/>
      <c r="C14" s="10"/>
    </row>
    <row r="15" spans="1:3" x14ac:dyDescent="0.3">
      <c r="A15" s="8"/>
      <c r="B15" s="9"/>
      <c r="C15" s="10"/>
    </row>
    <row r="16" spans="1:3" x14ac:dyDescent="0.3">
      <c r="A16" s="8"/>
      <c r="B16" s="9"/>
      <c r="C16" s="10"/>
    </row>
    <row r="17" spans="1:16" x14ac:dyDescent="0.3">
      <c r="A17" s="8"/>
      <c r="B17" s="9"/>
      <c r="C17" s="10"/>
    </row>
    <row r="18" spans="1:16" x14ac:dyDescent="0.3">
      <c r="A18" s="8"/>
      <c r="B18" s="9"/>
      <c r="C18" s="10"/>
    </row>
    <row r="19" spans="1:16" x14ac:dyDescent="0.3">
      <c r="A19" s="8"/>
      <c r="B19" s="9"/>
      <c r="C19" s="10"/>
      <c r="P19" s="24"/>
    </row>
    <row r="20" spans="1:16" x14ac:dyDescent="0.3">
      <c r="A20" s="11"/>
      <c r="B20" s="12"/>
      <c r="C20" s="13"/>
    </row>
    <row r="36" spans="5:12" x14ac:dyDescent="0.3">
      <c r="L36" t="s">
        <v>1691</v>
      </c>
    </row>
    <row r="38" spans="5:12" x14ac:dyDescent="0.3">
      <c r="E38" t="s">
        <v>1692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Ecommerce_Data</vt:lpstr>
      <vt:lpstr>Pivot Table</vt:lpstr>
      <vt:lpstr>Working Data</vt:lpstr>
      <vt:lpstr>QUESTIONS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ANUBHAV KONER</cp:lastModifiedBy>
  <cp:revision/>
  <dcterms:created xsi:type="dcterms:W3CDTF">2026-03-20T09:19:16Z</dcterms:created>
  <dcterms:modified xsi:type="dcterms:W3CDTF">2026-03-29T09:53:23Z</dcterms:modified>
  <cp:category/>
  <cp:contentStatus/>
</cp:coreProperties>
</file>